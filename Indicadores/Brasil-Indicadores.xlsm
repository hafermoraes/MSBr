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65" windowWidth="14805" windowHeight="7950" tabRatio="793" activeTab="8"/>
  </bookViews>
  <sheets>
    <sheet name="Cedentes" sheetId="24" r:id="rId1"/>
    <sheet name="Ramos" sheetId="35" r:id="rId2"/>
    <sheet name="Origem dos Índices" sheetId="16" r:id="rId3"/>
    <sheet name="Seguradoras" sheetId="27" r:id="rId4"/>
    <sheet name="Ress. Locais" sheetId="28" r:id="rId5"/>
    <sheet name="Ress. Admitidas" sheetId="29" r:id="rId6"/>
    <sheet name="Ress. Eventuais" sheetId="30" r:id="rId7"/>
    <sheet name="Corretoras de Resseguros" sheetId="31" r:id="rId8"/>
    <sheet name="Previdência" sheetId="32" r:id="rId9"/>
    <sheet name="Capitalização" sheetId="33" r:id="rId10"/>
    <sheet name="Resseguradoras no Vida" sheetId="34" r:id="rId11"/>
  </sheets>
  <definedNames>
    <definedName name="_xlnm._FilterDatabase" localSheetId="1" hidden="1">Ramos!$A$1:$I$161</definedName>
    <definedName name="_xlnm._FilterDatabase" localSheetId="3" hidden="1">Seguradoras!$E$2:$L$117</definedName>
    <definedName name="Monat_Inflation">'Origem dos Índices'!#REF!</definedName>
    <definedName name="Monat_PME">'Origem dos Índices'!#REF!</definedName>
  </definedNames>
  <calcPr calcId="145621"/>
</workbook>
</file>

<file path=xl/calcChain.xml><?xml version="1.0" encoding="utf-8"?>
<calcChain xmlns="http://schemas.openxmlformats.org/spreadsheetml/2006/main">
  <c r="H32" i="34" l="1"/>
  <c r="F32" i="34"/>
  <c r="G32" i="34" s="1"/>
  <c r="A35" i="34"/>
  <c r="H132" i="34"/>
  <c r="H131" i="34"/>
  <c r="H130" i="34"/>
  <c r="H129" i="34"/>
  <c r="H128" i="34"/>
  <c r="H127" i="34"/>
  <c r="H126" i="34"/>
  <c r="H125" i="34"/>
  <c r="H124" i="34"/>
  <c r="H123" i="34"/>
  <c r="H122" i="34"/>
  <c r="H121" i="34"/>
  <c r="H120" i="34"/>
  <c r="H119" i="34"/>
  <c r="H118" i="34"/>
  <c r="H117" i="34"/>
  <c r="H116" i="34"/>
  <c r="H115" i="34"/>
  <c r="H114" i="34"/>
  <c r="H113" i="34"/>
  <c r="H112" i="34"/>
  <c r="H111" i="34"/>
  <c r="H110" i="34"/>
  <c r="H109" i="34"/>
  <c r="H108" i="34"/>
  <c r="H107" i="34"/>
  <c r="H106" i="34"/>
  <c r="H105" i="34"/>
  <c r="H104" i="34"/>
  <c r="H103" i="34"/>
  <c r="H102" i="34"/>
  <c r="H101" i="34"/>
  <c r="H100" i="34"/>
  <c r="H98" i="34"/>
  <c r="H97" i="34"/>
  <c r="H96" i="34"/>
  <c r="H95" i="34"/>
  <c r="H94" i="34"/>
  <c r="H93" i="34"/>
  <c r="H92" i="34"/>
  <c r="H91" i="34"/>
  <c r="H90" i="34"/>
  <c r="H89" i="34"/>
  <c r="H88" i="34"/>
  <c r="H87" i="34"/>
  <c r="H86" i="34"/>
  <c r="H85" i="34"/>
  <c r="H84" i="34"/>
  <c r="H83" i="34"/>
  <c r="H82" i="34"/>
  <c r="H81" i="34"/>
  <c r="H80" i="34"/>
  <c r="H79" i="34"/>
  <c r="H78" i="34"/>
  <c r="H77" i="34"/>
  <c r="H76" i="34"/>
  <c r="H75" i="34"/>
  <c r="H74" i="34"/>
  <c r="H73" i="34"/>
  <c r="H72" i="34"/>
  <c r="H71" i="34"/>
  <c r="H70" i="34"/>
  <c r="H69" i="34"/>
  <c r="H68" i="34"/>
  <c r="H67" i="34"/>
  <c r="H66" i="34"/>
  <c r="H65" i="34"/>
  <c r="H64" i="34"/>
  <c r="H63" i="34"/>
  <c r="H62" i="34"/>
  <c r="H61" i="34"/>
  <c r="H60" i="34"/>
  <c r="H59" i="34"/>
  <c r="H58" i="34"/>
  <c r="H57" i="34"/>
  <c r="H56" i="34"/>
  <c r="H55" i="34"/>
  <c r="H54" i="34"/>
  <c r="H53" i="34"/>
  <c r="H52" i="34"/>
  <c r="H51" i="34"/>
  <c r="H50" i="34"/>
  <c r="H49" i="34"/>
  <c r="H48" i="34"/>
  <c r="H47" i="34"/>
  <c r="H46" i="34"/>
  <c r="H45" i="34"/>
  <c r="H44" i="34"/>
  <c r="H43" i="34"/>
  <c r="H42" i="34"/>
  <c r="H41" i="34"/>
  <c r="H40" i="34"/>
  <c r="H39" i="34"/>
  <c r="H38" i="34"/>
  <c r="H37" i="34"/>
  <c r="H36" i="34"/>
  <c r="H35" i="34"/>
  <c r="H34" i="34"/>
  <c r="H33" i="34"/>
  <c r="H31" i="34"/>
  <c r="H30" i="34"/>
  <c r="H29" i="34"/>
  <c r="H27" i="34"/>
  <c r="H26" i="34"/>
  <c r="H25" i="34"/>
  <c r="H23" i="34"/>
  <c r="H24" i="34"/>
  <c r="H22" i="34"/>
  <c r="H20" i="34"/>
  <c r="H19" i="34"/>
  <c r="H18" i="34"/>
  <c r="H17" i="34"/>
  <c r="H15" i="34"/>
  <c r="H21" i="34"/>
  <c r="H16" i="34"/>
  <c r="H14" i="34"/>
  <c r="H13" i="34"/>
  <c r="F102" i="34"/>
  <c r="G102" i="34" s="1"/>
  <c r="A102" i="34"/>
  <c r="F23" i="34"/>
  <c r="G23" i="34" s="1"/>
  <c r="A24" i="34"/>
  <c r="F16" i="34"/>
  <c r="G16" i="34" s="1"/>
  <c r="A15" i="34"/>
  <c r="D72" i="30"/>
  <c r="D35" i="29"/>
  <c r="D17" i="28"/>
  <c r="D18" i="28"/>
  <c r="D22" i="33" l="1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D3" i="33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D125" i="27" l="1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F92" i="34"/>
  <c r="G92" i="34" s="1"/>
  <c r="A92" i="34"/>
  <c r="F45" i="34"/>
  <c r="G45" i="34" s="1"/>
  <c r="A45" i="34"/>
  <c r="D71" i="30"/>
  <c r="D70" i="30"/>
  <c r="F112" i="34" l="1"/>
  <c r="G112" i="34" s="1"/>
  <c r="A112" i="34"/>
  <c r="D34" i="29"/>
  <c r="F132" i="34" l="1"/>
  <c r="G132" i="34" s="1"/>
  <c r="A132" i="34"/>
  <c r="F131" i="34"/>
  <c r="G131" i="34" s="1"/>
  <c r="A131" i="34"/>
  <c r="F130" i="34"/>
  <c r="G130" i="34" s="1"/>
  <c r="A130" i="34"/>
  <c r="F129" i="34"/>
  <c r="G129" i="34" s="1"/>
  <c r="A129" i="34"/>
  <c r="F128" i="34"/>
  <c r="G128" i="34" s="1"/>
  <c r="A128" i="34"/>
  <c r="F127" i="34"/>
  <c r="G127" i="34" s="1"/>
  <c r="A127" i="34"/>
  <c r="F126" i="34"/>
  <c r="G126" i="34" s="1"/>
  <c r="A126" i="34"/>
  <c r="F125" i="34"/>
  <c r="G125" i="34" s="1"/>
  <c r="A125" i="34"/>
  <c r="F124" i="34"/>
  <c r="G124" i="34" s="1"/>
  <c r="A124" i="34"/>
  <c r="F123" i="34"/>
  <c r="G123" i="34" s="1"/>
  <c r="A123" i="34"/>
  <c r="F122" i="34"/>
  <c r="G122" i="34" s="1"/>
  <c r="A122" i="34"/>
  <c r="F121" i="34"/>
  <c r="G121" i="34" s="1"/>
  <c r="A121" i="34"/>
  <c r="F120" i="34"/>
  <c r="G120" i="34" s="1"/>
  <c r="A120" i="34"/>
  <c r="F119" i="34"/>
  <c r="G119" i="34" s="1"/>
  <c r="A119" i="34"/>
  <c r="F118" i="34"/>
  <c r="G118" i="34" s="1"/>
  <c r="A118" i="34"/>
  <c r="F117" i="34"/>
  <c r="G117" i="34" s="1"/>
  <c r="A117" i="34"/>
  <c r="F116" i="34"/>
  <c r="G116" i="34" s="1"/>
  <c r="A116" i="34"/>
  <c r="F115" i="34"/>
  <c r="G115" i="34" s="1"/>
  <c r="A115" i="34"/>
  <c r="F114" i="34"/>
  <c r="G114" i="34" s="1"/>
  <c r="A114" i="34"/>
  <c r="F113" i="34"/>
  <c r="G113" i="34" s="1"/>
  <c r="A113" i="34"/>
  <c r="F111" i="34"/>
  <c r="G111" i="34" s="1"/>
  <c r="A111" i="34"/>
  <c r="F110" i="34"/>
  <c r="G110" i="34" s="1"/>
  <c r="A110" i="34"/>
  <c r="F109" i="34"/>
  <c r="G109" i="34" s="1"/>
  <c r="A109" i="34"/>
  <c r="F108" i="34"/>
  <c r="G108" i="34" s="1"/>
  <c r="A108" i="34"/>
  <c r="F107" i="34"/>
  <c r="G107" i="34" s="1"/>
  <c r="A107" i="34"/>
  <c r="F106" i="34"/>
  <c r="G106" i="34" s="1"/>
  <c r="A106" i="34"/>
  <c r="F105" i="34"/>
  <c r="G105" i="34" s="1"/>
  <c r="A105" i="34"/>
  <c r="F104" i="34"/>
  <c r="G104" i="34" s="1"/>
  <c r="A104" i="34"/>
  <c r="F103" i="34"/>
  <c r="G103" i="34" s="1"/>
  <c r="A103" i="34"/>
  <c r="F101" i="34"/>
  <c r="G101" i="34" s="1"/>
  <c r="A101" i="34"/>
  <c r="F100" i="34"/>
  <c r="G100" i="34" s="1"/>
  <c r="A100" i="34"/>
  <c r="F98" i="34"/>
  <c r="G98" i="34" s="1"/>
  <c r="A98" i="34"/>
  <c r="F97" i="34"/>
  <c r="G97" i="34" s="1"/>
  <c r="A97" i="34"/>
  <c r="F96" i="34"/>
  <c r="G96" i="34" s="1"/>
  <c r="A96" i="34"/>
  <c r="F95" i="34"/>
  <c r="G95" i="34" s="1"/>
  <c r="A95" i="34"/>
  <c r="F94" i="34"/>
  <c r="G94" i="34" s="1"/>
  <c r="A94" i="34"/>
  <c r="F93" i="34"/>
  <c r="G93" i="34" s="1"/>
  <c r="A93" i="34"/>
  <c r="F90" i="34"/>
  <c r="G90" i="34" s="1"/>
  <c r="A90" i="34"/>
  <c r="F46" i="34"/>
  <c r="G46" i="34" s="1"/>
  <c r="A46" i="34"/>
  <c r="F91" i="34"/>
  <c r="G91" i="34" s="1"/>
  <c r="A91" i="34"/>
  <c r="F89" i="34"/>
  <c r="G89" i="34" s="1"/>
  <c r="A89" i="34"/>
  <c r="F88" i="34"/>
  <c r="G88" i="34" s="1"/>
  <c r="A88" i="34"/>
  <c r="F87" i="34"/>
  <c r="G87" i="34" s="1"/>
  <c r="A87" i="34"/>
  <c r="F86" i="34"/>
  <c r="G86" i="34" s="1"/>
  <c r="A86" i="34"/>
  <c r="F85" i="34"/>
  <c r="G85" i="34" s="1"/>
  <c r="A85" i="34"/>
  <c r="F84" i="34"/>
  <c r="G84" i="34" s="1"/>
  <c r="A84" i="34"/>
  <c r="F83" i="34"/>
  <c r="G83" i="34" s="1"/>
  <c r="A83" i="34"/>
  <c r="F82" i="34"/>
  <c r="G82" i="34" s="1"/>
  <c r="A82" i="34"/>
  <c r="F81" i="34"/>
  <c r="G81" i="34" s="1"/>
  <c r="A81" i="34"/>
  <c r="F80" i="34"/>
  <c r="G80" i="34" s="1"/>
  <c r="A80" i="34"/>
  <c r="F79" i="34"/>
  <c r="G79" i="34" s="1"/>
  <c r="A79" i="34"/>
  <c r="F78" i="34"/>
  <c r="G78" i="34" s="1"/>
  <c r="A78" i="34"/>
  <c r="F77" i="34"/>
  <c r="G77" i="34" s="1"/>
  <c r="A77" i="34"/>
  <c r="F76" i="34"/>
  <c r="G76" i="34" s="1"/>
  <c r="A76" i="34"/>
  <c r="F75" i="34"/>
  <c r="G75" i="34" s="1"/>
  <c r="A75" i="34"/>
  <c r="F74" i="34"/>
  <c r="G74" i="34" s="1"/>
  <c r="A74" i="34"/>
  <c r="F73" i="34"/>
  <c r="G73" i="34" s="1"/>
  <c r="A73" i="34"/>
  <c r="F72" i="34"/>
  <c r="G72" i="34" s="1"/>
  <c r="A72" i="34"/>
  <c r="F71" i="34"/>
  <c r="G71" i="34" s="1"/>
  <c r="A71" i="34"/>
  <c r="F70" i="34"/>
  <c r="G70" i="34" s="1"/>
  <c r="A70" i="34"/>
  <c r="F69" i="34"/>
  <c r="G69" i="34" s="1"/>
  <c r="A69" i="34"/>
  <c r="F68" i="34"/>
  <c r="G68" i="34" s="1"/>
  <c r="A68" i="34"/>
  <c r="F67" i="34"/>
  <c r="G67" i="34" s="1"/>
  <c r="A67" i="34"/>
  <c r="F66" i="34"/>
  <c r="G66" i="34" s="1"/>
  <c r="A66" i="34"/>
  <c r="F65" i="34"/>
  <c r="G65" i="34" s="1"/>
  <c r="A65" i="34"/>
  <c r="F64" i="34"/>
  <c r="G64" i="34" s="1"/>
  <c r="A64" i="34"/>
  <c r="F63" i="34"/>
  <c r="G63" i="34" s="1"/>
  <c r="A63" i="34"/>
  <c r="F62" i="34"/>
  <c r="G62" i="34" s="1"/>
  <c r="A62" i="34"/>
  <c r="F61" i="34"/>
  <c r="G61" i="34" s="1"/>
  <c r="A61" i="34"/>
  <c r="F60" i="34"/>
  <c r="G60" i="34" s="1"/>
  <c r="A60" i="34"/>
  <c r="F59" i="34"/>
  <c r="G59" i="34" s="1"/>
  <c r="A59" i="34"/>
  <c r="F58" i="34"/>
  <c r="G58" i="34" s="1"/>
  <c r="A58" i="34"/>
  <c r="F57" i="34"/>
  <c r="G57" i="34" s="1"/>
  <c r="A57" i="34"/>
  <c r="F56" i="34"/>
  <c r="G56" i="34" s="1"/>
  <c r="A56" i="34"/>
  <c r="F55" i="34"/>
  <c r="G55" i="34" s="1"/>
  <c r="A55" i="34"/>
  <c r="F54" i="34"/>
  <c r="G54" i="34" s="1"/>
  <c r="A54" i="34"/>
  <c r="F53" i="34"/>
  <c r="G53" i="34" s="1"/>
  <c r="A53" i="34"/>
  <c r="F52" i="34"/>
  <c r="G52" i="34" s="1"/>
  <c r="A52" i="34"/>
  <c r="F51" i="34"/>
  <c r="G51" i="34" s="1"/>
  <c r="A51" i="34"/>
  <c r="F50" i="34"/>
  <c r="G50" i="34" s="1"/>
  <c r="A50" i="34"/>
  <c r="F49" i="34"/>
  <c r="G49" i="34" s="1"/>
  <c r="A49" i="34"/>
  <c r="F48" i="34"/>
  <c r="G48" i="34" s="1"/>
  <c r="A48" i="34"/>
  <c r="F47" i="34"/>
  <c r="G47" i="34" s="1"/>
  <c r="A47" i="34"/>
  <c r="F44" i="34"/>
  <c r="G44" i="34" s="1"/>
  <c r="A44" i="34"/>
  <c r="F43" i="34"/>
  <c r="G43" i="34" s="1"/>
  <c r="A43" i="34"/>
  <c r="F42" i="34"/>
  <c r="G42" i="34" s="1"/>
  <c r="A42" i="34"/>
  <c r="F41" i="34"/>
  <c r="G41" i="34" s="1"/>
  <c r="A41" i="34"/>
  <c r="F40" i="34"/>
  <c r="G40" i="34" s="1"/>
  <c r="A40" i="34"/>
  <c r="F39" i="34"/>
  <c r="G39" i="34" s="1"/>
  <c r="A39" i="34"/>
  <c r="F38" i="34"/>
  <c r="G38" i="34" s="1"/>
  <c r="A38" i="34"/>
  <c r="F37" i="34"/>
  <c r="G37" i="34" s="1"/>
  <c r="A37" i="34"/>
  <c r="F36" i="34"/>
  <c r="G36" i="34" s="1"/>
  <c r="A36" i="34"/>
  <c r="F35" i="34"/>
  <c r="G35" i="34" s="1"/>
  <c r="A34" i="34"/>
  <c r="F34" i="34"/>
  <c r="G34" i="34" s="1"/>
  <c r="A33" i="34"/>
  <c r="F33" i="34"/>
  <c r="G33" i="34" s="1"/>
  <c r="A32" i="34"/>
  <c r="F31" i="34"/>
  <c r="G31" i="34" s="1"/>
  <c r="A31" i="34"/>
  <c r="F30" i="34"/>
  <c r="G30" i="34" s="1"/>
  <c r="A30" i="34"/>
  <c r="F29" i="34"/>
  <c r="G29" i="34" s="1"/>
  <c r="A29" i="34"/>
  <c r="F27" i="34"/>
  <c r="G27" i="34" s="1"/>
  <c r="A27" i="34"/>
  <c r="I25" i="34"/>
  <c r="F26" i="34"/>
  <c r="G26" i="34" s="1"/>
  <c r="A26" i="34"/>
  <c r="F25" i="34"/>
  <c r="G25" i="34" s="1"/>
  <c r="A25" i="34"/>
  <c r="J23" i="34"/>
  <c r="G24" i="34"/>
  <c r="F24" i="34"/>
  <c r="A23" i="34"/>
  <c r="J22" i="34"/>
  <c r="F22" i="34"/>
  <c r="G22" i="34" s="1"/>
  <c r="A22" i="34"/>
  <c r="J21" i="34"/>
  <c r="F20" i="34"/>
  <c r="G20" i="34" s="1"/>
  <c r="A21" i="34"/>
  <c r="F19" i="34"/>
  <c r="G19" i="34" s="1"/>
  <c r="A20" i="34"/>
  <c r="F18" i="34"/>
  <c r="G18" i="34" s="1"/>
  <c r="A19" i="34"/>
  <c r="F17" i="34"/>
  <c r="G17" i="34" s="1"/>
  <c r="A18" i="34"/>
  <c r="F15" i="34"/>
  <c r="G15" i="34" s="1"/>
  <c r="A17" i="34"/>
  <c r="F21" i="34"/>
  <c r="G21" i="34" s="1"/>
  <c r="A16" i="34"/>
  <c r="F14" i="34"/>
  <c r="G14" i="34" s="1"/>
  <c r="A14" i="34"/>
  <c r="F13" i="34"/>
  <c r="G13" i="34" s="1"/>
  <c r="A13" i="34"/>
  <c r="H12" i="34"/>
  <c r="F12" i="34"/>
  <c r="G12" i="34" s="1"/>
  <c r="A12" i="34"/>
  <c r="F1" i="33"/>
  <c r="F1" i="32"/>
  <c r="F1" i="31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D5" i="30"/>
  <c r="D4" i="30"/>
  <c r="D3" i="30"/>
  <c r="F1" i="30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6" i="29"/>
  <c r="D5" i="29"/>
  <c r="D4" i="29"/>
  <c r="D3" i="29"/>
  <c r="F1" i="29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F1" i="28"/>
  <c r="F1" i="27"/>
  <c r="F10" i="34" l="1"/>
  <c r="J24" i="34"/>
  <c r="G10" i="34"/>
  <c r="K6" i="34" l="1"/>
  <c r="J5" i="34"/>
  <c r="K8" i="34"/>
  <c r="K4" i="34"/>
  <c r="J8" i="34"/>
  <c r="K5" i="34"/>
  <c r="L5" i="34" s="1"/>
  <c r="K7" i="34"/>
  <c r="J6" i="34"/>
  <c r="K3" i="34"/>
  <c r="J7" i="34"/>
  <c r="J3" i="34"/>
  <c r="J4" i="34"/>
  <c r="L4" i="34" l="1"/>
  <c r="J13" i="34"/>
  <c r="K11" i="34"/>
  <c r="L7" i="34"/>
  <c r="L8" i="34"/>
  <c r="L3" i="34"/>
  <c r="L6" i="34"/>
  <c r="L9" i="34" l="1"/>
</calcChain>
</file>

<file path=xl/sharedStrings.xml><?xml version="1.0" encoding="utf-8"?>
<sst xmlns="http://schemas.openxmlformats.org/spreadsheetml/2006/main" count="8058" uniqueCount="3826">
  <si>
    <t>Arbeitslosigkeit</t>
  </si>
  <si>
    <t>http://www.ibge.gov.br/home/estatistica/indicadores/trabalhoerendimento/pme_nova/defaulttab_hist.shtm</t>
  </si>
  <si>
    <t>IBGE (Pesquisa Nacional do Emprego) (Pessoas Desocupadas - PD)</t>
  </si>
  <si>
    <t>Monatlich</t>
  </si>
  <si>
    <t>?</t>
  </si>
  <si>
    <t>Rating Brasilien</t>
  </si>
  <si>
    <t>Rating Brasil</t>
  </si>
  <si>
    <t>täglich</t>
  </si>
  <si>
    <t>Währung-EUR</t>
  </si>
  <si>
    <t>BRL/EUR</t>
  </si>
  <si>
    <t>Währung-USD</t>
  </si>
  <si>
    <t>BRL/USD</t>
  </si>
  <si>
    <t>http://www.ibge.gov.br/home/estatistica/indicadores/pib/defaulttabelas.shtm</t>
  </si>
  <si>
    <t>IBGE</t>
  </si>
  <si>
    <t>Quartal</t>
  </si>
  <si>
    <t>PIB</t>
  </si>
  <si>
    <t>http://www.bcb.gov.br/?COPOMJUROS</t>
  </si>
  <si>
    <t>Bacen</t>
  </si>
  <si>
    <t>Grundzins</t>
  </si>
  <si>
    <t>Selic</t>
  </si>
  <si>
    <t>http://www.ibge.gov.br/home/estatistica/indicadores/precos/inpc_ipca/defaulttab.shtm</t>
  </si>
  <si>
    <t>Inflation</t>
  </si>
  <si>
    <t>IPCA e INPC</t>
  </si>
  <si>
    <t>Link</t>
  </si>
  <si>
    <t>Quelle</t>
  </si>
  <si>
    <t>wie oft verfügbar?</t>
  </si>
  <si>
    <t>Art</t>
  </si>
  <si>
    <t>Indikator</t>
  </si>
  <si>
    <t>Total</t>
  </si>
  <si>
    <t>http://countryeconomy.com/ratings/brazil</t>
  </si>
  <si>
    <t>http://www.finanzen.net/anleihen/anleihen_rating.asp?inRating=2</t>
  </si>
  <si>
    <t>Country Economy WebSite</t>
  </si>
  <si>
    <t>BIP</t>
  </si>
  <si>
    <t>http://hcinvestimentos.com/2011/03/28/risco-pais/</t>
  </si>
  <si>
    <t>http://www4.bcb.gov.br/pec/gci/port/focus/FAQ%209-Risco%20Pa%C3%ADs.pdf</t>
  </si>
  <si>
    <t>Offizielle Arbeitslosigkeitsstatistiken (Taxa de Desocupação) *</t>
  </si>
  <si>
    <t>* die Rate ist die Hälfte der Raten Dieese/Sabrae (Privat) und soll mit höchster Vorsicht analysiert werden.</t>
  </si>
  <si>
    <t>Oanda via tseries im R</t>
  </si>
  <si>
    <t>-</t>
  </si>
  <si>
    <t>Grupo</t>
  </si>
  <si>
    <t>Nome</t>
  </si>
  <si>
    <t>CNPJ</t>
  </si>
  <si>
    <t>Endereço</t>
  </si>
  <si>
    <t>Cidade</t>
  </si>
  <si>
    <t>ABGF</t>
  </si>
  <si>
    <t>Nacional</t>
  </si>
  <si>
    <t>AGÊNCIA BRASILEIRA GESTORA DE FUNDOS GARANTIDORES E GARANTIAS S.A. - ABGF</t>
  </si>
  <si>
    <t>00.000.000/0000-00</t>
  </si>
  <si>
    <t>02739</t>
  </si>
  <si>
    <t>SAS-QUADRA 3, BLOCO "O", EDIFICIO ÓRGÃOS REGIONAIS,10º ANDAR -</t>
  </si>
  <si>
    <t>BRASÍLIA</t>
  </si>
  <si>
    <t>ACE</t>
  </si>
  <si>
    <t>Multinacional</t>
  </si>
  <si>
    <t>ACE SEGURADORA S.A.</t>
  </si>
  <si>
    <t>03.502.099/0001-18</t>
  </si>
  <si>
    <t>06513</t>
  </si>
  <si>
    <t>AV. PAULISTA, 1294, - 17º, 18º E 21º ANDARES - BELA VISTA</t>
  </si>
  <si>
    <t>SÃO PAULO</t>
  </si>
  <si>
    <t>AIG</t>
  </si>
  <si>
    <t>AIG SEGUROS BRASIL S.A. (ATUAL DENOMINAÇÃO DE CHARTIS SEGUROS BRASIL S.A.)</t>
  </si>
  <si>
    <t>33.040.981/0001-50</t>
  </si>
  <si>
    <t>08737</t>
  </si>
  <si>
    <t>RUA GOMES DE CARVALHO, 1306 - 12.º ANDAR - CONJUNTO 122 - VILA OLÍMPIA</t>
  </si>
  <si>
    <t xml:space="preserve">ALFA </t>
  </si>
  <si>
    <t>ALFA PREVIDÊNCIA E VIDA S.A.</t>
  </si>
  <si>
    <t>02.713.530/0001-02</t>
  </si>
  <si>
    <t>02895</t>
  </si>
  <si>
    <t>ALAMEDA SANTOS, 466 7º ANDAR - CERQUEIRA CESAR</t>
  </si>
  <si>
    <t>ALFA SEGURADORA S.A.</t>
  </si>
  <si>
    <t>02.713.529/0001-88</t>
  </si>
  <si>
    <t>06467</t>
  </si>
  <si>
    <t>ALAMEDA SANTOS, 466 - 5º ANDAR - PARAÍSO</t>
  </si>
  <si>
    <t>ALIANÇA DA BAHIA</t>
  </si>
  <si>
    <t>COMPANHIA DE SEGUROS ALIANÇA DA BAHIA</t>
  </si>
  <si>
    <t>15.144.017/0001-90</t>
  </si>
  <si>
    <t>05045</t>
  </si>
  <si>
    <t>PINTO MARTINS, 11 - COMÉRCIO</t>
  </si>
  <si>
    <t>SALVADOR</t>
  </si>
  <si>
    <t>ALLIANZ</t>
  </si>
  <si>
    <t>ALLIANZ SEGUROS S.A.</t>
  </si>
  <si>
    <t>61.573.796/0001-66</t>
  </si>
  <si>
    <t>05177</t>
  </si>
  <si>
    <t>RUA LUIS COELHO, 26 - CERQUEIRA CESAR</t>
  </si>
  <si>
    <t>AMERICAN LIFE</t>
  </si>
  <si>
    <t>AMERICAN LIFE COMPANHIA DE SEGUROS</t>
  </si>
  <si>
    <t>67.865.360/0001-27</t>
  </si>
  <si>
    <t>05819</t>
  </si>
  <si>
    <t>AV. ANGELICA, 2626 - CONSOLAÇÃO</t>
  </si>
  <si>
    <t>SAO PAULO</t>
  </si>
  <si>
    <t>ANGELUS</t>
  </si>
  <si>
    <t>ANGELUS SEGUROS S.A.</t>
  </si>
  <si>
    <t>../-</t>
  </si>
  <si>
    <t>03387</t>
  </si>
  <si>
    <t>CANDIDO DE ABREU, 776, 22º ANDAR, CONJ. 2202 - SALA 2 - CENTRO CÍVICO</t>
  </si>
  <si>
    <t>CURITIBA</t>
  </si>
  <si>
    <t>ARGO</t>
  </si>
  <si>
    <t>ARGO SEGUROS BRASIL S.A.</t>
  </si>
  <si>
    <t>14.868.712/0001-31</t>
  </si>
  <si>
    <t>02798</t>
  </si>
  <si>
    <t>AVENIDA DAS NAÇÕES UNIDAS, 12.399 - CJS 140 E 141 - BROOKLIN PAULISTA</t>
  </si>
  <si>
    <t>ASSURANT</t>
  </si>
  <si>
    <t>ASSURANT SEGURADORA S.A.</t>
  </si>
  <si>
    <t>03.823.704/0001-52</t>
  </si>
  <si>
    <t>02143</t>
  </si>
  <si>
    <t>ALAMEDA RIO NEGRO, 585 - EDIFÍCIO DEMINI - 3º ANDAR - ALPHAVILLE</t>
  </si>
  <si>
    <t>BARUERI</t>
  </si>
  <si>
    <t>AUSTRAL</t>
  </si>
  <si>
    <t>AUSTRAL SEGURADORA S.A.</t>
  </si>
  <si>
    <t>11.521.976/0001-26</t>
  </si>
  <si>
    <t>02461</t>
  </si>
  <si>
    <t>AV ATAULFO DE PAIVA 153, 5º E 6º ANDARES-PARTE - LEBLON</t>
  </si>
  <si>
    <t>RIO DE JANEIRO</t>
  </si>
  <si>
    <t>BANESTES</t>
  </si>
  <si>
    <t>Banco do Estado do Espírito Santo</t>
  </si>
  <si>
    <t>BANESTES SEGUROS S.A.</t>
  </si>
  <si>
    <t>27.053.230/0001-75</t>
  </si>
  <si>
    <t>05274</t>
  </si>
  <si>
    <t>AV. PRINCESA ISABEL, 574-ED.PALAS CENTER BL."A" - 8ºE 9ºAND - CENTRO</t>
  </si>
  <si>
    <t>VITÓRIA</t>
  </si>
  <si>
    <t>BCS</t>
  </si>
  <si>
    <t>BCS SEGUROS S.A.</t>
  </si>
  <si>
    <t>48.076.897/0001-63</t>
  </si>
  <si>
    <t>05231</t>
  </si>
  <si>
    <t>AV. PRESIDENTE WILSON 231 SALA Nº2403 E 2404 PARTE - CENTRO</t>
  </si>
  <si>
    <t>BERKLEY</t>
  </si>
  <si>
    <t>BERKLEY INTERNATIONAL DO BRASIL SEGUROS S.A.</t>
  </si>
  <si>
    <t>07.021.544/0001-89</t>
  </si>
  <si>
    <t>01414</t>
  </si>
  <si>
    <t>RUA OLIMPIADAS, 242 7 ANDAR - VILA OLIMPIA</t>
  </si>
  <si>
    <t>BMG</t>
  </si>
  <si>
    <t>Banco BMG</t>
  </si>
  <si>
    <t>BMG SEGURADORA S.A.</t>
  </si>
  <si>
    <t>29.741.030/0001-30</t>
  </si>
  <si>
    <t>06912</t>
  </si>
  <si>
    <t>RUA SAO CLEMENTE 38 04 ANDAR PARTE - BOTAFOGO</t>
  </si>
  <si>
    <t>BELO HORIZONTE</t>
  </si>
  <si>
    <t>BRADESCO</t>
  </si>
  <si>
    <t>Banco Bradesco</t>
  </si>
  <si>
    <t>ALVORADA VIDA S.A.</t>
  </si>
  <si>
    <t>02.305.455/0001-40</t>
  </si>
  <si>
    <t>06491</t>
  </si>
  <si>
    <t>CIDADE DE DEUS S/N - VILA YARA</t>
  </si>
  <si>
    <t>OSASCO</t>
  </si>
  <si>
    <t>ATLÂNTICA COMPANHIA DE SEGUROS</t>
  </si>
  <si>
    <t>33.151.291/0001-78</t>
  </si>
  <si>
    <t>05533</t>
  </si>
  <si>
    <t>RUA BARÃO DE ITAPAGIPE, Nº 225 - PARTE - RIO COMPRIDO</t>
  </si>
  <si>
    <t>BRADESCO AUTO/RE COMPANHIA DE SEGUROS</t>
  </si>
  <si>
    <t>92.682.038/0001-00</t>
  </si>
  <si>
    <t>05312</t>
  </si>
  <si>
    <t>BRADESCO SEGUROS S.A.</t>
  </si>
  <si>
    <t>33.055.146/0001-93</t>
  </si>
  <si>
    <t>05444</t>
  </si>
  <si>
    <t>AV. PAULISTA, 1415 - BELA VISTA</t>
  </si>
  <si>
    <t>BRADESCO VIDA E PREVIDÊNCIA S.A.</t>
  </si>
  <si>
    <t>51.990.695/0001-37</t>
  </si>
  <si>
    <t>06866</t>
  </si>
  <si>
    <t>BRASILPREV</t>
  </si>
  <si>
    <t>Banco do Brasil</t>
  </si>
  <si>
    <t>BRASILPREV SEGUROS E PREVIDÊNCIA S.A.</t>
  </si>
  <si>
    <t>27.665.207/0001-31</t>
  </si>
  <si>
    <t>04707</t>
  </si>
  <si>
    <t>RUA ALEXANDRE DUMAS, 1671 - CHÁC. SANTO ANTÔNIO</t>
  </si>
  <si>
    <t>BRASILVEÍCULOS COMPANHIA DE SEGUROS</t>
  </si>
  <si>
    <t>01.356.570/0001-81</t>
  </si>
  <si>
    <t>06181</t>
  </si>
  <si>
    <t>RUA SENADOR DANTAS, 105 - 29º ANDAR PARTE, 30º E 31º ANDARES - CENTRO</t>
  </si>
  <si>
    <t>BTG PACTUAL</t>
  </si>
  <si>
    <t>Banco BTG Pactual</t>
  </si>
  <si>
    <t>BTG PACTUAL SEGURADORA S.A.</t>
  </si>
  <si>
    <t>15.437.885/0001-68</t>
  </si>
  <si>
    <t>02437</t>
  </si>
  <si>
    <t>AVENIDA BRIGADEIRO FARIA LIMA, 3477 - 14º ANDAR - ITAIM BIBI</t>
  </si>
  <si>
    <t>BVA</t>
  </si>
  <si>
    <t>ARUANA SEGUROS S.A. (ATUAL DENOMINAÇÃO DE BVA SEGUROS S.A.)</t>
  </si>
  <si>
    <t>07.017.295/0001-58</t>
  </si>
  <si>
    <t>02119</t>
  </si>
  <si>
    <t>AV. ALMIRANTE BARROSO, 52 - 19º ANDAR - PARTE - CENTRO</t>
  </si>
  <si>
    <t>CAIXA</t>
  </si>
  <si>
    <t>Caixa Econômica Federal</t>
  </si>
  <si>
    <t>CAIXA SEGURADORA S.A.</t>
  </si>
  <si>
    <t>34.020.354/0001-10</t>
  </si>
  <si>
    <t>05631</t>
  </si>
  <si>
    <t>SCN QUADRA 01, Nº 77, BLOCO A, ED. NUMBE ONE, 15º ANDAR - ASA NORTE</t>
  </si>
  <si>
    <t>BRASILIA</t>
  </si>
  <si>
    <t>CAIXA VIDA E PREVIDÊNCIA S.A.</t>
  </si>
  <si>
    <t>03.730.204/0001-76</t>
  </si>
  <si>
    <t>08141</t>
  </si>
  <si>
    <t>SCN QUADRA 01, Nº 77, BLOCO A, ED. NUMBER ONE 13º ANDAR - ASA NORTE</t>
  </si>
  <si>
    <t>CIA SEGUROS PREVIDENCIA DO SUL</t>
  </si>
  <si>
    <t>92.751.213/0001-73</t>
  </si>
  <si>
    <t>05193</t>
  </si>
  <si>
    <t>AV JULIO DE CASTILHOS, 44 - 7º AO 11º - CENTRO</t>
  </si>
  <si>
    <t>PORTO ALEGRE</t>
  </si>
  <si>
    <t>CAPEMISA</t>
  </si>
  <si>
    <t>CAPEMISA SEGURADORA DE RAMOS ELEMENTARES S.A</t>
  </si>
  <si>
    <t>01741</t>
  </si>
  <si>
    <t>RUA SÃO CLEMENTE, 38, 7º ANDAR - BOTAFOGO</t>
  </si>
  <si>
    <t>CAPEMISA SEGURADORA DE VIDA E PREVIDÊNCIA S/A</t>
  </si>
  <si>
    <t>08.602.745/0001-32</t>
  </si>
  <si>
    <t>04251</t>
  </si>
  <si>
    <t>RUA SÃO CLEMENTE Nº 38 7º ANDAR - BOTAFOGO</t>
  </si>
  <si>
    <t>CARDIF</t>
  </si>
  <si>
    <t>CARDIF DO BRASIL SEGUROS E GARANTIAS S.A.</t>
  </si>
  <si>
    <t>08.279.191/0001-84</t>
  </si>
  <si>
    <t>02933</t>
  </si>
  <si>
    <t>CAMPOS BICUDO, 98, 4ºANDAR - CJ 41 - CHACARA ITAIM</t>
  </si>
  <si>
    <t>CARDIF DO BRASIL VIDA E PREVIDÊNCIA S/A</t>
  </si>
  <si>
    <t>03.546.261/0001-08</t>
  </si>
  <si>
    <t>06548</t>
  </si>
  <si>
    <t>RUA CAMPOS BICUDO, 98 , 2O E 4O. ANDARES - ITAIM</t>
  </si>
  <si>
    <t>LUIZASEG SEGUROS S.A.</t>
  </si>
  <si>
    <t>07.746.953/0001-42</t>
  </si>
  <si>
    <t>02062</t>
  </si>
  <si>
    <t>CAMPOS BICUDO Nº 98 - 3º ANDAR - CONJUNTO 32 - CHÁCARA ITAIM</t>
  </si>
  <si>
    <t>CENTAURO</t>
  </si>
  <si>
    <t>CENTAURO VIDA E PREVIDÊNCIA S.A.</t>
  </si>
  <si>
    <t>42.516.278/0001-66</t>
  </si>
  <si>
    <t>06017</t>
  </si>
  <si>
    <t>NILO CAIRO, 171 - CENTRO</t>
  </si>
  <si>
    <t>CESCEBRASIL</t>
  </si>
  <si>
    <t>CESCEBRASIL SEGUROS DE GARANTIAS E CRÉDITO S.A.</t>
  </si>
  <si>
    <t>29.959.459/0001-07</t>
  </si>
  <si>
    <t>06998</t>
  </si>
  <si>
    <t>ALAMEDA SANTOS 787, CJ 102 E 11º ANDAR - CERQUEIRA CÉSAR</t>
  </si>
  <si>
    <t>CHUBB</t>
  </si>
  <si>
    <t>CHUBB DO BRASIL CIA DE SEGUROS</t>
  </si>
  <si>
    <t>33.170.085/0001-05</t>
  </si>
  <si>
    <t>05011</t>
  </si>
  <si>
    <t>AV. MARIA COELHO DE AGUIAR, Nº 215 BLOCO F 4º ANDAR - JD. SÃO LUIS</t>
  </si>
  <si>
    <t>COFACE</t>
  </si>
  <si>
    <t>COFACE DO BRASIL SEGUROS DE CRÉDITO S.A. (ATUAL DENOMINAÇÃO DE COFACE DO BRASIL SEGUROS DE CRÉDITO INTERNO S.A.)</t>
  </si>
  <si>
    <t>07.644.868/0001-73</t>
  </si>
  <si>
    <t>03328</t>
  </si>
  <si>
    <t>PRACA JOAO DURAN ALONSO, 34 12ºANDAR - BROOKLIN NOVO</t>
  </si>
  <si>
    <t>COMPREV</t>
  </si>
  <si>
    <t>COMPREV SEGUROS E PREVIDÊNCIA S.A.</t>
  </si>
  <si>
    <t>14.333.631/0001-37</t>
  </si>
  <si>
    <t>02879</t>
  </si>
  <si>
    <t>AV MEM DE SA, 247, 1º ANDAR - CENTRO</t>
  </si>
  <si>
    <t>CONFIANÇA CIA DE SEGUROS</t>
  </si>
  <si>
    <t>33.054.883/0001-71</t>
  </si>
  <si>
    <t>05053</t>
  </si>
  <si>
    <t>RUA SETE DE SETEMBRO, 604 - 7º ANDAR - CENTRO</t>
  </si>
  <si>
    <t>CRÉDITO Y CAUCIÓN</t>
  </si>
  <si>
    <t>CRÉDITO Y CAUCIÓN SEGURADORA DE CRÉDITO À EXPORTAÇÃO S.A.</t>
  </si>
  <si>
    <t>08.587.943/0001-74</t>
  </si>
  <si>
    <t>02721</t>
  </si>
  <si>
    <t>AVENIDA ANGELICA, Nº 2530, 10º ANDAR, CONJ. 101 - CONSOLAÇÃO</t>
  </si>
  <si>
    <t>CRÉDITO Y CAUCIÓN SEGURADORA DE CRÉDITO E GARANTIAS S.A.</t>
  </si>
  <si>
    <t>08.587.950/0001-76</t>
  </si>
  <si>
    <t>02020</t>
  </si>
  <si>
    <t>AV. ANGÉLICA, 2530 10 ANDAR CONJ 102 - CONSOLAÇÃO</t>
  </si>
  <si>
    <t>DAYPREV</t>
  </si>
  <si>
    <t>Banco Daycoval</t>
  </si>
  <si>
    <t>DAYPREV VIDA E PREVIDÊNCIA S.A.</t>
  </si>
  <si>
    <t>08.872.199/0001-50</t>
  </si>
  <si>
    <t>01619</t>
  </si>
  <si>
    <t>AVENIDA PAULISTA, 1793 - 7º ANDAR - BELA VISTA</t>
  </si>
  <si>
    <t>EULER HERMES</t>
  </si>
  <si>
    <t>EULER HERMES SEGUROS DE CRÉDITO À EXPORTAÇÃO S.A.</t>
  </si>
  <si>
    <t>05.809.815/0001-30</t>
  </si>
  <si>
    <t>04812</t>
  </si>
  <si>
    <t>ALAMEDA SANTOS, 2335 - CONJUNTO 52 - CERQUEIRA CÉSAR</t>
  </si>
  <si>
    <t>EULER HERMES SEGUROS DE CRÉDITO S.A.</t>
  </si>
  <si>
    <t>04.573.811/0001-32</t>
  </si>
  <si>
    <t>04359</t>
  </si>
  <si>
    <t>ALAMEDA SANTOS, 2335 - CONJUNTO 51 - PARTE - CERQUEIRA CESAR</t>
  </si>
  <si>
    <t>EXCELSIOR</t>
  </si>
  <si>
    <t>COMPANHIA EXCELSIOR DE SEGUROS</t>
  </si>
  <si>
    <t>33.054.826/0001-92</t>
  </si>
  <si>
    <t>05690</t>
  </si>
  <si>
    <t>AV. MARQUES DE OLINDA, 175 - RECIFE ANTIGO</t>
  </si>
  <si>
    <t>RECIFE</t>
  </si>
  <si>
    <t>FAIRFAX</t>
  </si>
  <si>
    <t>FAIRFAX BRASIL SEGUROS CORPORATIVOS S.A.</t>
  </si>
  <si>
    <t>10.793.428/0001-92</t>
  </si>
  <si>
    <t>04669</t>
  </si>
  <si>
    <t>ALAMEDA SANTOS, 1940 - 4ANDAR - CERQUEIRA CESAR</t>
  </si>
  <si>
    <t>FATOR</t>
  </si>
  <si>
    <t>Banco Fator S.A.</t>
  </si>
  <si>
    <t>FATOR SEGURADORA S.A.</t>
  </si>
  <si>
    <t>33.061.862/0001-83</t>
  </si>
  <si>
    <t>06122</t>
  </si>
  <si>
    <t>AV. SANTO AMARO, Nº 48 - 6º ANDAR, CONJ. 61 - VILA NOVA CONCEIÇÃO</t>
  </si>
  <si>
    <t>FEDERAL</t>
  </si>
  <si>
    <t>FEDERAL DE SEGUROS S/A</t>
  </si>
  <si>
    <t>33.928.219/0001-04</t>
  </si>
  <si>
    <t>05002</t>
  </si>
  <si>
    <t>RUA DAS PALMEIRAS Nº 72 - BOTAFOGO</t>
  </si>
  <si>
    <t>FEDERAL VIDA E PREVIDÊNCIA S.A.</t>
  </si>
  <si>
    <t>05.509.289/0001-92</t>
  </si>
  <si>
    <t>01147</t>
  </si>
  <si>
    <t>SC/SUL QUADRA 07 BLOCO A - SALA 503 - SCS</t>
  </si>
  <si>
    <t>GENERALI</t>
  </si>
  <si>
    <t>GENERALI BRASIL SEGUROS S.A.</t>
  </si>
  <si>
    <t>33.072.307/0001-57</t>
  </si>
  <si>
    <t>05908</t>
  </si>
  <si>
    <t>RIO BRANCO, 128 - 4/8 E 14 PAVS. - CENTRO</t>
  </si>
  <si>
    <t>GENTE</t>
  </si>
  <si>
    <t>GENTE SEGURADORA S.A.</t>
  </si>
  <si>
    <t>90.180.605/0001-02</t>
  </si>
  <si>
    <t>06793</t>
  </si>
  <si>
    <t>AV. CARLOS GOMES, 350 - BOA VISTA</t>
  </si>
  <si>
    <t>HDI</t>
  </si>
  <si>
    <t>HDI SEGUROS S.A.</t>
  </si>
  <si>
    <t>29.980.158/0001-57</t>
  </si>
  <si>
    <t>06572</t>
  </si>
  <si>
    <t>AV. ENGENHEIRO LUIS CARLOS BERRINI, 901 3,4, 5 E 6 ANDARES - BROOKLIN</t>
  </si>
  <si>
    <t>HSBC</t>
  </si>
  <si>
    <t>Banco HSBC</t>
  </si>
  <si>
    <t>HSBC SEGUROS (BRASIL) S.A.</t>
  </si>
  <si>
    <t>76.538.446/0001-36</t>
  </si>
  <si>
    <t>06106</t>
  </si>
  <si>
    <t>RUA TENENTE FRANCISCO FERREIRA DE SOUZA, 805 - HAUER</t>
  </si>
  <si>
    <t>HSBC VIDA E PREVIDÊNCIA (BRASIL) S.A.</t>
  </si>
  <si>
    <t>05.607.427/0001-76</t>
  </si>
  <si>
    <t>04740</t>
  </si>
  <si>
    <t>ICATU</t>
  </si>
  <si>
    <t>COMPANHIA BRASILEIRA DE SEGUROS E PREVIDÊNCIA</t>
  </si>
  <si>
    <t>01.582.075/0001-90</t>
  </si>
  <si>
    <t>06301</t>
  </si>
  <si>
    <t>PRAÇA 22 DE ABRIL, 36 - PARTE - CENTRO</t>
  </si>
  <si>
    <t>ICATU SEGUROS S.A.</t>
  </si>
  <si>
    <t>42.283.770/0001-39</t>
  </si>
  <si>
    <t>05142</t>
  </si>
  <si>
    <t>PRAÇA 22 DE ABRIL Nº 36 - PARTE - CENTRO</t>
  </si>
  <si>
    <t>VANGUARDA COMPANHIA DE SEGUROS GERAIS</t>
  </si>
  <si>
    <t>42.582.049/0001-40</t>
  </si>
  <si>
    <t>05657</t>
  </si>
  <si>
    <t>PRAÇA 22 DE ABRIL, Nº 36 (PARTE) - CENTRO</t>
  </si>
  <si>
    <t>INVESTPREV SEGURADORA S.A.</t>
  </si>
  <si>
    <t>42.366.302/0001-28</t>
  </si>
  <si>
    <t>06921</t>
  </si>
  <si>
    <t>AV CARLOS GOMES, 222 CJ 1001 - AUXILIADORA</t>
  </si>
  <si>
    <t>INVESTPREV SEGUROS E PREVIDÊNCIA S.A.</t>
  </si>
  <si>
    <t>17.479.056/0001-73</t>
  </si>
  <si>
    <t>06173</t>
  </si>
  <si>
    <t>RUA RIO DE JANEIRO, 927 - 10º ANDAR - SALA 1015 - CENTRO</t>
  </si>
  <si>
    <t>ITAÚ</t>
  </si>
  <si>
    <t>Banco Itaú</t>
  </si>
  <si>
    <t>ITAÚ SEGUROS DE AUTO E RESIDÊNCIA S.A.</t>
  </si>
  <si>
    <t>08.816.067/0001-00</t>
  </si>
  <si>
    <t>03182</t>
  </si>
  <si>
    <t>AV. EUSÉBIO MATOSO, 1375 -2º AO 8º ANDARES E 10º ANDAR-PARTE - PINHEIROS</t>
  </si>
  <si>
    <t>ITAU SEGUROS S.A.</t>
  </si>
  <si>
    <t>61.557.039/0001-07</t>
  </si>
  <si>
    <t>05321</t>
  </si>
  <si>
    <t>AV. EUSÉBIO MATOSO, 891 - 20º ANDAR - PINHEIROS</t>
  </si>
  <si>
    <t>ITAÚ VIDA E PREVIDÊNCIA S.A.</t>
  </si>
  <si>
    <t>92.661.388/0001-90</t>
  </si>
  <si>
    <t>05096</t>
  </si>
  <si>
    <t>AVENIDA EUSÉBIO MATOSO, 891 - 20º ANDAR - PINHEIROS</t>
  </si>
  <si>
    <t>J. MALUCELLI</t>
  </si>
  <si>
    <t>J. MALUCELLI SEGURADORA S.A.</t>
  </si>
  <si>
    <t>84.948.157/0001-33</t>
  </si>
  <si>
    <t>05436</t>
  </si>
  <si>
    <t>RUA VISCONDE DE NACAR, 1441 - CENTRO</t>
  </si>
  <si>
    <t>J. MALUCELLI SEGUROS S.A.</t>
  </si>
  <si>
    <t>09.064.453/0001-56</t>
  </si>
  <si>
    <t>03727</t>
  </si>
  <si>
    <t>LIBERTY</t>
  </si>
  <si>
    <t>INDIANA SEGUROS S.A.</t>
  </si>
  <si>
    <t>61.100.145/0001-59</t>
  </si>
  <si>
    <t>05843</t>
  </si>
  <si>
    <t>RUA DR. GERALDO CAMPOS MOREIRA, Nº 110 - 13º ANDAR - PARTE E - CIDADE MONÇÕES</t>
  </si>
  <si>
    <t>LIBERTY SEGUROS S.A.</t>
  </si>
  <si>
    <t>61.550.141/0001-72</t>
  </si>
  <si>
    <t>05185</t>
  </si>
  <si>
    <t>RUA DR. GERALDO CAMPOS MOREIRA, 110 - BROOKLIN NOVO</t>
  </si>
  <si>
    <t>LÍDER</t>
  </si>
  <si>
    <t>SEGURADORA LÍDER DOS CONSÓRCIOS DO SEGURO DPVAT S.A.</t>
  </si>
  <si>
    <t>09.248.608/0001-04</t>
  </si>
  <si>
    <t>03271</t>
  </si>
  <si>
    <t>SENADOR DANTAS Nº 74, 5ºANDAR - CENTRO</t>
  </si>
  <si>
    <t>MAF-SCOR</t>
  </si>
  <si>
    <t>ESSOR SEGUROS S.A.</t>
  </si>
  <si>
    <t>14.525.684/0001-50</t>
  </si>
  <si>
    <t>01490</t>
  </si>
  <si>
    <t>AV. RIO BRANCO, 1 SALA 1711 - CENTRO</t>
  </si>
  <si>
    <t>MAPFRE-BB</t>
  </si>
  <si>
    <t>ALIANÇA DO BRASIL SEGUROS S.A.</t>
  </si>
  <si>
    <t>01.378.407/0001-10</t>
  </si>
  <si>
    <t>06211</t>
  </si>
  <si>
    <t>RUA MANOEL DA NÓBREGA N° 1280, 9° ANDAR CONJUNTO 01 - PARAÍSO</t>
  </si>
  <si>
    <t>COMPANHIA DE SEGUROS ALIANÇA DO BRASIL</t>
  </si>
  <si>
    <t>28.196.889/0001-43</t>
  </si>
  <si>
    <t>06785</t>
  </si>
  <si>
    <t>RUA MANUEL DA NÓBREGA, 1280 - 8º E 9º ANDARES - PARAÍSO</t>
  </si>
  <si>
    <t>COMPANHIA DE SEGUROS DO ESTADO DE SÃO PAULO - COSESP</t>
  </si>
  <si>
    <t>62.088.042/0001-83</t>
  </si>
  <si>
    <t>06688</t>
  </si>
  <si>
    <t>RUA PAMPLONA, 227 - BELA VISTA</t>
  </si>
  <si>
    <t>BRASILPREV NOSSO FUTURO SEGUROS E PREVICÊNCIA S.A. (ATUAL DENOMINAÇÃO DE MAPFRE NOSSA CAIXA VIDA E PREVIDÊNCIA S.A.)</t>
  </si>
  <si>
    <t>05.304.876/0001-45</t>
  </si>
  <si>
    <t>04561</t>
  </si>
  <si>
    <t>ALAMEDA SANTOS, 415 - 7 ANDAR - CERQUEIRA CESAR</t>
  </si>
  <si>
    <t>MAPFRE SEGURADORA DE CRÉDITO À EXPORTAÇÃO S.A.</t>
  </si>
  <si>
    <t>08.687.929/0001-42</t>
  </si>
  <si>
    <t>06718</t>
  </si>
  <si>
    <t>AVENIDA DAS NAÇÕES UNIDAS, 11.711 - 15º ANDAR - BROOKLIN PAULISTA</t>
  </si>
  <si>
    <t>MAPFRE VERA CRUZ PREVIDÊNCIA S.A.</t>
  </si>
  <si>
    <t>04.046.576/0001-40</t>
  </si>
  <si>
    <t>03298</t>
  </si>
  <si>
    <t>AVENIDA DAS NAÇÕES UNIDAS, 11.711 - 17º ANDAR - BROOKLIN PAULISTA</t>
  </si>
  <si>
    <t>MAPFRE SEGUROS GERAIS S.A.</t>
  </si>
  <si>
    <t>61.074.175/0001-38</t>
  </si>
  <si>
    <t>06238</t>
  </si>
  <si>
    <t>MAPFRE VIDA S.A.</t>
  </si>
  <si>
    <t>54.484.753/0001-49</t>
  </si>
  <si>
    <t>05665</t>
  </si>
  <si>
    <t>MAPFRE AFFINITY SEGURADORA S.A.</t>
  </si>
  <si>
    <t>87.912.143/0001-58</t>
  </si>
  <si>
    <t>06858</t>
  </si>
  <si>
    <t>AV. DAS NAÇÕES UNIDAS, 11711 - 21º ANDAR - BROOKLIN</t>
  </si>
  <si>
    <t>VIDA SEGURADORA S.A.</t>
  </si>
  <si>
    <t>02.238.239/0001-20</t>
  </si>
  <si>
    <t>06378</t>
  </si>
  <si>
    <t>RUA ARAÚJO PORTO ALEGRE, 36 - 3º ANDAR - CENTRO</t>
  </si>
  <si>
    <t>MBM</t>
  </si>
  <si>
    <t>MBM SEGURADORA S/A</t>
  </si>
  <si>
    <t>87.883.807/0001-06</t>
  </si>
  <si>
    <t>06084</t>
  </si>
  <si>
    <t>ANDRADAS, 772/780 - 8º ANDAR - CENTRO</t>
  </si>
  <si>
    <t>METLIFE</t>
  </si>
  <si>
    <t>Citibank</t>
  </si>
  <si>
    <t>METROPOLITAN LIFE SEGUROS E PREVIDÊNCIA PRIVADA S.A.</t>
  </si>
  <si>
    <t>02.102.498/0001-29</t>
  </si>
  <si>
    <t>06351</t>
  </si>
  <si>
    <t>RUA FLÓRIDA, 1595 - 8º ANDAR - CONJ. 81 - BROOKLIN NOVO</t>
  </si>
  <si>
    <t>MITSUI</t>
  </si>
  <si>
    <t>MITSUI SUMITOMO SEGUROS S.A.</t>
  </si>
  <si>
    <t>33.016.221/0001-07</t>
  </si>
  <si>
    <t>06602</t>
  </si>
  <si>
    <t>ALAMEDA SANTOS 415 - 1ºANDAR - CERQUEIRA CESAR</t>
  </si>
  <si>
    <t>MONGERAL</t>
  </si>
  <si>
    <t>MONGERAL AEGON SEGUROS E PREVIDÊNCIA S.A.</t>
  </si>
  <si>
    <t>33.608.308/0001-73</t>
  </si>
  <si>
    <t>02101</t>
  </si>
  <si>
    <t>TRAVESSA BELAS ARTES, 15 - CENTRO</t>
  </si>
  <si>
    <t>MUTUAL</t>
  </si>
  <si>
    <t>COMPANHIA MUTUAL DE SEGUROS</t>
  </si>
  <si>
    <t>75.170.191/0001-39</t>
  </si>
  <si>
    <t>06131</t>
  </si>
  <si>
    <t>AV. ENGENHEIRO LUIZ CARLOS BERRINI, 1681 - CONJS. 41E 42 - CIDADE DAS MONÇÕES</t>
  </si>
  <si>
    <t>NOBRE</t>
  </si>
  <si>
    <t>NOBRE SEGURADORA DO BRASIL S/A</t>
  </si>
  <si>
    <t>85.031.334/0001-85</t>
  </si>
  <si>
    <t>05754</t>
  </si>
  <si>
    <t>RUA VERGUEIRO, 7.213 - IPIRANGA</t>
  </si>
  <si>
    <t>PANAMERICANA</t>
  </si>
  <si>
    <t>Banco Panamericano</t>
  </si>
  <si>
    <t>PANAMERICANA DE SEGUROS S.A.</t>
  </si>
  <si>
    <t>33.245.762/0001-07</t>
  </si>
  <si>
    <t>06653</t>
  </si>
  <si>
    <t>AV. PAULISTA, 2240 11. ANDAR - BELA VISTA</t>
  </si>
  <si>
    <t>PORTO SEGURO</t>
  </si>
  <si>
    <t>AZUL COMPANHIA DE SEGUROS GERAIS</t>
  </si>
  <si>
    <t>33.448.150/0001-11</t>
  </si>
  <si>
    <t>05355</t>
  </si>
  <si>
    <t>AV RIO BRANCO, 80 -13º E 15º AO 20º ANDARES - CENTRO</t>
  </si>
  <si>
    <t>PORTO SEGURO COMPANHIA DE SEGUROS GERAIS</t>
  </si>
  <si>
    <t>61.198.164/0001-60</t>
  </si>
  <si>
    <t>05886</t>
  </si>
  <si>
    <t>AVENIDA RIO BRANCO, 1489 E RUA GUAIANAZES, 1238 - CAMPOS ELÍSEOS</t>
  </si>
  <si>
    <t>PORTO SEGURO VIDA E PREVIDÊNCIA S/A.</t>
  </si>
  <si>
    <t>58.768.284/0001-40</t>
  </si>
  <si>
    <t>06033</t>
  </si>
  <si>
    <t>AVENIDA RIO BRANCO, 1489 11º ANDAR - CAMPOS ELÍSEOS</t>
  </si>
  <si>
    <t>POTTENCIAL</t>
  </si>
  <si>
    <t>Banco Pottencial</t>
  </si>
  <si>
    <t>POTTENCIAL SEGURADORA S.A.</t>
  </si>
  <si>
    <t>11.699.534/0001-74</t>
  </si>
  <si>
    <t>03069</t>
  </si>
  <si>
    <t>AVENIDA AFONSO PENA 4100 12 ANDAR - CRUZEIRO</t>
  </si>
  <si>
    <t>PQ</t>
  </si>
  <si>
    <t>PQ SEGUROS S.A.</t>
  </si>
  <si>
    <t>15.104.490/0001-43</t>
  </si>
  <si>
    <t>05401</t>
  </si>
  <si>
    <t>MIGUEL CALMON, 398 - 2º ANDAR (PARTE) - COMERCIO</t>
  </si>
  <si>
    <t>PREVIMAX</t>
  </si>
  <si>
    <t>Banco Bonsucesso</t>
  </si>
  <si>
    <t>PREVIMAX PREVIDÊNCIA PRIVADA E SEGURADORA S.A.</t>
  </si>
  <si>
    <t>07.163.211/0001-94</t>
  </si>
  <si>
    <t>03794</t>
  </si>
  <si>
    <t>RUA ALVARENGA PEIXOTO, 974 - PARTE 8º ANDAR - SANTO AGOSTINHO</t>
  </si>
  <si>
    <t>PRUDENTIAL</t>
  </si>
  <si>
    <t>KYOEI DO BRASIL COMPANHIA DE SEGUROS</t>
  </si>
  <si>
    <t>61.383.576/0001-70</t>
  </si>
  <si>
    <t>06360</t>
  </si>
  <si>
    <t>MENA BARRETO, 114 - 6º ANDAR / PARTE - BOTAFOGO</t>
  </si>
  <si>
    <t>PRUDENTIAL DO BRASIL SEGUROS DE VIDA S.A.</t>
  </si>
  <si>
    <t>33.061.813/0001-40</t>
  </si>
  <si>
    <t>05282</t>
  </si>
  <si>
    <t>RUA MENA BARRETO, Nº 114 - BOTAFOGO</t>
  </si>
  <si>
    <t>QBE</t>
  </si>
  <si>
    <t>QBE BRASIL SEGUROS S.A.</t>
  </si>
  <si>
    <t>96.348.677/0001-94</t>
  </si>
  <si>
    <t>05941</t>
  </si>
  <si>
    <t>PRAÇA GENERAL GENTIL FALCÃO, 108, 7º ANDAR, CONJUNTO 71 - CIDADE MONÇÕES</t>
  </si>
  <si>
    <t>RSA</t>
  </si>
  <si>
    <t>ROYAL &amp; SUNALLIANCE SEGUROS (BRASIL) S.A</t>
  </si>
  <si>
    <t>33.065.699/0001-27</t>
  </si>
  <si>
    <t>06751</t>
  </si>
  <si>
    <t>AVENIDA DAS NAÇÕES UNIDAS, 12995 - 4º ANDAR - BROOKLIN NOVO</t>
  </si>
  <si>
    <t>SABEMI</t>
  </si>
  <si>
    <t>SABEMI SEGURADORA S.A.</t>
  </si>
  <si>
    <t>87.163.234/0001-38</t>
  </si>
  <si>
    <t>01007</t>
  </si>
  <si>
    <t>SETE DE SETEMBRO, 515 - TÉRREO, 5º E 9º ANDARES - CENTRO</t>
  </si>
  <si>
    <t>SAFRA</t>
  </si>
  <si>
    <t>Banco Safra</t>
  </si>
  <si>
    <t>SAFRA SEGUROS GERAIS S.A.</t>
  </si>
  <si>
    <t>06.109.373/0001-81</t>
  </si>
  <si>
    <t>01627</t>
  </si>
  <si>
    <t>AVENIDA PAULISTA, 2.100 - 12º ANDAR - CERQUEIRA CESAR</t>
  </si>
  <si>
    <t>SAFRA VIDA E PREVIDÊNCIA S.A.</t>
  </si>
  <si>
    <t>30.902.142/0001-05</t>
  </si>
  <si>
    <t>09938</t>
  </si>
  <si>
    <t>AV.PAULISTA, 2100 - 12º ANDAR - CERQUEIRA CESAR</t>
  </si>
  <si>
    <t>S.PAULO</t>
  </si>
  <si>
    <t>SANCOR</t>
  </si>
  <si>
    <t>SANCOR SEGUROS DO BRASIL S.A.</t>
  </si>
  <si>
    <t>17.643.407/0001-30</t>
  </si>
  <si>
    <t>02950</t>
  </si>
  <si>
    <t>AV. XV DE NOVEMBRO, 871 - SALA 01 - ZONA 01</t>
  </si>
  <si>
    <t>MARINGÁ</t>
  </si>
  <si>
    <t>SANTANDER</t>
  </si>
  <si>
    <t>Banco Santander</t>
  </si>
  <si>
    <t>ZURICH SANTANDER BRASIL SEGUROS S.A.</t>
  </si>
  <si>
    <t>06.136.920/0001-18</t>
  </si>
  <si>
    <t>06564</t>
  </si>
  <si>
    <t>AV. PRES. JUSCELINO KUBITSCHEK, 2041/ 2235 - BL. A -22ºANDAR - VILA OLIMPIA</t>
  </si>
  <si>
    <t>ZURICH SANTANDER BRASIL SEGUROS E PREVIDÊNCIA S.A.</t>
  </si>
  <si>
    <t>87.376.109/0001-06</t>
  </si>
  <si>
    <t>05070</t>
  </si>
  <si>
    <t>AV. PRES. JUSCELINO KUBITSCHEK, 2041/ 2235 - BL. A-22ºANDAR - VILA OLIMPIA</t>
  </si>
  <si>
    <t>SBCE</t>
  </si>
  <si>
    <t>SEGURADORA BRASILEIRA DE CRÉDITO À EXPORTAÇÃO S.A.</t>
  </si>
  <si>
    <t>02.166.824/0001-61</t>
  </si>
  <si>
    <t>06335</t>
  </si>
  <si>
    <t>RUA:SENADOR DANTAS, Nº 74 - 16º ANDAR - CENTRO</t>
  </si>
  <si>
    <t>SINAF</t>
  </si>
  <si>
    <t>JAVA NORDESTE SEGUROS S.A.</t>
  </si>
  <si>
    <t>06.068.410/0001-50</t>
  </si>
  <si>
    <t>04634</t>
  </si>
  <si>
    <t>AV. SANTOS DUMONT,3131 S/1420 - ALDEOTA</t>
  </si>
  <si>
    <t>FORTALEZA</t>
  </si>
  <si>
    <t>SINAF PREVIDENCIAL CIA. DE SEGUROS</t>
  </si>
  <si>
    <t>44.019.198/0001-20</t>
  </si>
  <si>
    <t>06831</t>
  </si>
  <si>
    <t>AV RIO BRANCO , 245 29.ANDAR - CENTRO</t>
  </si>
  <si>
    <t>STARR</t>
  </si>
  <si>
    <t>STARR INTERNATIONAL BRASIL SEGURADORA S.A.</t>
  </si>
  <si>
    <t>17.341.270/0001-69</t>
  </si>
  <si>
    <t>04928</t>
  </si>
  <si>
    <t>AV. PAULISTA, Nº 777/2º ANDAR - PARTE - BELA VISTA</t>
  </si>
  <si>
    <t>SUHAI</t>
  </si>
  <si>
    <t>SUHAI SEGUROS S.A.</t>
  </si>
  <si>
    <t>16.825.255/0001-23</t>
  </si>
  <si>
    <t>04952</t>
  </si>
  <si>
    <t>PROFESSOR JOÃO DOETZER, 303 SALA 5 - JARDIM DAS AMERICAS</t>
  </si>
  <si>
    <t>SUL AMÉRICA</t>
  </si>
  <si>
    <t>SUL AMÉRICA CIA NACIONAL DE SEGUROS</t>
  </si>
  <si>
    <t>33.041.062/0001-09</t>
  </si>
  <si>
    <t>05118</t>
  </si>
  <si>
    <t>RUA BEATRIZ LARRAGOITI LUCAS 121, PARTE - CIDADE NOVA</t>
  </si>
  <si>
    <t>SUL AMÉRICA COMPANHIA DE SEGUROS GERAIS</t>
  </si>
  <si>
    <t>33.822.131/0001-03</t>
  </si>
  <si>
    <t>06696</t>
  </si>
  <si>
    <t>SUL AMÉRICA SEGUROS DE PESSOAS E PREVIDÊNCIA S.A.</t>
  </si>
  <si>
    <t>01.704.513/0001-46</t>
  </si>
  <si>
    <t>06220</t>
  </si>
  <si>
    <t>TOKIO MARINE</t>
  </si>
  <si>
    <t>TOKIO MARINE SEGURADORA S.A.</t>
  </si>
  <si>
    <t>33.164.021/0001-00</t>
  </si>
  <si>
    <t>06190</t>
  </si>
  <si>
    <t>RUA SAMPAIO VIANA 44, 10º ANDAR - PARAÍSO</t>
  </si>
  <si>
    <t>UBF</t>
  </si>
  <si>
    <t>SWISS RE CORPORATE SOLUTIONS BRASIL SEGUROS S.A.</t>
  </si>
  <si>
    <t>72.145.931/0001-99</t>
  </si>
  <si>
    <t>05991</t>
  </si>
  <si>
    <t>RUA SÃO TOMÉ, 86 - 20º AND. - VILA OLÍMPIA</t>
  </si>
  <si>
    <t>UNIAO SEGURADORA</t>
  </si>
  <si>
    <t>UNIÃO SEGURADORA S.A. - VIDA E PREVIDÊNCIA</t>
  </si>
  <si>
    <t>95.611.141/0001-57</t>
  </si>
  <si>
    <t>02801</t>
  </si>
  <si>
    <t>PRAÇA OTAVIO ROCHA, 65 SALA 21 - CENTRO</t>
  </si>
  <si>
    <t>UNIMED</t>
  </si>
  <si>
    <t>UNIMED SEGURADORA S.A.</t>
  </si>
  <si>
    <t>92.863.505/0001-06</t>
  </si>
  <si>
    <t>06947</t>
  </si>
  <si>
    <t>ALAMEDA MINISTRO ROCHA AZEVEDO, 366 - 7º AO 12º ANDARES - CERQUEIRA CÉSAR</t>
  </si>
  <si>
    <t>UNIMED SEGUROS PATRIMONIAIS S.A.</t>
  </si>
  <si>
    <t>12.973.906/0001-71</t>
  </si>
  <si>
    <t>01970</t>
  </si>
  <si>
    <t>ALAMEDA MINISTRO ROCHA AZEVEDO, 366 - 10º ANDAR - CERQUEIRA CÉSAR</t>
  </si>
  <si>
    <t>USEBENS</t>
  </si>
  <si>
    <t>USEBENS SEGUROS S/A</t>
  </si>
  <si>
    <t>09.180.505/0001-50</t>
  </si>
  <si>
    <t>03671</t>
  </si>
  <si>
    <t>RUA DR. DIOGO DE FARIA, 1202 - CONJ. 92 - VILA CLEMENTINO</t>
  </si>
  <si>
    <t>VIRGINIA SURETY</t>
  </si>
  <si>
    <t>VIRGINIA SURETY COMPANHIA DE SEGUROS DO BRASIL</t>
  </si>
  <si>
    <t>03.505.295/0001-46</t>
  </si>
  <si>
    <t>06530</t>
  </si>
  <si>
    <t>AV. PEREIRA BARRETO, 1395 - 2º AO 5º ANDAR - TORRE SUL - PARAISO</t>
  </si>
  <si>
    <t>SANTO ANDRÉ</t>
  </si>
  <si>
    <t>XL</t>
  </si>
  <si>
    <t>XL SEGUROS BRASIL S.A.</t>
  </si>
  <si>
    <t>14.448.493/0001-31</t>
  </si>
  <si>
    <t>01431</t>
  </si>
  <si>
    <t>DOUTOR RENATO PAES DE BARROS, 1017 - 8° ANDAR - ITAIM BIBI</t>
  </si>
  <si>
    <t>YASUDA-MARITIMA</t>
  </si>
  <si>
    <t>MARÍTIMA SEGUROS S.A.</t>
  </si>
  <si>
    <t>61.383.493/0001-80</t>
  </si>
  <si>
    <t>05720</t>
  </si>
  <si>
    <t>RUA CEL. XAVIER DE TOLEDO, 114 - 10º ANDAR - CENTRO</t>
  </si>
  <si>
    <t>YASUDA SEGUROS S.A</t>
  </si>
  <si>
    <t>60.405.925/0001-44</t>
  </si>
  <si>
    <t>06416</t>
  </si>
  <si>
    <t>RUA:CUBATÃO, 320 - PARAISO</t>
  </si>
  <si>
    <t>ZURICH</t>
  </si>
  <si>
    <t>ZURICH MINAS BRASIL SEGUROS S/A</t>
  </si>
  <si>
    <t>17.197.385/0001-21</t>
  </si>
  <si>
    <t>05495</t>
  </si>
  <si>
    <t>RUA DOS CAETÉS, 745 - CENTRO</t>
  </si>
  <si>
    <t>ZURICH VIDA E PREVIDÊNCIA S.A.</t>
  </si>
  <si>
    <t>01.206.480/0001-04</t>
  </si>
  <si>
    <t>06157</t>
  </si>
  <si>
    <t>RUA DOS CAETES, 745 - CENTRO</t>
  </si>
  <si>
    <t>Bancos</t>
  </si>
  <si>
    <t>Origem</t>
  </si>
  <si>
    <t>Codigo FIP</t>
  </si>
  <si>
    <t>Tipo</t>
  </si>
  <si>
    <t>Seguros</t>
  </si>
  <si>
    <t>Previdência</t>
  </si>
  <si>
    <t>ACVAT- PREVIDÊNCIA PRIVADA</t>
  </si>
  <si>
    <t>91.167.361/0001-82</t>
  </si>
  <si>
    <t>AV. BENJAMIN CONSTANT, 428 - CX. POSTAL: 01 - CENTRO</t>
  </si>
  <si>
    <t>LAJEADO</t>
  </si>
  <si>
    <t>APLUB - ASSOCIAÇÃO DOS PROFISSIONAIS LIBERAIS UNIVERSITÁRIOS DO BRASIL</t>
  </si>
  <si>
    <t>92.672.070/0001-04</t>
  </si>
  <si>
    <t>AV JULIO DE CASTILHOS 10 - CENTRO</t>
  </si>
  <si>
    <t>ARC PREVIDÊNCIA PRIVADA</t>
  </si>
  <si>
    <t>33.642.497/0001-09</t>
  </si>
  <si>
    <t>PRAÇA ANA AMELIA, Nº 9 - 10º ANDAR - SALAS 1003 E 1004 - CENTRO</t>
  </si>
  <si>
    <t>ARCESP PREVIDÊNCIA PRIVADA</t>
  </si>
  <si>
    <t>60.939.600/0001-41</t>
  </si>
  <si>
    <t>SÃO BENTO 545 - 2ª S/LOJA - CONJUNTO 9 - CENTRO</t>
  </si>
  <si>
    <t>ASPECIR PREVIDÊNCIA</t>
  </si>
  <si>
    <t>92.843.531/0001-64</t>
  </si>
  <si>
    <t>PRAÇA OTAVIO ROCHA, 65 - 1º ANDAR - CENTRO</t>
  </si>
  <si>
    <t>AUXILIADORA PREVIDÊNCIA</t>
  </si>
  <si>
    <t>17.188.350/0001-26</t>
  </si>
  <si>
    <t>RUA TIMBIRAS 1754 - 9 ANDAR - LOURDES</t>
  </si>
  <si>
    <t>BAMÉRCIO S.A. PREVIDÊNCIA PRIVADA</t>
  </si>
  <si>
    <t>50.662.436/0001-14</t>
  </si>
  <si>
    <t>RUA CANADÁ, 387 - JARDIM AMÉRICA</t>
  </si>
  <si>
    <t>BMC PREVIDÊNCIA PRIVADA S.A.</t>
  </si>
  <si>
    <t>07.622.099/0001-02</t>
  </si>
  <si>
    <t>CIDADE DE DEUS, S/N - VILA YARA</t>
  </si>
  <si>
    <t>EQUATORIAL PREVIDÊNCIA COMPLEMENTAR</t>
  </si>
  <si>
    <t>42.150.987/0001-70</t>
  </si>
  <si>
    <t>AVENIDA PARANAIBA, Nº 538 - CENTRO</t>
  </si>
  <si>
    <t>GOIÂNIA</t>
  </si>
  <si>
    <t>FAMILIA BANDEIRANTE PREVIDÊNCIA PRIVADA</t>
  </si>
  <si>
    <t>62.874.219/0001-77</t>
  </si>
  <si>
    <t>RUA MATIAS CARDOSO, 63 SL.305/308 - SANTO AGOSTINHO</t>
  </si>
  <si>
    <t>FUTURO - PREVIDÊNCIA PRIVADA</t>
  </si>
  <si>
    <t>92.812.098/0001-08</t>
  </si>
  <si>
    <t>RUA BARÃO DE ITAPETININGA Nº 124 - 3º ANDAR - CONJUNTO 31 - REPÚBLICA</t>
  </si>
  <si>
    <t>GBOEX - GREMIO BENEFICENTE</t>
  </si>
  <si>
    <t>92.872.100/0001-26</t>
  </si>
  <si>
    <t>SETE DE SETEMBRO 604 - CENTRO</t>
  </si>
  <si>
    <t>LUTERPREV- ENTIDADE LUTERANA DE PREVIDÊNCIA</t>
  </si>
  <si>
    <t>00.795.766/0001-00</t>
  </si>
  <si>
    <t>RUA LUIZ MANOEL GONZAGA, 450 CONJ. 804 - PETRÓPOLIS</t>
  </si>
  <si>
    <t>MBM PREVIDÊNCIA PRIVADA</t>
  </si>
  <si>
    <t>92.892.256/0001-79</t>
  </si>
  <si>
    <t>RUA DOS ANDRADAS, 774 - CENTRO</t>
  </si>
  <si>
    <t>PECÚLIO UNIÃO PREVIDÊNCIA PRIVADA</t>
  </si>
  <si>
    <t>29.961.505/0001-02</t>
  </si>
  <si>
    <t>PRAÇA PIO X, 55, 3° ANDAR, SALA 302, PARTE - CENTRO</t>
  </si>
  <si>
    <t>PREVICORP PREVIDÊNCIA PRIVADA</t>
  </si>
  <si>
    <t>42.136.390/0001-71</t>
  </si>
  <si>
    <t>AVENIDA TANCREDO NEVES, 999 - GRUPO 101 - CAMINHO DAS ÁRVORES</t>
  </si>
  <si>
    <t>PREVIMIL PREVIDÊNCIA COMPLEMENTAR S.A.</t>
  </si>
  <si>
    <t>95.619.003/0001-14</t>
  </si>
  <si>
    <t>AVENIDA DAS AMÉRICAS Nº 500 - BLOCO 18 - SALAS 301 E 302 - BARRA DA TIJUCA</t>
  </si>
  <si>
    <t>RECÍPROCA ASSISTÊNCIA</t>
  </si>
  <si>
    <t>34.115.683/0001-44</t>
  </si>
  <si>
    <t>RUA DA QUITANDA, 30 - 13 ANDAR - CENTRO</t>
  </si>
  <si>
    <t>SABEMI PREVIDÊNCIA PRIVADA</t>
  </si>
  <si>
    <t>88.747.928/0001-85</t>
  </si>
  <si>
    <t>SETE DE SETEMBRO, 515 - 4º ANDAR - CENTRO</t>
  </si>
  <si>
    <t>SOCIEDADE CAXIENSE DE MÚTUO SOCORRO</t>
  </si>
  <si>
    <t>88.663.828/0001-70</t>
  </si>
  <si>
    <t>RUA GARIBALDI,803 - CENTRO</t>
  </si>
  <si>
    <t>CAXIAS DO SUL</t>
  </si>
  <si>
    <t>UNIÃO PREVIDENCIÁRIA COMETA DO BRASIL - COMPREV</t>
  </si>
  <si>
    <t>33.634.999/0001-80</t>
  </si>
  <si>
    <t>AV MEM DE SÁ, 247, 1º ANDAR - CENTRO</t>
  </si>
  <si>
    <t>UPOFA UNIÃO PREVIDENCIAL</t>
  </si>
  <si>
    <t>76.678.101/0001-88</t>
  </si>
  <si>
    <t>RUA EMILIANO PERNETA, 10 9º ANDAR - CENTRO</t>
  </si>
  <si>
    <t>VIVER PREVIDÊNCIA</t>
  </si>
  <si>
    <t>33.767.492/0001-02</t>
  </si>
  <si>
    <t>AVENIDA ALVARES CABRAL Nº 397 - 2º ANDAR - SALA/CONJUNTO 201 - LOURDES</t>
  </si>
  <si>
    <t>ACVAT</t>
  </si>
  <si>
    <t>APLUB</t>
  </si>
  <si>
    <t>ARC</t>
  </si>
  <si>
    <t>ARCESP</t>
  </si>
  <si>
    <t>ASPECIR</t>
  </si>
  <si>
    <t>AUXILIADORA</t>
  </si>
  <si>
    <t>BAMÉRCIO</t>
  </si>
  <si>
    <t>BMC</t>
  </si>
  <si>
    <t>EQUATORIAL</t>
  </si>
  <si>
    <t>FAMÍLIA BANDEIRANTE</t>
  </si>
  <si>
    <t>FUTURO</t>
  </si>
  <si>
    <t>GBOEX</t>
  </si>
  <si>
    <t>LUTERPREV</t>
  </si>
  <si>
    <t>PECÚLIO UNIAO</t>
  </si>
  <si>
    <t>PREVICORP</t>
  </si>
  <si>
    <t>PREVIMIL</t>
  </si>
  <si>
    <t>RECÍPROCA</t>
  </si>
  <si>
    <t>SCMS</t>
  </si>
  <si>
    <t>UPOFA</t>
  </si>
  <si>
    <t>VIVER</t>
  </si>
  <si>
    <t>Capitalização</t>
  </si>
  <si>
    <t>APLICAP CAPITALIZAÇÃO S.A.</t>
  </si>
  <si>
    <t>13.122.801/0001-71</t>
  </si>
  <si>
    <t>PEDRO ADAMS FILHO, 3700 - PATRIA NOVA</t>
  </si>
  <si>
    <t>NOVO HAMBURGO</t>
  </si>
  <si>
    <t>APLUB CAPITALIZAÇÃO S.A.</t>
  </si>
  <si>
    <t>88.076.302/0001-94</t>
  </si>
  <si>
    <t>AV. JÚLIO DE CASTILHOS, 10 - 5º ANDAR - CENTRO</t>
  </si>
  <si>
    <t>ATLÂNTICA CAPITALIZAÇÃO S.A.</t>
  </si>
  <si>
    <t>01.598.935/0001-84</t>
  </si>
  <si>
    <t>BB CAPITALIZAÇÃO S.A. (ATUAL DENOMINAÇÃO DE NOSSA CAIXA CAPITALIZAÇÃO S.A.)</t>
  </si>
  <si>
    <t>07.681.872/0001-01</t>
  </si>
  <si>
    <t>RUA XV DE NOVEMBRO, 111 - 11º ANDAR - SALA 3 - CENTRO</t>
  </si>
  <si>
    <t>BRADESCO CAPITALIZAÇÃO S.A.</t>
  </si>
  <si>
    <t>33.010.851/0001-74</t>
  </si>
  <si>
    <t>BRASILCAP CAPITALIZAÇÃO S.A.</t>
  </si>
  <si>
    <t>15.138.043/0001-05</t>
  </si>
  <si>
    <t>SENADOR DANTAS, 105 / 9º E 10º ANDARES - CENTRO</t>
  </si>
  <si>
    <t>CAIXA CAPITALIZAÇÃO S.A.</t>
  </si>
  <si>
    <t>01.599.296/0001-71</t>
  </si>
  <si>
    <t>SCN QUADRA 01, Nº 77, BLOCO A, ED. NUMBER ONE 12º ANDAR - ASA NORTE</t>
  </si>
  <si>
    <t>CAPEMISA CAPITALIZAÇÃO S.A.</t>
  </si>
  <si>
    <t>14.056.028/0001-55</t>
  </si>
  <si>
    <t>RUA SÃO CLEMENTE Nº 38 5º ANDAR - BOTAFOGO</t>
  </si>
  <si>
    <t>CARDIF CAPITALIZAÇÃO S.A.</t>
  </si>
  <si>
    <t>11.467.788/0001-67</t>
  </si>
  <si>
    <t>CAMPOS BICUDO, 98, 4O ANDAR, CJ 41 - ITAIM BIBI</t>
  </si>
  <si>
    <t>CIA. ITAÚ DE CAPITALIZAÇÃO</t>
  </si>
  <si>
    <t>23.025.711/0001-16</t>
  </si>
  <si>
    <t>PRAÇA ALFREDO EGYDIO DE SOUZA ARANHA, 100-T.A.EGYDIO-9ºANDAR - PARQUE JABAQUARA</t>
  </si>
  <si>
    <t>HSBC CAPITALIZAÇÃO (BRASIL) S.A.</t>
  </si>
  <si>
    <t>33.602.053/0001-31</t>
  </si>
  <si>
    <t>HSBC EMPRESA DE CAPITALIZAÇÃO (BRASIL) S.A.</t>
  </si>
  <si>
    <t>33.425.075/0001-73</t>
  </si>
  <si>
    <t>ICATU CAPITALIZAÇÃO S.A.</t>
  </si>
  <si>
    <t>74.267.170/0001-73</t>
  </si>
  <si>
    <t>PRAÇA VINTE E DOIS DE ABRIL, 36 - CENTRO</t>
  </si>
  <si>
    <t>INVEST CAPITALIZAÇÃO S.A. (ANTIGA DENOMINAÇÃO DE INVESTPREV CAPITALIZAÇÃO S.A.)</t>
  </si>
  <si>
    <t>93.202.448/0001-79</t>
  </si>
  <si>
    <t>AV. CARLOS GOMES, 222 - AUXILIADORA</t>
  </si>
  <si>
    <t>LIDERANÇA CAPITALIZAÇÃO S/A</t>
  </si>
  <si>
    <t>60.853.264/0001-10</t>
  </si>
  <si>
    <t>RUA JACEGUAI, 400 - BELA VISTA</t>
  </si>
  <si>
    <t>MAPFRE CAPITALIZAÇÃO S.A.</t>
  </si>
  <si>
    <t>09.382.998/0001-00</t>
  </si>
  <si>
    <t>AV. DAS NAÇÕES UNIDAS, 12.495 - 11º ANDAR - BROOKLIN PAULISTA</t>
  </si>
  <si>
    <t>PORTO SEGURO CAPITALIZAÇÃO S.A.</t>
  </si>
  <si>
    <t>AVENIDA RIO BRANCO, 1489 - 8º ANDAR - CAMPOS ELÍSEOS</t>
  </si>
  <si>
    <t>SANTANDER CAPITALIZAÇÃO S.A.</t>
  </si>
  <si>
    <t>03.209.092/0001-02</t>
  </si>
  <si>
    <t>AVENIDA PRES JUSCELINO KUBITSCHEK Nº 2041 E 2235 -BL A 22º - VILA OLIMPIA</t>
  </si>
  <si>
    <t>SUL AMÉRICA CAPITALIZAÇÃO S.A. - SULACAP</t>
  </si>
  <si>
    <t>03.558.096/0001-04</t>
  </si>
  <si>
    <t>RUA BEATRIZ LARRAGOITI LUCAS, Nº121 - CIDADE NOVA</t>
  </si>
  <si>
    <t>APLICAP</t>
  </si>
  <si>
    <t>INVEST</t>
  </si>
  <si>
    <t>LIDERANCA</t>
  </si>
  <si>
    <t>MAPFRE</t>
  </si>
  <si>
    <t>BRASILCAP</t>
  </si>
  <si>
    <t>Relação de Seguradoras</t>
  </si>
  <si>
    <t>Código FIP</t>
  </si>
  <si>
    <t>CEP</t>
  </si>
  <si>
    <t>DDD</t>
  </si>
  <si>
    <t>Data Autorização/Cadastramento</t>
  </si>
  <si>
    <t>01310-915</t>
  </si>
  <si>
    <t>+55 11 4504-4400</t>
  </si>
  <si>
    <t>CNPJ: 03.502.099/0001-18</t>
  </si>
  <si>
    <t>04547-005</t>
  </si>
  <si>
    <t>+55 11 3809-2200</t>
  </si>
  <si>
    <t>Código FIP: 06513</t>
  </si>
  <si>
    <t>01418-000</t>
  </si>
  <si>
    <t>+55 11 3175-5023</t>
  </si>
  <si>
    <t>SÃO PAULO - Cep: 01310915</t>
  </si>
  <si>
    <t>AV. DAS NAÇÕES UNIDAS, N° 11711 - 21° ANDAR - BROOKLIN</t>
  </si>
  <si>
    <t>04578-000</t>
  </si>
  <si>
    <t xml:space="preserve">+55 11 38882700 </t>
  </si>
  <si>
    <t>DDD: 11 - Tel: 4504-4400 - Fax: 4504-4396</t>
  </si>
  <si>
    <t>RUA EUGÊNIO DE MEDEIROS N° 303 - PINHEIROS</t>
  </si>
  <si>
    <t>05425-000</t>
  </si>
  <si>
    <t>+55 11 3171-6000</t>
  </si>
  <si>
    <t>Data Autorização/Cadastramento: 03/11/1999</t>
  </si>
  <si>
    <t>06029-900</t>
  </si>
  <si>
    <t>+55 11 3265-5418</t>
  </si>
  <si>
    <t>+ Informações sobre Seguradora</t>
  </si>
  <si>
    <t>01228-200</t>
  </si>
  <si>
    <t>+55 11 3017-0033</t>
  </si>
  <si>
    <t>+ Informações sobre Filiais</t>
  </si>
  <si>
    <t>18.133.809/0001-57</t>
  </si>
  <si>
    <t>RUA VISCONDE DE PIRAJÁ, 547 SALA 802 - PARTE - IPANEMA</t>
  </si>
  <si>
    <t>22410-900</t>
  </si>
  <si>
    <t>+55 21 3509-2420</t>
  </si>
  <si>
    <t>CNPJ: 00.000.000/0000-00</t>
  </si>
  <si>
    <t>06454-000</t>
  </si>
  <si>
    <t xml:space="preserve">+55 11 41979400 </t>
  </si>
  <si>
    <t>Código FIP: 02739</t>
  </si>
  <si>
    <t>20261-901</t>
  </si>
  <si>
    <t>+55 21 2503-1199</t>
  </si>
  <si>
    <t>HUMAITÁ Nº 275, 7º ANDAR - PARTE 1 - HUMAITÁ</t>
  </si>
  <si>
    <t>22261-005</t>
  </si>
  <si>
    <t>+55 21 3125-5500</t>
  </si>
  <si>
    <t>AV RIO BRANCO, 80 - 16º AO 20º ANDARES - CENTRO</t>
  </si>
  <si>
    <t>20040-070</t>
  </si>
  <si>
    <t>+55 21 3906-2985</t>
  </si>
  <si>
    <t>29010-360</t>
  </si>
  <si>
    <t>+55 27 3383-2809</t>
  </si>
  <si>
    <t>Data Autorização/Cadastramento: -</t>
  </si>
  <si>
    <t>20030-021</t>
  </si>
  <si>
    <t>+55 21 3861-4139</t>
  </si>
  <si>
    <t>04551-000</t>
  </si>
  <si>
    <t xml:space="preserve">+55 11 38488622 </t>
  </si>
  <si>
    <t>CNPJ: 33.040.981/0001-50</t>
  </si>
  <si>
    <t>01311-200</t>
  </si>
  <si>
    <t>+55 11 3265-5433</t>
  </si>
  <si>
    <t>Código FIP: 08737</t>
  </si>
  <si>
    <t>Endereço: RUA GOMES DE CARVALHO, 1306 - 12.º ANDAR - CONJUNTO 122 - VILA OLÍMPIA</t>
  </si>
  <si>
    <t>RUA ALEXANDRE DUMAS, 1671 - 4º ANDAR - ALA B (PARTE) - CHÁC. SANTO ANTÔNIO</t>
  </si>
  <si>
    <t>04717-004</t>
  </si>
  <si>
    <t>+55 11 2162-6300</t>
  </si>
  <si>
    <t>SÃO PAULO - Cep: 04547005</t>
  </si>
  <si>
    <t>DDD: 11 - Tel: 3809-2200 - Fax: 3809-2111</t>
  </si>
  <si>
    <t>AV. DAS NAÇÕES UNIDAS Nº 11711, 21º ANDAR - BROOKLIN</t>
  </si>
  <si>
    <t>+55 11 3888-2700</t>
  </si>
  <si>
    <t>Data Autorização/Cadastramento: 21/02/2003</t>
  </si>
  <si>
    <t>04538-133</t>
  </si>
  <si>
    <t xml:space="preserve">+55 11 33832000 </t>
  </si>
  <si>
    <t>70711-900</t>
  </si>
  <si>
    <t xml:space="preserve">+55 61 21922468 </t>
  </si>
  <si>
    <t>+55 61 2192-2468</t>
  </si>
  <si>
    <t>22260-900</t>
  </si>
  <si>
    <t>+55 D: - Fax:</t>
  </si>
  <si>
    <t>CAPEMISA SEGURADORA DE VIDA E PREVIDÊNCIA S.A.</t>
  </si>
  <si>
    <t>+55 21 2536-7909</t>
  </si>
  <si>
    <t>CNPJ: 02.713.530/0001-02</t>
  </si>
  <si>
    <t>04536-010</t>
  </si>
  <si>
    <t>Código FIP: 02895</t>
  </si>
  <si>
    <t>CARDIF DO BRASIL VIDA E PREVIDÊNCIA S.A.</t>
  </si>
  <si>
    <t>+55 11 2246-9000</t>
  </si>
  <si>
    <t>Endereço: ALAMEDA SANTOS, 466 7º ANDAR - CERQUEIRA CESAR</t>
  </si>
  <si>
    <t>80060-050</t>
  </si>
  <si>
    <t>SÃO PAULO - Cep: 01418000</t>
  </si>
  <si>
    <t>01419-001</t>
  </si>
  <si>
    <t>DDD: 11 - Tel: 3175-5023 - Fax: 3175-5025</t>
  </si>
  <si>
    <t>CHUBB DO BRASIL COMPANHIA DE SEGUROS</t>
  </si>
  <si>
    <t>05805-900</t>
  </si>
  <si>
    <t>+55 11 3741-2244</t>
  </si>
  <si>
    <t>Data Autorização/Cadastramento: 31/08/2004</t>
  </si>
  <si>
    <t>04571-070</t>
  </si>
  <si>
    <t>+55 11 5509 8181</t>
  </si>
  <si>
    <t>20021-370</t>
  </si>
  <si>
    <t>+55 21 3824-3900</t>
  </si>
  <si>
    <t>40015-020</t>
  </si>
  <si>
    <t>+55 71 3616-1013</t>
  </si>
  <si>
    <t>01405-902</t>
  </si>
  <si>
    <t>+55 11 3254-4888</t>
  </si>
  <si>
    <t>CNPJ: 02.713.529/0001-88</t>
  </si>
  <si>
    <t>COMPANHIA DE SEGUROS PREVIDÊNCIA DO SUL</t>
  </si>
  <si>
    <t>RUA GENERAL CÂMARA, 230 - TÉRREO, 2°, 5°,6º,7º,8º,9º,10º,11º - CENTRO HISTÓRICO</t>
  </si>
  <si>
    <t>90010-230</t>
  </si>
  <si>
    <t>+55 51 2117-7111</t>
  </si>
  <si>
    <t>Código FIP: 06467</t>
  </si>
  <si>
    <t>50030-000</t>
  </si>
  <si>
    <t>+55 81 3087-9200</t>
  </si>
  <si>
    <t>Endereço: ALAMEDA SANTOS, 466 - 5º ANDAR - PARAÍSO</t>
  </si>
  <si>
    <t>04571-011</t>
  </si>
  <si>
    <t>+55 11 5508-6000</t>
  </si>
  <si>
    <t>20230-151</t>
  </si>
  <si>
    <t xml:space="preserve">+55 21 25052040 </t>
  </si>
  <si>
    <t>DDD: 11 - Tel: 3175-5023 - Fax: 3175 5133</t>
  </si>
  <si>
    <t>90010-190</t>
  </si>
  <si>
    <t xml:space="preserve">+55 51 32158000 </t>
  </si>
  <si>
    <t>+55 11 3100.1100</t>
  </si>
  <si>
    <t>+55 11 3138-0561</t>
  </si>
  <si>
    <t>20091-007</t>
  </si>
  <si>
    <t>+55 21 3626-1123</t>
  </si>
  <si>
    <t>AVENIDA PAULISTA, 2421 - 3º ANDAR - JARDIM PAULISTA</t>
  </si>
  <si>
    <t>01311-300</t>
  </si>
  <si>
    <t xml:space="preserve">+55 11 30652260 </t>
  </si>
  <si>
    <t>CNPJ: 01.378.407/0001-10</t>
  </si>
  <si>
    <t>+55 11 3065-2260</t>
  </si>
  <si>
    <t>Código FIP: 06211</t>
  </si>
  <si>
    <t>01418-200</t>
  </si>
  <si>
    <t>+55 11 3041-3059</t>
  </si>
  <si>
    <t>Endereço: AV. DAS NAÇÕES UNIDAS, N° 11711 - 21° ANDAR - BROOKLIN</t>
  </si>
  <si>
    <t>04506-000</t>
  </si>
  <si>
    <t>+55 11 3709-3010</t>
  </si>
  <si>
    <t>SÃO PAULO - Cep: 04578000</t>
  </si>
  <si>
    <t>DDD: 11 - Tel: 38882700 - Fax: 38882770</t>
  </si>
  <si>
    <t>Data Autorização/Cadastramento: 19/07/1996</t>
  </si>
  <si>
    <t>20040-002</t>
  </si>
  <si>
    <t>+55 21 2508-0100</t>
  </si>
  <si>
    <t>90480-000</t>
  </si>
  <si>
    <t xml:space="preserve">+55 51 30278888 </t>
  </si>
  <si>
    <t>04571-010</t>
  </si>
  <si>
    <t>+55 11 5508-1300</t>
  </si>
  <si>
    <t>81630-010</t>
  </si>
  <si>
    <t>+55 41 3777-4110</t>
  </si>
  <si>
    <t>CNPJ: 61.573.796/0001-66</t>
  </si>
  <si>
    <t>AVENIDA BRIGADEIRO FARIA LIMA, 3064, 2º ANDAR - ITAIM BIBI</t>
  </si>
  <si>
    <t>01451-000</t>
  </si>
  <si>
    <t xml:space="preserve">+55 41 37774110 </t>
  </si>
  <si>
    <t>Código FIP: 05177</t>
  </si>
  <si>
    <t>Endereço: RUA EUGÊNIO DE MEDEIROS N° 303 - PINHEIROS</t>
  </si>
  <si>
    <t>04571-020</t>
  </si>
  <si>
    <t>+55 11 2663-4082</t>
  </si>
  <si>
    <t>SÃO PAULO - Cep: 05425000</t>
  </si>
  <si>
    <t xml:space="preserve">+55 51 30832300 </t>
  </si>
  <si>
    <t>DDD: 11 - Tel: 3171-6000 - Fax: 3171-6506</t>
  </si>
  <si>
    <t>AV. CARLOS GOMES, 222 - 10º ANDAR - SALA 1001 - AUXILIADORA</t>
  </si>
  <si>
    <t>Data Autorização/Cadastramento: 30/12/1993</t>
  </si>
  <si>
    <t>AV. EUSÉBIO MATOSO, 1375 -2º AO 4º E 7º ANDAR - PINHEIROS</t>
  </si>
  <si>
    <t>05423-905</t>
  </si>
  <si>
    <t>+55 11 3366-3366</t>
  </si>
  <si>
    <t>PRAÇA ALFREDO EGYDIO DE SOUZA ARANHA,100-T.A.EGYDIO-12ºANDAR - PARQUE JABAQUARA</t>
  </si>
  <si>
    <t>04344-902</t>
  </si>
  <si>
    <t>+55 11 3166-1549</t>
  </si>
  <si>
    <t>PRAÇA ALFREDO EGYDIO DE SOUZA ARANHA, 100-T.A.EGYDIO-7ºANDAR - PARQUE JABAQUARA</t>
  </si>
  <si>
    <t>+55 11 3584-4964</t>
  </si>
  <si>
    <t>RUA VISCONDE DE NACAR, 1440 - CENTRO</t>
  </si>
  <si>
    <t>80410-201</t>
  </si>
  <si>
    <t xml:space="preserve">+55 41 32819190 </t>
  </si>
  <si>
    <t>CNPJ: 02.305.455/0001-40</t>
  </si>
  <si>
    <t>AV. SANTOS DUMONT, 2122 - SALA 608 - ALDEOTA</t>
  </si>
  <si>
    <t>60150-160</t>
  </si>
  <si>
    <t>+55  0 080028232</t>
  </si>
  <si>
    <t>Código FIP: 06491</t>
  </si>
  <si>
    <t>22271-100</t>
  </si>
  <si>
    <t>+55 21 2271-3221</t>
  </si>
  <si>
    <t>Endereço: CIDADE DE DEUS S/N - VILA YARA</t>
  </si>
  <si>
    <t>OSASCO - Cep: 06029900</t>
  </si>
  <si>
    <t>DDD: 11 - Tel: 3265-5418 - Fax: 3283-3918</t>
  </si>
  <si>
    <t>Data Autorização/Cadastramento: 11/10/1999</t>
  </si>
  <si>
    <t>AVENIDA DAS NAÇÕES UNIDAS, 12.495 - 11º ANDAR - BROOKLIN PAULISTA</t>
  </si>
  <si>
    <t>+55 11 2663-5279</t>
  </si>
  <si>
    <t>CNPJ: 67.865.360/0001-27</t>
  </si>
  <si>
    <t>MBM SEGURADORA S.A.</t>
  </si>
  <si>
    <t>90020-004</t>
  </si>
  <si>
    <t xml:space="preserve">+55 51 32162500 </t>
  </si>
  <si>
    <t>Código FIP: 05819</t>
  </si>
  <si>
    <t>RUA FLÓRIDA, 1595 - 1º, 4º, 5º, 7º, 8º, 13º, 14º E 15º AN - BROOKLIN NOVO</t>
  </si>
  <si>
    <t>04565-001</t>
  </si>
  <si>
    <t>+55 11 5501.9700</t>
  </si>
  <si>
    <t>Endereço: AV. ANGELICA, 2626 - CONSOLAÇÃO</t>
  </si>
  <si>
    <t>01419-913</t>
  </si>
  <si>
    <t>+55 11 3177-5800</t>
  </si>
  <si>
    <t>SAO PAULO - Cep: 01228200</t>
  </si>
  <si>
    <t>MONGERAL AEGON SEGUROS E PREVIDÊNCIA S. A.</t>
  </si>
  <si>
    <t>20060-000</t>
  </si>
  <si>
    <t>+55 21 3722-2200</t>
  </si>
  <si>
    <t>DDD: 11 - Tel: 3017-0033 - Fax: 30170020</t>
  </si>
  <si>
    <t>NOBRE SEGURADORA DO BRASIL S.A.</t>
  </si>
  <si>
    <t>04273-200</t>
  </si>
  <si>
    <t xml:space="preserve">+55 11 50691177 </t>
  </si>
  <si>
    <t>Data Autorização/Cadastramento: 29/03/1996</t>
  </si>
  <si>
    <t>PAN SEGUROS S.A.</t>
  </si>
  <si>
    <t>AV. PAULISTA, 1.374 - 16º. ANDAR - BELA VISTA</t>
  </si>
  <si>
    <t>01310-100</t>
  </si>
  <si>
    <t xml:space="preserve">+55 11 32645012 </t>
  </si>
  <si>
    <t>AVENIDA RIO BRANCO, 1485/9 E RUA GUAIANASES, 1234 - CAMPOS ELÍSEOS</t>
  </si>
  <si>
    <t>01205-001</t>
  </si>
  <si>
    <t xml:space="preserve">+55 11 33665199 </t>
  </si>
  <si>
    <t>PORTO SEGURO VIDA E PREVIDÊNCIA S.A.</t>
  </si>
  <si>
    <t>01216-010</t>
  </si>
  <si>
    <t>AVENIDA AFONSO PENA 4100 13 ANDAR - CRUZEIRO</t>
  </si>
  <si>
    <t>30130-009</t>
  </si>
  <si>
    <t>+55 31 2121-7788</t>
  </si>
  <si>
    <t>MIGUEL CALMON, 398 - 7º ANDAR (PARTE) - COMERCIO</t>
  </si>
  <si>
    <t>40015-010</t>
  </si>
  <si>
    <t xml:space="preserve">+55 71 32423860 </t>
  </si>
  <si>
    <t>CNPJ: 18.133.809/0001-57</t>
  </si>
  <si>
    <t>30180-120</t>
  </si>
  <si>
    <t>+55 31 2103-7911</t>
  </si>
  <si>
    <t>Código FIP: 03387</t>
  </si>
  <si>
    <t>+55 21 3088-4000</t>
  </si>
  <si>
    <t>04571-150</t>
  </si>
  <si>
    <t>+55 11 3545-8900</t>
  </si>
  <si>
    <t>ROYAL &amp; SUNALLIANCE SEGUROS (BRASIL) S.A.</t>
  </si>
  <si>
    <t>+55 11 3556-7000</t>
  </si>
  <si>
    <t>+55 51 3123-1900</t>
  </si>
  <si>
    <t>Data Autorização/Cadastramento: 11/03/2013</t>
  </si>
  <si>
    <t>01310-930</t>
  </si>
  <si>
    <t xml:space="preserve">+55 11 31758627 </t>
  </si>
  <si>
    <t>87013-230</t>
  </si>
  <si>
    <t xml:space="preserve">+55 44 30465500 </t>
  </si>
  <si>
    <t>PRAÇA JOÃO DURAN ALONSO, N.º 34 - 12º ANDAR - BROOKLIN NOVO</t>
  </si>
  <si>
    <t>+55 11 5509-8181</t>
  </si>
  <si>
    <t>CNPJ: 14.868.712/0001-31</t>
  </si>
  <si>
    <t>20031-205</t>
  </si>
  <si>
    <t>+55 21 3861-4600</t>
  </si>
  <si>
    <t>Código FIP: 02798</t>
  </si>
  <si>
    <t>20040-009</t>
  </si>
  <si>
    <t xml:space="preserve">+55 21 32121400 </t>
  </si>
  <si>
    <t>Endereço: AVENIDA DAS NAÇÕES UNIDAS, 12.399 - CJS 140 E 141 - BROOKLIN PAULISTA</t>
  </si>
  <si>
    <t>AVENIDA PAULISTA, 777 2ºANDAR - BELA VISTA</t>
  </si>
  <si>
    <t>01311-100</t>
  </si>
  <si>
    <t>+55 11 3146-8700</t>
  </si>
  <si>
    <t>COMENDADOR ARAÚJO, 499, 10º ANDAR, CONJUNTO 1002 - CENTRO</t>
  </si>
  <si>
    <t>80420-000</t>
  </si>
  <si>
    <t>20211-903</t>
  </si>
  <si>
    <t>+55 21 2506-4707</t>
  </si>
  <si>
    <t>Data Autorização/Cadastramento: 13/12/2011</t>
  </si>
  <si>
    <t>SUL AMÉRICA COMPANHIA NACIONAL DE SEGUROS</t>
  </si>
  <si>
    <t>AV. PAULISTA, N° 500 - CJS. 61,62 E 63 - BELA VISTA</t>
  </si>
  <si>
    <t>01310-000</t>
  </si>
  <si>
    <t>+55 11 3073-8000</t>
  </si>
  <si>
    <t>04004-000</t>
  </si>
  <si>
    <t>+55 11 3054-4305</t>
  </si>
  <si>
    <t>CNPJ: 07.017.295/0001-58</t>
  </si>
  <si>
    <t>90020-140</t>
  </si>
  <si>
    <t xml:space="preserve">+55 51 30619606 </t>
  </si>
  <si>
    <t>Código FIP: 02119</t>
  </si>
  <si>
    <t>ALAMEDA MINISTRO ROCHA AZEVEDO, 346 - CERQUEIRA CÉSAR</t>
  </si>
  <si>
    <t>01410-901</t>
  </si>
  <si>
    <t>+55 11 3265-9700</t>
  </si>
  <si>
    <t>Endereço: RUA VISCONDE DE PIRAJÁ, 547 SALA 802 - PARTE - IPANEMA</t>
  </si>
  <si>
    <t>RIO DE JANEIRO - Cep: 22410900</t>
  </si>
  <si>
    <t>USEBENS SEGUROS S.A.</t>
  </si>
  <si>
    <t>RUA GOMES DE CARVALHO, 1.306, CONJ 42 - VILA OLÍMPIA</t>
  </si>
  <si>
    <t xml:space="preserve">+55 11 25057668 </t>
  </si>
  <si>
    <t>DDD: 21 - Tel: 3509-2420 - Fax: 3509-2420</t>
  </si>
  <si>
    <t>Data Autorização/Cadastramento: 22/07/2004</t>
  </si>
  <si>
    <t>AVENIDA DAS NAÇOES UNIDAS, Nº 11.711 - 21ºANDAR - BROOKLIN</t>
  </si>
  <si>
    <t>09190-610</t>
  </si>
  <si>
    <t>+55 11 4422-8500</t>
  </si>
  <si>
    <t>04530-001</t>
  </si>
  <si>
    <t xml:space="preserve">+55 11 35139278 </t>
  </si>
  <si>
    <t>YASUDA SEGUROS S.A.</t>
  </si>
  <si>
    <t>04013-001</t>
  </si>
  <si>
    <t>+55 11 3886-1411</t>
  </si>
  <si>
    <t>CNPJ: 03.823.704/0001-52</t>
  </si>
  <si>
    <t>ZURICH MINAS BRASIL SEGUROS S.A.</t>
  </si>
  <si>
    <t>AV.GETÚLIO VARGAS, 1.420 5º E 6º ANDARES - SAVASSI</t>
  </si>
  <si>
    <t>30112-021</t>
  </si>
  <si>
    <t>+55 31 3219-3000</t>
  </si>
  <si>
    <t>Código FIP: 02143</t>
  </si>
  <si>
    <t>04543-011</t>
  </si>
  <si>
    <t>+55 11 5538-7863</t>
  </si>
  <si>
    <t>Endereço: ALAMEDA RIO NEGRO, 585 - EDIFÍCIO DEMINI - 3º ANDAR - ALPHAVILLE</t>
  </si>
  <si>
    <t>04543-001</t>
  </si>
  <si>
    <t>BARUERI - Cep: 06454000</t>
  </si>
  <si>
    <t>DDD: 11 - Tel: 41979400 - Fax: 41979409</t>
  </si>
  <si>
    <t>Data Autorização/Cadastramento: 16/05/2002</t>
  </si>
  <si>
    <t>CNPJ: 33.151.291/0001-78</t>
  </si>
  <si>
    <t>Código FIP: 05533</t>
  </si>
  <si>
    <t>Endereço: RUA BARÃO DE ITAPAGIPE, Nº 225 - PARTE - RIO COMPRIDO</t>
  </si>
  <si>
    <t>RIO DE JANEIRO - Cep: 20261901</t>
  </si>
  <si>
    <t>DDD: 21 - Tel: 2503-1199 - Fax: 2503-1042</t>
  </si>
  <si>
    <t>Data Autorização/Cadastramento: 28/08/1980</t>
  </si>
  <si>
    <t>CNPJ: 11.521.976/0001-26</t>
  </si>
  <si>
    <t>Código FIP: 02461</t>
  </si>
  <si>
    <t>Endereço: HUMAITÁ Nº 275, 7º ANDAR - PARTE 1 - HUMAITÁ</t>
  </si>
  <si>
    <t>RIO DE JANEIRO - Cep: 22261005</t>
  </si>
  <si>
    <t>DDD: 21 - Tel: 3125-5500 - Fax: 3125-5600</t>
  </si>
  <si>
    <t>Data Autorização/Cadastramento: 20/10/2010</t>
  </si>
  <si>
    <t>CNPJ: 33.448.150/0001-11</t>
  </si>
  <si>
    <t>Código FIP: 05355</t>
  </si>
  <si>
    <t>Endereço: AV RIO BRANCO, 80 - 16º AO 20º ANDARES - CENTRO</t>
  </si>
  <si>
    <t>RIO DE JANEIRO - Cep: 20040070</t>
  </si>
  <si>
    <t>DDD: 21 - Tel: 3906-2985 - Fax: 25075400</t>
  </si>
  <si>
    <t>Data Autorização/Cadastramento: 02/03/2000</t>
  </si>
  <si>
    <t>CNPJ: 27.053.230/0001-75</t>
  </si>
  <si>
    <t>Código FIP: 05274</t>
  </si>
  <si>
    <t>Endereço: AV. PRINCESA ISABEL, 574-ED.PALAS CENTER BL."A" - 8ºE 9ºAND - CENTRO</t>
  </si>
  <si>
    <t>VITÓRIA - Cep: 29010360</t>
  </si>
  <si>
    <t>Data Autorização/Cadastramento: 16/06/1977</t>
  </si>
  <si>
    <t>CNPJ: 48.076.897/0001-63</t>
  </si>
  <si>
    <t>Código FIP: 05231</t>
  </si>
  <si>
    <t>Endereço: AV. PRESIDENTE WILSON 231 SALA Nº2403 E 2404 PARTE - CENTRO</t>
  </si>
  <si>
    <t>RIO DE JANEIRO - Cep: 20030021</t>
  </si>
  <si>
    <t>DDD: 21 - Tel: 3861-4139 - Fax: 3861-4339</t>
  </si>
  <si>
    <t>Data Autorização/Cadastramento: 02/07/2003</t>
  </si>
  <si>
    <t>CNPJ: 07.021.544/0001-89</t>
  </si>
  <si>
    <t>Código FIP: 01414</t>
  </si>
  <si>
    <t>Endereço: RUA OLIMPIADAS, 242 7 ANDAR - VILA OLIMPIA</t>
  </si>
  <si>
    <t>SÃO PAULO - Cep: 04551000</t>
  </si>
  <si>
    <t>DDD: 11 - Tel: 38488622 - Fax: 38488633</t>
  </si>
  <si>
    <t>Data Autorização/Cadastramento: 23/01/2006</t>
  </si>
  <si>
    <t>CNPJ: 29.741.030/0001-30</t>
  </si>
  <si>
    <t>Código FIP: 06912</t>
  </si>
  <si>
    <t>Data Autorização/Cadastramento: 13/02/1990</t>
  </si>
  <si>
    <t>CNPJ: 92.682.038/0001-00</t>
  </si>
  <si>
    <t>Código FIP: 05312</t>
  </si>
  <si>
    <t>Data Autorização/Cadastramento: 13/03/2002</t>
  </si>
  <si>
    <t>CNPJ: 33.055.146/0001-93</t>
  </si>
  <si>
    <t>Código FIP: 05444</t>
  </si>
  <si>
    <t>Endereço: AV. PAULISTA, 1415 - BELA VISTA</t>
  </si>
  <si>
    <t>SÃO PAULO - Cep: 01311200</t>
  </si>
  <si>
    <t>DDD: 11 - Tel: 3265-5433 - Fax: 3284-5912</t>
  </si>
  <si>
    <t>Data Autorização/Cadastramento: 06/06/1983</t>
  </si>
  <si>
    <t>CNPJ: 51.990.695/0001-37</t>
  </si>
  <si>
    <t>Código FIP: 06866</t>
  </si>
  <si>
    <t>Data Autorização/Cadastramento: 15/08/2002</t>
  </si>
  <si>
    <t>CNPJ: 05.304.876/0001-45</t>
  </si>
  <si>
    <t>Código FIP: 04561</t>
  </si>
  <si>
    <t>Endereço: RUA ALEXANDRE DUMAS, 1671 - 4º ANDAR - ALA B (PARTE) - CHÁC. SANTO ANTÔNIO</t>
  </si>
  <si>
    <t>SÃO PAULO - Cep: 04717004</t>
  </si>
  <si>
    <t>DDD: 11 - Tel: 2162-6300 - Fax: 2162-6302</t>
  </si>
  <si>
    <t>Data Autorização/Cadastramento: 16/02/2005</t>
  </si>
  <si>
    <t>CNPJ: 27.665.207/0001-31</t>
  </si>
  <si>
    <t>Código FIP: 04707</t>
  </si>
  <si>
    <t>Endereço: RUA ALEXANDRE DUMAS, 1671 - CHÁC. SANTO ANTÔNIO</t>
  </si>
  <si>
    <t>Data Autorização/Cadastramento: 24/05/2002</t>
  </si>
  <si>
    <t>CNPJ: 01.356.570/0001-81</t>
  </si>
  <si>
    <t>Código FIP: 06181</t>
  </si>
  <si>
    <t>Endereço: AV. DAS NAÇÕES UNIDAS Nº 11711, 21º ANDAR - BROOKLIN</t>
  </si>
  <si>
    <t>DDD: 11 - Tel: 3888-2700 - Fax: 3888-2770</t>
  </si>
  <si>
    <t>Data Autorização/Cadastramento: 21/07/1997</t>
  </si>
  <si>
    <t>CNPJ: 15.437.885/0001-68</t>
  </si>
  <si>
    <t>Código FIP: 02437</t>
  </si>
  <si>
    <t>Endereço: AVENIDA BRIGADEIRO FARIA LIMA, 3477 - 14º ANDAR - ITAIM BIBI</t>
  </si>
  <si>
    <t>SÃO PAULO - Cep: 04538133</t>
  </si>
  <si>
    <t>DDD: 11 - Tel: 33832000 - Fax: 33832001</t>
  </si>
  <si>
    <t>Data Autorização/Cadastramento: 20/12/2012</t>
  </si>
  <si>
    <t>CNPJ: 34.020.354/0001-10</t>
  </si>
  <si>
    <t>Código FIP: 05631</t>
  </si>
  <si>
    <t>Endereço: SCN QUADRA 01, Nº 77, BLOCO A, ED. NUMBE ONE, 15º ANDAR - ASA NORTE</t>
  </si>
  <si>
    <t>BRASILIA - Cep: 70711900</t>
  </si>
  <si>
    <t>DDD: 61 - Tel: 21922468 - Fax: 33282084</t>
  </si>
  <si>
    <t>Data Autorização/Cadastramento: 29/06/2001</t>
  </si>
  <si>
    <t>CNPJ: 03.730.204/0001-76</t>
  </si>
  <si>
    <t>Código FIP: 08141</t>
  </si>
  <si>
    <t>Endereço: SCN QUADRA 01, Nº 77, BLOCO A, ED. NUMBER ONE 13º ANDAR - ASA NORTE</t>
  </si>
  <si>
    <t>DDD: 61 - Tel: 2192-2468 - Fax: 3328-2084</t>
  </si>
  <si>
    <t>Data Autorização/Cadastramento: 29/04/2002</t>
  </si>
  <si>
    <t>Código FIP: 01741</t>
  </si>
  <si>
    <t>RIO DE JANEIRO - Cep: 22260900</t>
  </si>
  <si>
    <t>DDD: - Tel: - Fax:</t>
  </si>
  <si>
    <t>Data Autorização/Cadastramento: 19/12/2013</t>
  </si>
  <si>
    <t>CNPJ: 08.602.745/0001-32</t>
  </si>
  <si>
    <t>Código FIP: 04251</t>
  </si>
  <si>
    <t>Endereço: RUA SÃO CLEMENTE Nº 38 7º ANDAR - BOTAFOGO</t>
  </si>
  <si>
    <t>DDD: 21 - Tel: 2536-7909 - Fax: 2536-7656</t>
  </si>
  <si>
    <t>Data Autorização/Cadastramento: 17/09/2007</t>
  </si>
  <si>
    <t>CNPJ: 08.279.191/0001-84</t>
  </si>
  <si>
    <t>Código FIP: 02933</t>
  </si>
  <si>
    <t>SÃO PAULO - Cep: 04536010</t>
  </si>
  <si>
    <t>Data Autorização/Cadastramento: 16/08/2006</t>
  </si>
  <si>
    <t>CNPJ: 03.546.261/0001-08</t>
  </si>
  <si>
    <t>Código FIP: 06548</t>
  </si>
  <si>
    <t>DDD: 11 - Tel: 2246-9000 - Fax: 2246-9077</t>
  </si>
  <si>
    <t>Data Autorização/Cadastramento: 19/11/1999</t>
  </si>
  <si>
    <t>CNPJ: 42.516.278/0001-66</t>
  </si>
  <si>
    <t>Código FIP: 06017</t>
  </si>
  <si>
    <t>Endereço: NILO CAIRO, 171 - CENTRO</t>
  </si>
  <si>
    <t>CURITIBA - Cep: 80060050</t>
  </si>
  <si>
    <t>Data Autorização/Cadastramento: 03/02/1993</t>
  </si>
  <si>
    <t>CNPJ: 29.959.459/0001-07</t>
  </si>
  <si>
    <t>Código FIP: 06998</t>
  </si>
  <si>
    <t>SÃO PAULO - Cep: 01419001</t>
  </si>
  <si>
    <t>Data Autorização/Cadastramento: 07/03/1990</t>
  </si>
  <si>
    <t>CNPJ: 33.170.085/0001-05</t>
  </si>
  <si>
    <t>Código FIP: 05011</t>
  </si>
  <si>
    <t>Endereço: AV. MARIA COELHO DE AGUIAR, Nº 215 BLOCO F 4º ANDAR - JD. SÃO LUIS</t>
  </si>
  <si>
    <t>SÃO PAULO - Cep: 05805900</t>
  </si>
  <si>
    <t>DDD: 11 - Tel: 3741-2244 - Fax: 3741-3727</t>
  </si>
  <si>
    <t>Data Autorização/Cadastramento: 22/10/1991</t>
  </si>
  <si>
    <t>CNPJ: 07.644.868/0001-73</t>
  </si>
  <si>
    <t>Código FIP: 03328</t>
  </si>
  <si>
    <t>Endereço: PRACA JOAO DURAN ALONSO, 34 12ºANDAR - BROOKLIN NOVO</t>
  </si>
  <si>
    <t>SÃO PAULO - Cep: 04571070</t>
  </si>
  <si>
    <t>DDD: 11 - Tel: 5509 8181 - Fax: 5509 8180</t>
  </si>
  <si>
    <t>Data Autorização/Cadastramento: 27/06/2005</t>
  </si>
  <si>
    <t>CNPJ: 01.582.075/0001-90</t>
  </si>
  <si>
    <t>Código FIP: 06301</t>
  </si>
  <si>
    <t>Endereço: PRAÇA 22 DE ABRIL, 36 - PARTE - CENTRO</t>
  </si>
  <si>
    <t>RIO DE JANEIRO - Cep: 20021370</t>
  </si>
  <si>
    <t>DDD: 21 - Tel: 3824-3900 - Fax: 3824-6667</t>
  </si>
  <si>
    <t>Data Autorização/Cadastramento: 20/06/2002</t>
  </si>
  <si>
    <t>CNPJ: 15.144.017/0001-90</t>
  </si>
  <si>
    <t>Código FIP: 05045</t>
  </si>
  <si>
    <t>Endereço: PINTO MARTINS, 11 - COMÉRCIO</t>
  </si>
  <si>
    <t>SALVADOR - Cep: 40015020</t>
  </si>
  <si>
    <t>DDD: 71 - Tel: 3616-1013 - Fax: 3616-1016</t>
  </si>
  <si>
    <t>Data Autorização/Cadastramento: 18/12/1941</t>
  </si>
  <si>
    <t>CNPJ: 28.196.889/0001-43</t>
  </si>
  <si>
    <t>Código FIP: 06785</t>
  </si>
  <si>
    <t>Endereço: AV. DAS NAÇÕES UNIDAS, 11711 - 21º ANDAR - BROOKLIN</t>
  </si>
  <si>
    <t>Data Autorização/Cadastramento: 03/12/1997</t>
  </si>
  <si>
    <t>CNPJ: 62.088.042/0001-83</t>
  </si>
  <si>
    <t>Código FIP: 06688</t>
  </si>
  <si>
    <t>Endereço: RUA PAMPLONA, 227 - BELA VISTA</t>
  </si>
  <si>
    <t>SÃO PAULO - Cep: 01405902</t>
  </si>
  <si>
    <t>DDD: 11 - Tel: 3254-4888 - Fax: 3254-4879</t>
  </si>
  <si>
    <t>Data Autorização/Cadastramento: 02/10/1969</t>
  </si>
  <si>
    <t>CNPJ: 92.751.213/0001-73</t>
  </si>
  <si>
    <t>Código FIP: 05193</t>
  </si>
  <si>
    <t>Endereço: RUA GENERAL CÂMARA, 230 - TÉRREO, 2°, 5°,6º,7º,8º,9º,10º,11º - CENTRO HISTÓRICO</t>
  </si>
  <si>
    <t>PORTO ALEGRE - Cep: 90010230</t>
  </si>
  <si>
    <t>DDD: 51 - Tel: 2117-7111 - Fax: 2117-7198</t>
  </si>
  <si>
    <t>Data Autorização/Cadastramento: 17/10/1973</t>
  </si>
  <si>
    <t>CNPJ: 33.054.826/0001-92</t>
  </si>
  <si>
    <t>Código FIP: 05690</t>
  </si>
  <si>
    <t>Endereço: AV. MARQUES DE OLINDA, 175 - RECIFE ANTIGO</t>
  </si>
  <si>
    <t>RECIFE - Cep: 50030000</t>
  </si>
  <si>
    <t>DDD: 81 - Tel: 3087-9200 - Fax: 3087-9292</t>
  </si>
  <si>
    <t>Data Autorização/Cadastramento: 21/03/1944</t>
  </si>
  <si>
    <t>CNPJ: 75.170.191/0001-39</t>
  </si>
  <si>
    <t>Código FIP: 06131</t>
  </si>
  <si>
    <t>Endereço: AV. ENGENHEIRO LUIZ CARLOS BERRINI, 1681 - CONJS. 41E 42 - CIDADE DAS MONÇÕES</t>
  </si>
  <si>
    <t>SÃO PAULO - Cep: 04571011</t>
  </si>
  <si>
    <t>DDD: 11 - Tel: 5508-6000 - Fax: 5508-6001</t>
  </si>
  <si>
    <t>Data Autorização/Cadastramento: 14/01/1999</t>
  </si>
  <si>
    <t>CNPJ: 14.333.631/0001-37</t>
  </si>
  <si>
    <t>Código FIP: 02879</t>
  </si>
  <si>
    <t>Endereço: AV MEM DE SA, 247, 1º ANDAR - CENTRO</t>
  </si>
  <si>
    <t>RIO DE JANEIRO - Cep: 20230151</t>
  </si>
  <si>
    <t>DDD: 21 - Tel: 25052040 - Fax: 25052070</t>
  </si>
  <si>
    <t>Data Autorização/Cadastramento: 09/09/2011</t>
  </si>
  <si>
    <t>CNPJ: 33.054.883/0001-71</t>
  </si>
  <si>
    <t>Código FIP: 05053</t>
  </si>
  <si>
    <t>Endereço: RUA SETE DE SETEMBRO, 604 - 7º ANDAR - CENTRO</t>
  </si>
  <si>
    <t>PORTO ALEGRE - Cep: 90010190</t>
  </si>
  <si>
    <t>DDD: 51 - Tel: 32158000 - Fax: 3226.76.58</t>
  </si>
  <si>
    <t>Data Autorização/Cadastramento: 31/01/1997</t>
  </si>
  <si>
    <t>CNPJ: 08.587.943/0001-74</t>
  </si>
  <si>
    <t>Código FIP: 02721</t>
  </si>
  <si>
    <t>Endereço: AVENIDA ANGELICA, Nº 2530, 10º ANDAR, CONJ. 101 - CONSOLAÇÃO</t>
  </si>
  <si>
    <t>SÃO PAULO - Cep: 01228200</t>
  </si>
  <si>
    <t>DDD: 11 - Tel: 3100.1100 - Fax: 3100.1109</t>
  </si>
  <si>
    <t>Data Autorização/Cadastramento: 01/12/2006</t>
  </si>
  <si>
    <t>CNPJ: 08.587.950/0001-76</t>
  </si>
  <si>
    <t>Código FIP: 02020</t>
  </si>
  <si>
    <t>Endereço: AV. ANGÉLICA, 2530 10 ANDAR CONJ 102 - CONSOLAÇÃO</t>
  </si>
  <si>
    <t>CNPJ: 08.872.199/0001-50</t>
  </si>
  <si>
    <t>Código FIP: 01619</t>
  </si>
  <si>
    <t>Endereço: AVENIDA PAULISTA, 1793 - 7º ANDAR - BELA VISTA</t>
  </si>
  <si>
    <t>DDD: 11 - Tel: 3138-0561 - Fax: 3138-0679</t>
  </si>
  <si>
    <t>Data Autorização/Cadastramento: 11/05/2007</t>
  </si>
  <si>
    <t>CNPJ: 14.525.684/0001-50</t>
  </si>
  <si>
    <t>Código FIP: 01490</t>
  </si>
  <si>
    <t>RIO DE JANEIRO - Cep: 20091007</t>
  </si>
  <si>
    <t>DDD: 21 - Tel: 3626-1123 - Fax: 3626-1149</t>
  </si>
  <si>
    <t>Data Autorização/Cadastramento: 25/05/2012</t>
  </si>
  <si>
    <t>CNPJ: 05.809.815/0001-30</t>
  </si>
  <si>
    <t>Código FIP: 04812</t>
  </si>
  <si>
    <t>Endereço: AVENIDA PAULISTA, 2421 - 3º ANDAR - JARDIM PAULISTA</t>
  </si>
  <si>
    <t>SÃO PAULO - Cep: 01311300</t>
  </si>
  <si>
    <t>DDD: 11 - Tel: 30652260 - Fax: 30652271</t>
  </si>
  <si>
    <t>Data Autorização/Cadastramento: 26/03/2003</t>
  </si>
  <si>
    <t>CNPJ: 04.573.811/0001-32</t>
  </si>
  <si>
    <t>Código FIP: 04359</t>
  </si>
  <si>
    <t>DDD: 11 - Tel: 3065-2260 - Fax: 3065-2271</t>
  </si>
  <si>
    <t>Data Autorização/Cadastramento: 19/06/2001</t>
  </si>
  <si>
    <t>CNPJ: 10.793.428/0001-92</t>
  </si>
  <si>
    <t>Código FIP: 04669</t>
  </si>
  <si>
    <t>Endereço: ALAMEDA SANTOS, 1940 - 4ANDAR - CERQUEIRA CESAR</t>
  </si>
  <si>
    <t>SAO PAULO - Cep: 01418200</t>
  </si>
  <si>
    <t>DDD: 11 - Tel: 3041-3059 - Fax: 3041-3076</t>
  </si>
  <si>
    <t>Data Autorização/Cadastramento: 05/03/2010</t>
  </si>
  <si>
    <t>CNPJ: 33.061.862/0001-83</t>
  </si>
  <si>
    <t>Código FIP: 06122</t>
  </si>
  <si>
    <t>Endereço: AV. SANTO AMARO, Nº 48 - 6º ANDAR, CONJ. 61 - VILA NOVA CONCEIÇÃO</t>
  </si>
  <si>
    <t>SÃO PAULO - Cep: 04506000</t>
  </si>
  <si>
    <t>DDD: 11 - Tel: 3709-3010 - Fax: 3709-3050</t>
  </si>
  <si>
    <t>Data Autorização/Cadastramento: 10/04/2000</t>
  </si>
  <si>
    <t>CNPJ: 33.072.307/0001-57</t>
  </si>
  <si>
    <t>Código FIP: 05908</t>
  </si>
  <si>
    <t>RIO DE JANEIRO - Cep: 20040002</t>
  </si>
  <si>
    <t>DDD: 21 - Tel: 2508-0100 - Fax: 2509-7393</t>
  </si>
  <si>
    <t>Data Autorização/Cadastramento: 29/11/1973</t>
  </si>
  <si>
    <t>CNPJ: 90.180.605/0001-02</t>
  </si>
  <si>
    <t>Código FIP: 06793</t>
  </si>
  <si>
    <t>PORTO ALEGRE - Cep: 90480000</t>
  </si>
  <si>
    <t>DDD: 51 - Tel: 30278888 - Fax: 30278872</t>
  </si>
  <si>
    <t>Data Autorização/Cadastramento: 28/11/1984</t>
  </si>
  <si>
    <t>CNPJ: 29.980.158/0001-57</t>
  </si>
  <si>
    <t>Código FIP: 06572</t>
  </si>
  <si>
    <t>Endereço: AV. ENGENHEIRO LUIS CARLOS BERRINI, 901 3,4, 5 E 6 ANDARES - BROOKLIN</t>
  </si>
  <si>
    <t>SÃO PAULO - Cep: 04571010</t>
  </si>
  <si>
    <t>DDD: 11 - Tel: 5508-1300 - Fax: 5507-3164</t>
  </si>
  <si>
    <t>Data Autorização/Cadastramento: 01/10/1997</t>
  </si>
  <si>
    <t>CNPJ: 76.538.446/0001-36</t>
  </si>
  <si>
    <t>Código FIP: 06106</t>
  </si>
  <si>
    <t>Endereço: RUA TENENTE FRANCISCO FERREIRA DE SOUZA, 805 - HAUER</t>
  </si>
  <si>
    <t>CURITIBA - Cep: 81630010</t>
  </si>
  <si>
    <t>DDD: 41 - Tel: 3777-4110 - Fax: 3523-2197</t>
  </si>
  <si>
    <t>Data Autorização/Cadastramento: 06/10/1999</t>
  </si>
  <si>
    <t>CNPJ: 05.607.427/0001-76</t>
  </si>
  <si>
    <t>Código FIP: 04740</t>
  </si>
  <si>
    <t>Endereço: AVENIDA BRIGADEIRO FARIA LIMA, 3064, 2º ANDAR - ITAIM BIBI</t>
  </si>
  <si>
    <t>SÃO PAULO - Cep: 01451000</t>
  </si>
  <si>
    <t>DDD: 41 - Tel: 37774110 - Fax: 3523-2197</t>
  </si>
  <si>
    <t>Data Autorização/Cadastramento: 15/04/2003</t>
  </si>
  <si>
    <t>CNPJ: 42.283.770/0001-39</t>
  </si>
  <si>
    <t>Código FIP: 05142</t>
  </si>
  <si>
    <t>Endereço: PRAÇA 22 DE ABRIL Nº 36 - PARTE - CENTRO</t>
  </si>
  <si>
    <t>Data Autorização/Cadastramento: 23/12/1996</t>
  </si>
  <si>
    <t>CNPJ: 61.100.145/0001-59</t>
  </si>
  <si>
    <t>Código FIP: 05843</t>
  </si>
  <si>
    <t>Endereço: RUA DR. GERALDO CAMPOS MOREIRA, Nº 110 - 13º ANDAR - PARTE E - CIDADE MONÇÕES</t>
  </si>
  <si>
    <t>SÃO PAULO - Cep: 04571020</t>
  </si>
  <si>
    <t>DDD: 11 - Tel: 2663-4082 - Fax: 2663-3027</t>
  </si>
  <si>
    <t>Data Autorização/Cadastramento: 24/02/1972</t>
  </si>
  <si>
    <t>CNPJ: 42.366.302/0001-28</t>
  </si>
  <si>
    <t>Código FIP: 06921</t>
  </si>
  <si>
    <t>Endereço: AV CARLOS GOMES, 222 CJ 1001 - AUXILIADORA</t>
  </si>
  <si>
    <t>DDD: 51 - Tel: 30832300 - Fax: 30832269</t>
  </si>
  <si>
    <t>Data Autorização/Cadastramento: 29/12/1989</t>
  </si>
  <si>
    <t>CNPJ: 17.479.056/0001-73</t>
  </si>
  <si>
    <t>Código FIP: 06173</t>
  </si>
  <si>
    <t>Endereço: AV. CARLOS GOMES, 222 - 10º ANDAR - SALA 1001 - AUXILIADORA</t>
  </si>
  <si>
    <t>CNPJ: 08.816.067/0001-00</t>
  </si>
  <si>
    <t>Código FIP: 03182</t>
  </si>
  <si>
    <t>Endereço: AV. EUSÉBIO MATOSO, 1375 -2º AO 4º E 7º ANDAR - PINHEIROS</t>
  </si>
  <si>
    <t>SÃO PAULO - Cep: 05423905</t>
  </si>
  <si>
    <t>DDD: 11 - Tel: 3366-3366 - Fax: 3366-5140</t>
  </si>
  <si>
    <t>Data Autorização/Cadastramento: 05/03/2007</t>
  </si>
  <si>
    <t>CNPJ: 61.557.039/0001-07</t>
  </si>
  <si>
    <t>Código FIP: 05321</t>
  </si>
  <si>
    <t>Endereço: PRAÇA ALFREDO EGYDIO DE SOUZA ARANHA,100-T.A.EGYDIO-12ºANDAR - PARQUE JABAQUARA</t>
  </si>
  <si>
    <t>SÃO PAULO - Cep: 04344902</t>
  </si>
  <si>
    <t>DDD: 11 - Tel: 3166-1549 - Fax: 3166-1549</t>
  </si>
  <si>
    <t>Data Autorização/Cadastramento: 29/04/1985</t>
  </si>
  <si>
    <t>CNPJ: 92.661.388/0001-90</t>
  </si>
  <si>
    <t>Código FIP: 05096</t>
  </si>
  <si>
    <t>Endereço: PRAÇA ALFREDO EGYDIO DE SOUZA ARANHA, 100-T.A.EGYDIO-7ºANDAR - PARQUE JABAQUARA</t>
  </si>
  <si>
    <t>DDD: 11 - Tel: 3584-4964 - Fax: 3584-4541</t>
  </si>
  <si>
    <t>Data Autorização/Cadastramento: 08/02/2000</t>
  </si>
  <si>
    <t>CNPJ: 84.948.157/0001-33</t>
  </si>
  <si>
    <t>Código FIP: 05436</t>
  </si>
  <si>
    <t>Endereço: RUA VISCONDE DE NACAR, 1440 - CENTRO</t>
  </si>
  <si>
    <t>CURITIBA - Cep: 80410201</t>
  </si>
  <si>
    <t>DDD: 41 - Tel: 32819190 - Fax: 32819190</t>
  </si>
  <si>
    <t>Data Autorização/Cadastramento: 29/11/1991</t>
  </si>
  <si>
    <t>CNPJ: 09.064.453/0001-56</t>
  </si>
  <si>
    <t>Código FIP: 03727</t>
  </si>
  <si>
    <t>Data Autorização/Cadastramento: 13/08/2007</t>
  </si>
  <si>
    <t>CNPJ: 06.068.410/0001-50</t>
  </si>
  <si>
    <t>Código FIP: 04634</t>
  </si>
  <si>
    <t>Endereço: AV. SANTOS DUMONT, 2122 - SALA 608 - ALDEOTA</t>
  </si>
  <si>
    <t>FORTALEZA - Cep: 60150160</t>
  </si>
  <si>
    <t>DDD: 0 - Tel: 08002823212 - Fax: 32121420</t>
  </si>
  <si>
    <t>Data Autorização/Cadastramento: 29/01/2004</t>
  </si>
  <si>
    <t>CNPJ: 61.383.576/0001-70</t>
  </si>
  <si>
    <t>Código FIP: 06360</t>
  </si>
  <si>
    <t>Endereço: MENA BARRETO, 114 - 6º ANDAR / PARTE - BOTAFOGO</t>
  </si>
  <si>
    <t>RIO DE JANEIRO - Cep: 22271100</t>
  </si>
  <si>
    <t>DDD: 21 - Tel: 2271-3221 - Fax: 2526-2525</t>
  </si>
  <si>
    <t>Data Autorização/Cadastramento: 02/03/1970</t>
  </si>
  <si>
    <t>CNPJ: 61.550.141/0001-72</t>
  </si>
  <si>
    <t>Código FIP: 05185</t>
  </si>
  <si>
    <t>Endereço: RUA DR. GERALDO CAMPOS MOREIRA, 110 - BROOKLIN NOVO</t>
  </si>
  <si>
    <t>Data Autorização/Cadastramento: 06/06/2001</t>
  </si>
  <si>
    <t>CNPJ: 07.746.953/0001-42</t>
  </si>
  <si>
    <t>Código FIP: 02062</t>
  </si>
  <si>
    <t>Data Autorização/Cadastramento: 08/12/2005</t>
  </si>
  <si>
    <t>CNPJ: 87.912.143/0001-58</t>
  </si>
  <si>
    <t>Código FIP: 06858</t>
  </si>
  <si>
    <t>Data Autorização/Cadastramento: 17/10/1989</t>
  </si>
  <si>
    <t>CNPJ: 04.046.576/0001-40</t>
  </si>
  <si>
    <t>Código FIP: 03298</t>
  </si>
  <si>
    <t>Endereço: AVENIDA DAS NAÇÕES UNIDAS, 12.495 - 11º ANDAR - BROOKLIN PAULISTA</t>
  </si>
  <si>
    <t>DDD: 11 - Tel: 2663-5279 - Fax:</t>
  </si>
  <si>
    <t>Data Autorização/Cadastramento: 15/05/2000</t>
  </si>
  <si>
    <t>CNPJ: 08.687.929/0001-42</t>
  </si>
  <si>
    <t>Código FIP: 06718</t>
  </si>
  <si>
    <t>Data Autorização/Cadastramento: 05/02/2007</t>
  </si>
  <si>
    <t>CNPJ: 61.074.175/0001-38</t>
  </si>
  <si>
    <t>Código FIP: 06238</t>
  </si>
  <si>
    <t>Data Autorização/Cadastramento: 13/03/1973</t>
  </si>
  <si>
    <t>CNPJ: 54.484.753/0001-49</t>
  </si>
  <si>
    <t>Código FIP: 05665</t>
  </si>
  <si>
    <t>Data Autorização/Cadastramento: 06/07/1995</t>
  </si>
  <si>
    <t>CNPJ: 61.383.493/0001-80</t>
  </si>
  <si>
    <t>Código FIP: 05720</t>
  </si>
  <si>
    <t>Data Autorização/Cadastramento: 01/12/1995</t>
  </si>
  <si>
    <t>CNPJ: 87.883.807/0001-06</t>
  </si>
  <si>
    <t>Código FIP: 06084</t>
  </si>
  <si>
    <t>Endereço: ANDRADAS, 772/780 - 8º ANDAR - CENTRO</t>
  </si>
  <si>
    <t>PORTO ALEGRE - Cep: 90020004</t>
  </si>
  <si>
    <t>DDD: 51 - Tel: 32162500 - Fax: 32162500</t>
  </si>
  <si>
    <t>Data Autorização/Cadastramento: 08/06/1993</t>
  </si>
  <si>
    <t>CNPJ: 02.102.498/0001-29</t>
  </si>
  <si>
    <t>Código FIP: 06351</t>
  </si>
  <si>
    <t>Endereço: RUA FLÓRIDA, 1595 - 1º, 4º, 5º, 7º, 8º, 13º, 14º E 15º AN - BROOKLIN NOVO</t>
  </si>
  <si>
    <t>SÃO PAULO - Cep: 04565001</t>
  </si>
  <si>
    <t>DDD: 11 - Tel: 5501.9700 - Fax: 5501.9732</t>
  </si>
  <si>
    <t>Data Autorização/Cadastramento: 28/07/1997</t>
  </si>
  <si>
    <t>CNPJ: 33.016.221/0001-07</t>
  </si>
  <si>
    <t>Código FIP: 06602</t>
  </si>
  <si>
    <t>Endereço: ALAMEDA SANTOS 415 - 1ºANDAR - CERQUEIRA CESAR</t>
  </si>
  <si>
    <t>SÃO PAULO - Cep: 01419913</t>
  </si>
  <si>
    <t>DDD: 11 - Tel: 3177-5800 - Fax: 3266-3422</t>
  </si>
  <si>
    <t>Data Autorização/Cadastramento: 14/12/2001</t>
  </si>
  <si>
    <t>CNPJ: 33.608.308/0001-73</t>
  </si>
  <si>
    <t>Código FIP: 02101</t>
  </si>
  <si>
    <t>Endereço: TRAVESSA BELAS ARTES, 15 - CENTRO</t>
  </si>
  <si>
    <t>RIO DE JANEIRO - Cep: 20060000</t>
  </si>
  <si>
    <t>DDD: 21 - Tel: 3722-2200 - Fax: 3722-2321</t>
  </si>
  <si>
    <t>Data Autorização/Cadastramento: 05/04/2004</t>
  </si>
  <si>
    <t>CNPJ: 85.031.334/0001-85</t>
  </si>
  <si>
    <t>Código FIP: 05754</t>
  </si>
  <si>
    <t>Endereço: RUA VERGUEIRO, 7.213 - IPIRANGA</t>
  </si>
  <si>
    <t>SAO PAULO - Cep: 04273200</t>
  </si>
  <si>
    <t>DDD: 11 - Tel: 50691177 - Fax: 50613115</t>
  </si>
  <si>
    <t>Data Autorização/Cadastramento: 05/11/1993</t>
  </si>
  <si>
    <t>CNPJ: 33.245.762/0001-07</t>
  </si>
  <si>
    <t>Código FIP: 06653</t>
  </si>
  <si>
    <t>Endereço: AV. PAULISTA, 1.374 - 16º. ANDAR - BELA VISTA</t>
  </si>
  <si>
    <t>SAO PAULO - Cep: 01310100</t>
  </si>
  <si>
    <t>DDD: 11 - Tel: 32645012 - Fax: 40814721</t>
  </si>
  <si>
    <t>Data Autorização/Cadastramento: 09/12/1975</t>
  </si>
  <si>
    <t>CNPJ: 61.198.164/0001-60</t>
  </si>
  <si>
    <t>Código FIP: 05886</t>
  </si>
  <si>
    <t>Endereço: AVENIDA RIO BRANCO, 1485/9 E RUA GUAIANASES, 1234 - CAMPOS ELÍSEOS</t>
  </si>
  <si>
    <t>SÃO PAULO - Cep: 01205001</t>
  </si>
  <si>
    <t>DDD: 11 - Tel: 33665199 - Fax: 33665140</t>
  </si>
  <si>
    <t>Data Autorização/Cadastramento: 06/12/1945</t>
  </si>
  <si>
    <t>CNPJ: 58.768.284/0001-40</t>
  </si>
  <si>
    <t>Código FIP: 06033</t>
  </si>
  <si>
    <t>SÃO PAULO - Cep: 01216010</t>
  </si>
  <si>
    <t>Data Autorização/Cadastramento: 07/02/1997</t>
  </si>
  <si>
    <t>CNPJ: 11.699.534/0001-74</t>
  </si>
  <si>
    <t>Código FIP: 03069</t>
  </si>
  <si>
    <t>Endereço: AVENIDA AFONSO PENA 4100 13 ANDAR - CRUZEIRO</t>
  </si>
  <si>
    <t>BELO HORIZONTE - Cep: 30130009</t>
  </si>
  <si>
    <t>DDD: 31 - Tel: 2121-7788 - Fax: 2121-7779</t>
  </si>
  <si>
    <t>Data Autorização/Cadastramento: 25/02/2010</t>
  </si>
  <si>
    <t>CNPJ: 15.104.490/0001-43</t>
  </si>
  <si>
    <t>Código FIP: 05401</t>
  </si>
  <si>
    <t>Endereço: MIGUEL CALMON, 398 - 7º ANDAR (PARTE) - COMERCIO</t>
  </si>
  <si>
    <t>SALVADOR - Cep: 40015010</t>
  </si>
  <si>
    <t>DDD: 71 - Tel: 32423860 - Fax: 32423821</t>
  </si>
  <si>
    <t>Data Autorização/Cadastramento: 28/07/1998</t>
  </si>
  <si>
    <t>CNPJ: 07.163.211/0001-94</t>
  </si>
  <si>
    <t>Código FIP: 03794</t>
  </si>
  <si>
    <t>Endereço: RUA ALVARENGA PEIXOTO, 974 - PARTE 8º ANDAR - SANTO AGOSTINHO</t>
  </si>
  <si>
    <t>BELO HORIZONTE - Cep: 30180120</t>
  </si>
  <si>
    <t>DDD: 31 - Tel: 2103-7911 - Fax: 2103-7985</t>
  </si>
  <si>
    <t>Data Autorização/Cadastramento: 13/12/2004</t>
  </si>
  <si>
    <t>CNPJ: 33.061.813/0001-40</t>
  </si>
  <si>
    <t>Código FIP: 05282</t>
  </si>
  <si>
    <t>Endereço: RUA MENA BARRETO, Nº 114 - BOTAFOGO</t>
  </si>
  <si>
    <t>DDD: 21 - Tel: 3088-4000 - Fax: 3088-4010</t>
  </si>
  <si>
    <t>Data Autorização/Cadastramento: 13/12/2002</t>
  </si>
  <si>
    <t>CNPJ: 96.348.677/0001-94</t>
  </si>
  <si>
    <t>Código FIP: 05941</t>
  </si>
  <si>
    <t>SÃO PAULO - Cep: 04571150</t>
  </si>
  <si>
    <t>DDD: 11 - Tel: 3545-8900 - Fax: 3545-8901</t>
  </si>
  <si>
    <t>Data Autorização/Cadastramento: 12/07/2002</t>
  </si>
  <si>
    <t>CNPJ: 33.065.699/0001-27</t>
  </si>
  <si>
    <t>Código FIP: 06751</t>
  </si>
  <si>
    <t>Endereço: AVENIDA DAS NAÇÕES UNIDAS, 12995 - 4º ANDAR - BROOKLIN NOVO</t>
  </si>
  <si>
    <t>SAO PAULO - Cep: 04578000</t>
  </si>
  <si>
    <t>DDD: 11 - Tel: 3556-7000 - Fax: 5505-3660</t>
  </si>
  <si>
    <t>CNPJ: 87.163.234/0001-38</t>
  </si>
  <si>
    <t>Código FIP: 01007</t>
  </si>
  <si>
    <t>Endereço: SETE DE SETEMBRO, 515 - TÉRREO, 5º E 9º ANDARES - CENTRO</t>
  </si>
  <si>
    <t>DDD: 51 - Tel: 3123-1900 - Fax: 3123-1970</t>
  </si>
  <si>
    <t>Data Autorização/Cadastramento: 11/04/1994</t>
  </si>
  <si>
    <t>CNPJ: 06.109.373/0001-81</t>
  </si>
  <si>
    <t>Código FIP: 01627</t>
  </si>
  <si>
    <t>Endereço: AVENIDA PAULISTA, 2.100 - 12º ANDAR - CERQUEIRA CESAR</t>
  </si>
  <si>
    <t>SÃO PAULO - Cep: 01310930</t>
  </si>
  <si>
    <t>DDD: 11 - Tel: 31758627 - Fax: 3175-8903</t>
  </si>
  <si>
    <t>Data Autorização/Cadastramento: 26/12/2003</t>
  </si>
  <si>
    <t>CNPJ: 30.902.142/0001-05</t>
  </si>
  <si>
    <t>Código FIP: 09938</t>
  </si>
  <si>
    <t>Endereço: AV.PAULISTA, 2100 - 12º ANDAR - CERQUEIRA CESAR</t>
  </si>
  <si>
    <t>S.PAULO - Cep: 01310930</t>
  </si>
  <si>
    <t>Data Autorização/Cadastramento: 19/09/1995</t>
  </si>
  <si>
    <t>CNPJ: 17.643.407/0001-30</t>
  </si>
  <si>
    <t>Código FIP: 02950</t>
  </si>
  <si>
    <t>Endereço: AV. XV DE NOVEMBRO, 871 - SALA 01 - ZONA 01</t>
  </si>
  <si>
    <t>MARINGÁ - Cep: 87013230</t>
  </si>
  <si>
    <t>DDD: 44 - Tel: 30465500 - Fax: 30465500</t>
  </si>
  <si>
    <t>CNPJ: 02.166.824/0001-61</t>
  </si>
  <si>
    <t>Código FIP: 06335</t>
  </si>
  <si>
    <t>Endereço: PRAÇA JOÃO DURAN ALONSO, N.º 34 - 12º ANDAR - BROOKLIN NOVO</t>
  </si>
  <si>
    <t>DDD: 11 - Tel: 5509-8181 - Fax: 5509-8182</t>
  </si>
  <si>
    <t>Data Autorização/Cadastramento: 19/08/1997</t>
  </si>
  <si>
    <t>CNPJ: 09.248.608/0001-04</t>
  </si>
  <si>
    <t>Código FIP: 03271</t>
  </si>
  <si>
    <t>Endereço: SENADOR DANTAS Nº 74, 5ºANDAR - CENTRO</t>
  </si>
  <si>
    <t>RIO DE JANEIRO - Cep: 20031205</t>
  </si>
  <si>
    <t>DDD: 21 - Tel: 3861-4600 - Fax: 2240-9073</t>
  </si>
  <si>
    <t>Data Autorização/Cadastramento: 04/12/2007</t>
  </si>
  <si>
    <t>CNPJ: 44.019.198/0001-20</t>
  </si>
  <si>
    <t>Código FIP: 06831</t>
  </si>
  <si>
    <t>Endereço: AV RIO BRANCO , 245 29.ANDAR - CENTRO</t>
  </si>
  <si>
    <t>RIO DE JANEIRO - Cep: 20040009</t>
  </si>
  <si>
    <t>DDD: 21 - Tel: 32121400 - Fax: 32121420</t>
  </si>
  <si>
    <t>Data Autorização/Cadastramento: 14/01/2002</t>
  </si>
  <si>
    <t>CNPJ: 17.341.270/0001-69</t>
  </si>
  <si>
    <t>Código FIP: 04928</t>
  </si>
  <si>
    <t>Endereço: AVENIDA PAULISTA, 777 2ºANDAR - BELA VISTA</t>
  </si>
  <si>
    <t>SÃO PAULO - Cep: 01311100</t>
  </si>
  <si>
    <t>DDD: 11 - Tel: 3146-8700 - Fax: 00000000</t>
  </si>
  <si>
    <t>Data Autorização/Cadastramento: 23/10/2012</t>
  </si>
  <si>
    <t>CNPJ: 16.825.255/0001-23</t>
  </si>
  <si>
    <t>Código FIP: 04952</t>
  </si>
  <si>
    <t>Endereço: COMENDADOR ARAÚJO, 499, 10º ANDAR, CONJUNTO 1002 - CENTRO</t>
  </si>
  <si>
    <t>CURITIBA - Cep: 80420000</t>
  </si>
  <si>
    <t>Data Autorização/Cadastramento: 21/01/2013</t>
  </si>
  <si>
    <t>CNPJ: 33.822.131/0001-03</t>
  </si>
  <si>
    <t>Código FIP: 06696</t>
  </si>
  <si>
    <t>Endereço: RUA BEATRIZ LARRAGOITI LUCAS 121, PARTE - CIDADE NOVA</t>
  </si>
  <si>
    <t>RIO DE JANEIRO - Cep: 20211903</t>
  </si>
  <si>
    <t>DDD: 21 - Tel: 2506-4707 - Fax: 2506-8806</t>
  </si>
  <si>
    <t>Data Autorização/Cadastramento: 17/08/1997</t>
  </si>
  <si>
    <t>CNPJ: 33.041.062/0001-09</t>
  </si>
  <si>
    <t>Código FIP: 05118</t>
  </si>
  <si>
    <t>Data Autorização/Cadastramento: 20/04/1976</t>
  </si>
  <si>
    <t>CNPJ: 01.704.513/0001-46</t>
  </si>
  <si>
    <t>Código FIP: 06220</t>
  </si>
  <si>
    <t>Data Autorização/Cadastramento: 30/01/2003</t>
  </si>
  <si>
    <t>CNPJ: 72.145.931/0001-99</t>
  </si>
  <si>
    <t>Código FIP: 05991</t>
  </si>
  <si>
    <t>Endereço: AV. PAULISTA, N° 500 - CJS. 61,62 E 63 - BELA VISTA</t>
  </si>
  <si>
    <t>SÃO PAULO - Cep: 01310000</t>
  </si>
  <si>
    <t>DDD: 11 - Tel: 3073-8000 - Fax: 3073-8001</t>
  </si>
  <si>
    <t>Data Autorização/Cadastramento: 17/09/2009</t>
  </si>
  <si>
    <t>CNPJ: 33.164.021/0001-00</t>
  </si>
  <si>
    <t>Código FIP: 06190</t>
  </si>
  <si>
    <t>Endereço: RUA SAMPAIO VIANA 44, 10º ANDAR - PARAÍSO</t>
  </si>
  <si>
    <t>SÃO PAULO - Cep: 04004000</t>
  </si>
  <si>
    <t>DDD: 11 - Tel: 3054-4305 - Fax: 3054-7367</t>
  </si>
  <si>
    <t>Data Autorização/Cadastramento: 19/10/1994</t>
  </si>
  <si>
    <t>CNPJ: 95.611.141/0001-57</t>
  </si>
  <si>
    <t>Código FIP: 02801</t>
  </si>
  <si>
    <t>Endereço: PRAÇA OTAVIO ROCHA, 65 SALA 21 - CENTRO</t>
  </si>
  <si>
    <t>PORTO ALEGRE - Cep: 90020140</t>
  </si>
  <si>
    <t>DDD: 51 - Tel: 30619606 - Fax: 30619606</t>
  </si>
  <si>
    <t>Data Autorização/Cadastramento: 31/05/2013</t>
  </si>
  <si>
    <t>CNPJ: 92.863.505/0001-06</t>
  </si>
  <si>
    <t>Código FIP: 06947</t>
  </si>
  <si>
    <t>Endereço: ALAMEDA MINISTRO ROCHA AZEVEDO, 346 - CERQUEIRA CÉSAR</t>
  </si>
  <si>
    <t>SÃO PAULO - Cep: 01410901</t>
  </si>
  <si>
    <t>DDD: 11 - Tel: 3265-9700 - Fax: 3265-9049</t>
  </si>
  <si>
    <t>CNPJ: 12.973.906/0001-71</t>
  </si>
  <si>
    <t>Código FIP: 01970</t>
  </si>
  <si>
    <t>Endereço: ALAMEDA MINISTRO ROCHA AZEVEDO, 366 - 10º ANDAR - CERQUEIRA CÉSAR</t>
  </si>
  <si>
    <t>DDD: 11 - Tel: 3265-9700 - Fax: 3265-9700</t>
  </si>
  <si>
    <t>Data Autorização/Cadastramento: 10/10/2013</t>
  </si>
  <si>
    <t>CNPJ: 09.180.505/0001-50</t>
  </si>
  <si>
    <t>Código FIP: 03671</t>
  </si>
  <si>
    <t>Endereço: RUA GOMES DE CARVALHO, 1.306, CONJ 42 - VILA OLÍMPIA</t>
  </si>
  <si>
    <t>DDD: 11 - Tel: 25057668 - Fax: 25057668</t>
  </si>
  <si>
    <t>Data Autorização/Cadastramento: 05/09/2007</t>
  </si>
  <si>
    <t>CNPJ: 42.582.049/0001-40</t>
  </si>
  <si>
    <t>Código FIP: 05657</t>
  </si>
  <si>
    <t>Endereço: PRAÇA 22 DE ABRIL, Nº 36 (PARTE) - CENTRO</t>
  </si>
  <si>
    <t>Data Autorização/Cadastramento: 05/03/1993</t>
  </si>
  <si>
    <t>CNPJ: 02.238.239/0001-20</t>
  </si>
  <si>
    <t>Código FIP: 06378</t>
  </si>
  <si>
    <t>Endereço: AVENIDA DAS NAÇOES UNIDAS, Nº 11.711 - 21ºANDAR - BROOKLIN</t>
  </si>
  <si>
    <t>Data Autorização/Cadastramento: 06/04/2001</t>
  </si>
  <si>
    <t>CNPJ: 03.505.295/0001-46</t>
  </si>
  <si>
    <t>Código FIP: 06530</t>
  </si>
  <si>
    <t>Endereço: AV. PEREIRA BARRETO, 1395 - 2º AO 5º ANDAR - TORRE SUL - PARAISO</t>
  </si>
  <si>
    <t>SANTO ANDRÉ - Cep: 09190610</t>
  </si>
  <si>
    <t>DDD: 11 - Tel: 4422-8500 - Fax: 4422-8705</t>
  </si>
  <si>
    <t>Data Autorização/Cadastramento: 18/10/1999</t>
  </si>
  <si>
    <t>CNPJ: 14.448.493/0001-31</t>
  </si>
  <si>
    <t>Código FIP: 01431</t>
  </si>
  <si>
    <t>Endereço: DOUTOR RENATO PAES DE BARROS, 1017 - 8° ANDAR - ITAIM BIBI</t>
  </si>
  <si>
    <t>SÃO PAULO - Cep: 04530001</t>
  </si>
  <si>
    <t>DDD: 11 - Tel: 35139278 - Fax: 35139279</t>
  </si>
  <si>
    <t>Data Autorização/Cadastramento: 26/12/2011</t>
  </si>
  <si>
    <t>CNPJ: 60.405.925/0001-44</t>
  </si>
  <si>
    <t>Código FIP: 06416</t>
  </si>
  <si>
    <t>Endereço: RUA:CUBATÃO, 320 - PARAISO</t>
  </si>
  <si>
    <t>SÃO PAULO - Cep: 04013001</t>
  </si>
  <si>
    <t>DDD: 11 - Tel: 3886-1411 - Fax: 3886-1160</t>
  </si>
  <si>
    <t>Data Autorização/Cadastramento: 05/10/1998</t>
  </si>
  <si>
    <t>CNPJ: 17.197.385/0001-21</t>
  </si>
  <si>
    <t>Código FIP: 05495</t>
  </si>
  <si>
    <t>Endereço: AV.GETÚLIO VARGAS, 1.420 5º E 6º ANDARES - SAVASSI</t>
  </si>
  <si>
    <t>BELO HORIZONTE - Cep: 30112021</t>
  </si>
  <si>
    <t>DDD: 31 - Tel: 3219-3000 - Fax: 3219-3820</t>
  </si>
  <si>
    <t>Data Autorização/Cadastramento: 24/11/1938</t>
  </si>
  <si>
    <t>CNPJ: 87.376.109/0001-06</t>
  </si>
  <si>
    <t>Código FIP: 05070</t>
  </si>
  <si>
    <t>Endereço: AV. PRES. JUSCELINO KUBITSCHEK, 2041/ 2235 - BL. A-22ºANDAR - VILA OLIMPIA</t>
  </si>
  <si>
    <t>SÃO PAULO - Cep: 04543011</t>
  </si>
  <si>
    <t>DDD: 11 - Tel: 5538-7863 - Fax: 5538-7863</t>
  </si>
  <si>
    <t>Data Autorização/Cadastramento: 27/07/1990</t>
  </si>
  <si>
    <t>CNPJ: 06.136.920/0001-18</t>
  </si>
  <si>
    <t>Código FIP: 06564</t>
  </si>
  <si>
    <t>Endereço: AV. PRES. JUSCELINO KUBITSCHEK, 2041/ 2235 - BL. A -22ºANDAR - VILA OLIMPIA</t>
  </si>
  <si>
    <t>SÃO PAULO - Cep: 04543001</t>
  </si>
  <si>
    <t>Data Autorização/Cadastramento: 16/12/2003</t>
  </si>
  <si>
    <t>CNPJ: 01.206.480/0001-04</t>
  </si>
  <si>
    <t>Código FIP: 06157</t>
  </si>
  <si>
    <t>Data Autorização/Cadastramento: 13/03/1996</t>
  </si>
  <si>
    <t>Relação de Resseguradoras</t>
  </si>
  <si>
    <t>Nome:</t>
  </si>
  <si>
    <t>CNPJ:</t>
  </si>
  <si>
    <t>Código FIP:</t>
  </si>
  <si>
    <t>Endereço:</t>
  </si>
  <si>
    <t>Cidade:</t>
  </si>
  <si>
    <t>CEP:</t>
  </si>
  <si>
    <t>DDD:</t>
  </si>
  <si>
    <t>Data Autorização/Cadastramento:</t>
  </si>
  <si>
    <t>10.808.462/0001-93</t>
  </si>
  <si>
    <t>38253</t>
  </si>
  <si>
    <t>AVENIDA PAULISTA, 1294 - 16º ANDAR - BELA VISTA</t>
  </si>
  <si>
    <t>AIG RESSEGUROS BRASIL S.A. (ATUAL DENOMINAÇÃO DE CHARTIS RESSEGUROS BRASIL S.A.)</t>
  </si>
  <si>
    <t>13.525.547/0001-52</t>
  </si>
  <si>
    <t>38741</t>
  </si>
  <si>
    <t>CNPJ: 10.808.462/0001-93</t>
  </si>
  <si>
    <t>ALLIANZ GLOBAL CORPORATE &amp; SPECIALTY RESSEGUROS BRASIL S.A.</t>
  </si>
  <si>
    <t>15.517.074/0001-77</t>
  </si>
  <si>
    <t>30074</t>
  </si>
  <si>
    <t>PRAIA DO FLAMENGO, 154 - SL 101 - FLAMENGO</t>
  </si>
  <si>
    <t>22210-906</t>
  </si>
  <si>
    <t xml:space="preserve">+55 21 38505977 </t>
  </si>
  <si>
    <t>Código FIP: 38253</t>
  </si>
  <si>
    <t>AUSTRAL RESSEGURADORA S.A.</t>
  </si>
  <si>
    <t>11.536.561/0001-26</t>
  </si>
  <si>
    <t>34819</t>
  </si>
  <si>
    <t>RUA HUMAITÁ Nº 275, 7º ANDAR, PARTE 1 - HUMAITÁ</t>
  </si>
  <si>
    <t xml:space="preserve">+55 21 31255500 </t>
  </si>
  <si>
    <t>Endereço: AVENIDA PAULISTA, 1294 - 16º ANDAR - BELA VISTA</t>
  </si>
  <si>
    <t>BTG PACTUAL RESSEGURADORA S.A.</t>
  </si>
  <si>
    <t>15.421.859/0001-41</t>
  </si>
  <si>
    <t>37052</t>
  </si>
  <si>
    <t>AV. BRIGADEIRO FARIA LIMA 3729 - 8 ANDAR - PARTE - ITAIM BIBI</t>
  </si>
  <si>
    <t>IRB BRASIL RESSEGUROS S.A.</t>
  </si>
  <si>
    <t>33.376.989/0001-91</t>
  </si>
  <si>
    <t>31623</t>
  </si>
  <si>
    <t>AVENIDA MARECHAL CÂMARA, 171 - CASTELO</t>
  </si>
  <si>
    <t>20020-901</t>
  </si>
  <si>
    <t xml:space="preserve">+55 21 22720200 </t>
  </si>
  <si>
    <t>J.MALUCELLI RESSEGURADORA S/A</t>
  </si>
  <si>
    <t>09.594.758/0001-70</t>
  </si>
  <si>
    <t>38873</t>
  </si>
  <si>
    <t>Data Autorização/Cadastramento: 25/11/2009</t>
  </si>
  <si>
    <t>MAPFRE RE DO BRASIL COMPANHIA DE RESSEGUROS</t>
  </si>
  <si>
    <t>01.396.770/0001-68</t>
  </si>
  <si>
    <t>33294</t>
  </si>
  <si>
    <t>R OLIMPIADAS, 242 - 5 ANDAR - CJ 51 E 52 - VILA OLIMPIA</t>
  </si>
  <si>
    <t xml:space="preserve">+55 11 30401918 </t>
  </si>
  <si>
    <t>+ Informações sobre Resseguradora</t>
  </si>
  <si>
    <t>13.641.418/0001-20</t>
  </si>
  <si>
    <t>39764</t>
  </si>
  <si>
    <t>20040-040</t>
  </si>
  <si>
    <t>MUNICH RE DO BRASIL RESSEGURADORA S.A.</t>
  </si>
  <si>
    <t>01.857.539/0001-24</t>
  </si>
  <si>
    <t>37729</t>
  </si>
  <si>
    <t>AVENIDA ENGENHEIRO LUIS CARLOS BERRINI, 550 - 6 E 14 ANDAR - BROOKLIN NOVO</t>
  </si>
  <si>
    <t>04571-000</t>
  </si>
  <si>
    <t xml:space="preserve">+55 11 51021500 </t>
  </si>
  <si>
    <t>SWISS RE BRASIL RESSEGUROS S.A.</t>
  </si>
  <si>
    <t>15.047.380/0001-97</t>
  </si>
  <si>
    <t>38270</t>
  </si>
  <si>
    <t>AVENIDA PAULISTA, 500, 5º ANDAR - BELA VISTA</t>
  </si>
  <si>
    <t>CNPJ: 13.525.547/0001-52</t>
  </si>
  <si>
    <t>12.909.684/0001-28</t>
  </si>
  <si>
    <t>30201</t>
  </si>
  <si>
    <t>RUA MINAS DA PRATA,30 - 12º ANDAR - CONJUNTO 122 - PARTE - VILA OLIMPIA</t>
  </si>
  <si>
    <t>04552-080</t>
  </si>
  <si>
    <t>+55 11 3320-5059</t>
  </si>
  <si>
    <t>Código FIP: 38741</t>
  </si>
  <si>
    <t>XL RESSEGUROS BRASIL S.A.</t>
  </si>
  <si>
    <t>10.356.741/0001-63</t>
  </si>
  <si>
    <t>34665</t>
  </si>
  <si>
    <t>RUA DR. RENATO PAES DE BARROS, Nº 1.017, 8º ANDAR - ITAIM BIBI</t>
  </si>
  <si>
    <t>+55 21 2142-9400</t>
  </si>
  <si>
    <t>14.387.387/0001-95</t>
  </si>
  <si>
    <t>32875</t>
  </si>
  <si>
    <t>+55 11 2313 8500</t>
  </si>
  <si>
    <t>Data Autorização/Cadastramento: 04/04/2011</t>
  </si>
  <si>
    <t>CNPJ: 15.517.074/0001-77</t>
  </si>
  <si>
    <t>Código FIP: 30074</t>
  </si>
  <si>
    <t>Endereço: PRAIA DO FLAMENGO, 154 - SL 101 - FLAMENGO</t>
  </si>
  <si>
    <t>RIO DE JANEIRO - Cep: 22210906</t>
  </si>
  <si>
    <t>DDD: 21 - Tel: 38505977 - Fax: 32356552</t>
  </si>
  <si>
    <t>CNPJ: 11.536.561/0001-26</t>
  </si>
  <si>
    <t>Código FIP: 34819</t>
  </si>
  <si>
    <t>Endereço: RUA HUMAITÁ Nº 275, 7º ANDAR, PARTE 1 - HUMAITÁ</t>
  </si>
  <si>
    <t>DDD: 21 - Tel: 31255500 - Fax: 31255600</t>
  </si>
  <si>
    <t>Data Autorização/Cadastramento: 31/01/2011</t>
  </si>
  <si>
    <t>CNPJ: 15.421.859/0001-41</t>
  </si>
  <si>
    <t>Código FIP: 37052</t>
  </si>
  <si>
    <t>Endereço: AV. BRIGADEIRO FARIA LIMA 3729 - 8 ANDAR - PARTE - ITAIM BIBI</t>
  </si>
  <si>
    <t>Data Autorização/Cadastramento: 21/02/2013</t>
  </si>
  <si>
    <t>CNPJ: 33.376.989/0001-91</t>
  </si>
  <si>
    <t>Código FIP: 31623</t>
  </si>
  <si>
    <t>Endereço: AVENIDA MARECHAL CÂMARA, 171 - CASTELO</t>
  </si>
  <si>
    <t>RIO DE JANEIRO - Cep: 20020901</t>
  </si>
  <si>
    <t>DDD: 21 - Tel: 22720200 - Fax: 2272-2800</t>
  </si>
  <si>
    <t>CNPJ: 09.594.758/0001-70</t>
  </si>
  <si>
    <t>Código FIP: 38873</t>
  </si>
  <si>
    <t>Data Autorização/Cadastramento: 23/05/2008</t>
  </si>
  <si>
    <t>CNPJ: 01.396.770/0001-68</t>
  </si>
  <si>
    <t>Código FIP: 33294</t>
  </si>
  <si>
    <t>Endereço: R OLIMPIADAS, 242 - 5 ANDAR - CJ 51 E 52 - VILA OLIMPIA</t>
  </si>
  <si>
    <t>SAO PAULO - Cep: 04551000</t>
  </si>
  <si>
    <t>DDD: 11 - Tel: 30401918 - Fax: 30401940</t>
  </si>
  <si>
    <t>Data Autorização/Cadastramento: 14/11/2008</t>
  </si>
  <si>
    <t>CNPJ: 13.641.418/0001-20</t>
  </si>
  <si>
    <t>Código FIP: 39764</t>
  </si>
  <si>
    <t>RIO DE JANEIRO - Cep: 20040040</t>
  </si>
  <si>
    <t>Data Autorização/Cadastramento: 17/01/2012</t>
  </si>
  <si>
    <t>CNPJ: 01.857.539/0001-24</t>
  </si>
  <si>
    <t>Código FIP: 37729</t>
  </si>
  <si>
    <t>Endereço: AVENIDA ENGENHEIRO LUIS CARLOS BERRINI, 550 - 6 E 14 ANDAR - BROOKLIN NOVO</t>
  </si>
  <si>
    <t>SÃO PAULO - Cep: 04571000</t>
  </si>
  <si>
    <t>DDD: 11 - Tel: 51021500 - Fax: 51021501</t>
  </si>
  <si>
    <t>CNPJ: 15.047.380/0001-97</t>
  </si>
  <si>
    <t>Código FIP: 38270</t>
  </si>
  <si>
    <t>Endereço: AVENIDA PAULISTA, 500, 5º ANDAR - BELA VISTA</t>
  </si>
  <si>
    <t>Data Autorização/Cadastramento: 14/06/2012</t>
  </si>
  <si>
    <t>CNPJ: 12.909.684/0001-28</t>
  </si>
  <si>
    <t>Código FIP: 30201</t>
  </si>
  <si>
    <t>Endereço: RUA MINAS DA PRATA,30 - 12º ANDAR - CONJUNTO 122 - PARTE - VILA OLIMPIA</t>
  </si>
  <si>
    <t>SÃO PAULO - Cep: 04552080</t>
  </si>
  <si>
    <t>DDD: 11 - Tel: 3320-5059 - Fax: 3320-5001</t>
  </si>
  <si>
    <t>Data Autorização/Cadastramento: 02/10/2012</t>
  </si>
  <si>
    <t>CNPJ: 10.356.741/0001-63</t>
  </si>
  <si>
    <t>Código FIP: 34665</t>
  </si>
  <si>
    <t>Endereço: RUA DR. RENATO PAES DE BARROS, Nº 1.017, 8º ANDAR - ITAIM BIBI</t>
  </si>
  <si>
    <t>DDD: 21 - Tel: 2142-9400 - Fax: 2142-9444</t>
  </si>
  <si>
    <t>Data Autorização/Cadastramento: 05/12/2008</t>
  </si>
  <si>
    <t>CNPJ: 14.387.387/0001-95</t>
  </si>
  <si>
    <t>Código FIP: 32875</t>
  </si>
  <si>
    <t>DDD: 11 - Tel: 2313 8500 - Fax: 2313 4838</t>
  </si>
  <si>
    <t>Data Autorização/Cadastramento: 05/01/2012</t>
  </si>
  <si>
    <t>ACE TEMPEST REINSURANCE LTD.</t>
  </si>
  <si>
    <t>10.335.860/0001-30</t>
  </si>
  <si>
    <t>40851</t>
  </si>
  <si>
    <t>AV. PAULISTA, 1294 - 16º ANDAR - BELA VISTA</t>
  </si>
  <si>
    <t>+55 11 4504.4350</t>
  </si>
  <si>
    <t>ALLIANZ GLOBAL CORPORATE &amp; SPECIALTY AG</t>
  </si>
  <si>
    <t>10.853.223/0001-55</t>
  </si>
  <si>
    <t>40207</t>
  </si>
  <si>
    <t xml:space="preserve"> 22210-906</t>
  </si>
  <si>
    <t>CNPJ: 10.335.860/0001-30</t>
  </si>
  <si>
    <t>AMERICAN HOME ASSURANCE COMPANY</t>
  </si>
  <si>
    <t>05.489.278/0001-98</t>
  </si>
  <si>
    <t>49760</t>
  </si>
  <si>
    <t>RUA GOMES DE CARVALHO, 1306 12º ANDAR - VILA OLÍMPIA</t>
  </si>
  <si>
    <t>+55 11 080072661</t>
  </si>
  <si>
    <t>Código FIP: 40851</t>
  </si>
  <si>
    <t>ARCH REINSURANCE LTD.</t>
  </si>
  <si>
    <t>16.809.990/0001-43</t>
  </si>
  <si>
    <t>49131</t>
  </si>
  <si>
    <t>PRAIA DE BOTAFOGO 501, TORRE II, 2. ANDAR - BOTAFOGO</t>
  </si>
  <si>
    <t>22250-040</t>
  </si>
  <si>
    <t>+55 21 2546-9943</t>
  </si>
  <si>
    <t>Endereço: AV. PAULISTA, 1294 - 16º ANDAR - BELA VISTA</t>
  </si>
  <si>
    <t>ARDEN REINSURANCE COMPANY LTD. ( ANTIGA ARIEL REINSURANCE COMPANY LTD.)</t>
  </si>
  <si>
    <t>11.459.147/0001-60</t>
  </si>
  <si>
    <t>45926</t>
  </si>
  <si>
    <t>PRAIA DE BOTAFOGO 501, BLOCO II, 2º ANDAR - BOTAFOGO</t>
  </si>
  <si>
    <t xml:space="preserve"> 22250-040</t>
  </si>
  <si>
    <t>AXIS RE SE ( ANTIGA AXIS RE PLC )</t>
  </si>
  <si>
    <t>11.499.800/0001-15</t>
  </si>
  <si>
    <t>46507</t>
  </si>
  <si>
    <t>ALAMEDA SANTOS, 2326 - CJ 95-97 - CERQUEIRA CESAR</t>
  </si>
  <si>
    <t xml:space="preserve">+55 11 39573000 </t>
  </si>
  <si>
    <t>DDD: 11 - Tel: 4504.4350 - Fax: 4504.4396</t>
  </si>
  <si>
    <t>BERKLEY INSURANCE COMPANY</t>
  </si>
  <si>
    <t>17.255.520/0001-48</t>
  </si>
  <si>
    <t>47848</t>
  </si>
  <si>
    <t>RUA OLIMPIADAS, 242 - 7º ANDAR - VILA OLIMPIA</t>
  </si>
  <si>
    <t xml:space="preserve"> 04551-000</t>
  </si>
  <si>
    <t>+55 11 3848-8622</t>
  </si>
  <si>
    <t>Data Autorização/Cadastramento: 11/12/2008</t>
  </si>
  <si>
    <t>CATLIN INSURANCE COMPANY (UK) LTD.</t>
  </si>
  <si>
    <t>13.380.383/0001-12</t>
  </si>
  <si>
    <t>47708</t>
  </si>
  <si>
    <t>AV. ENG LUIS CARLOS BERRINI,1511 12 ANDAR CJ122 - BROOKLIN NOVO</t>
  </si>
  <si>
    <t>00977-330</t>
  </si>
  <si>
    <t xml:space="preserve">+55 11 36275012 </t>
  </si>
  <si>
    <t>EVEREST REINSURANCE COMPANY</t>
  </si>
  <si>
    <t>10.223.555/0001-56</t>
  </si>
  <si>
    <t>44920</t>
  </si>
  <si>
    <t>AV. NAÇÕES UNIDAS 12.399, 7º ANDAR, CJ 75A - BROOKLIN PAULISTA</t>
  </si>
  <si>
    <t xml:space="preserve">+55 11 51118290 </t>
  </si>
  <si>
    <t>FACTORY MUTUAL INSURANCE COMPANY</t>
  </si>
  <si>
    <t>10.916.851/0001-32</t>
  </si>
  <si>
    <t>41416</t>
  </si>
  <si>
    <t>AV. PRES. JUSCELINO KUBITSCHEK, 360 14 ANDAR - VILA NOVA CONCEIÇÃO</t>
  </si>
  <si>
    <t>04543-000</t>
  </si>
  <si>
    <t xml:space="preserve">+55 11 30773900 </t>
  </si>
  <si>
    <t>FEDERAL INSURANCE COMPANY</t>
  </si>
  <si>
    <t>09.532.974/0001-90</t>
  </si>
  <si>
    <t>46761</t>
  </si>
  <si>
    <t>AV. MARIA COELHO AGUIAR, 215 - BLOCO F - 4º ANDAR (PARTE) - JARDIM SÃO LUIS</t>
  </si>
  <si>
    <t xml:space="preserve"> 05805-000</t>
  </si>
  <si>
    <t>+55 11 3741-3497</t>
  </si>
  <si>
    <t>CNPJ: 10.853.223/0001-55</t>
  </si>
  <si>
    <t>GENERAL REINSURANCE AG</t>
  </si>
  <si>
    <t>02.030.942/0001-48</t>
  </si>
  <si>
    <t>48879</t>
  </si>
  <si>
    <t>AV. ROQUE PETRONI JUNIOR, 1089 CONJ. 814 - JARDIM DAS ACÁCIAS</t>
  </si>
  <si>
    <t xml:space="preserve"> 04707-000</t>
  </si>
  <si>
    <t>+55 11 5186-2500</t>
  </si>
  <si>
    <t>Código FIP: 40207</t>
  </si>
  <si>
    <t>HANNOVER RÜCK SE (ANTIGA HANNOVER RÜCKVERSICHERUNG AG)</t>
  </si>
  <si>
    <t>09.486.274/0001-07</t>
  </si>
  <si>
    <t>41491</t>
  </si>
  <si>
    <t>PRACA FLORIANO, 19 SALA 1701 E 1702 - CENTRO</t>
  </si>
  <si>
    <t>02031-050</t>
  </si>
  <si>
    <t xml:space="preserve">+55 21 22179501 </t>
  </si>
  <si>
    <t>HDI-GERLING WELT SERVICE AG</t>
  </si>
  <si>
    <t>05.547.043/0001-05</t>
  </si>
  <si>
    <t>47082</t>
  </si>
  <si>
    <t>AV IBIRAPUERA, 730 SALA 1 - INDIANOPOLIS</t>
  </si>
  <si>
    <t>04028-000</t>
  </si>
  <si>
    <t xml:space="preserve">+55 11 55081356 </t>
  </si>
  <si>
    <t>RIO DE JANEIRO - Cep: 22210-906</t>
  </si>
  <si>
    <t>LIBERTY MUTUAL INSURANCE COMPANY</t>
  </si>
  <si>
    <t>08.712.487/0001-47</t>
  </si>
  <si>
    <t>42871</t>
  </si>
  <si>
    <t>RUA DR. GERALDO DE CAMPOS MOREIRA, 110, 13º ANDAR, PARTE C - CIDADE MONÇÕES</t>
  </si>
  <si>
    <t xml:space="preserve">+55 11 26634150 </t>
  </si>
  <si>
    <t>LLOYD´S</t>
  </si>
  <si>
    <t>09.390.549/0001-04</t>
  </si>
  <si>
    <t>42463</t>
  </si>
  <si>
    <t>AV ALMIRANTE BARROSO, 52 - SALA 2401 PARTE - CENTRO</t>
  </si>
  <si>
    <t>20031-918</t>
  </si>
  <si>
    <t>+55 21 3266-1900</t>
  </si>
  <si>
    <t>Data Autorização/Cadastramento: 31/07/2009</t>
  </si>
  <si>
    <t>MAPFRE RE COMPAÑÍA DE REASEGUROS S.A.</t>
  </si>
  <si>
    <t>05.723.617/0001-59</t>
  </si>
  <si>
    <t>40215</t>
  </si>
  <si>
    <t>RUA OLIMPIADAS, 242 - 5 ANDAR - CONJ. 52 PARTE - VILA OLIMPIA</t>
  </si>
  <si>
    <t xml:space="preserve">+55 11 30401900 </t>
  </si>
  <si>
    <t>MITSUI SUMITOMO INSURANCE COMPANY, LIMITED</t>
  </si>
  <si>
    <t>05.598.097/0001-08</t>
  </si>
  <si>
    <t>47724</t>
  </si>
  <si>
    <t>01419-000</t>
  </si>
  <si>
    <t xml:space="preserve">+55 11 31775801 </t>
  </si>
  <si>
    <t>ODYSSEY REINSURANCE COMPANY</t>
  </si>
  <si>
    <t>11.337.192/0001-42</t>
  </si>
  <si>
    <t>41432</t>
  </si>
  <si>
    <t>AV. DAS NAÇÕES UNIDAS 12.399 - CJ 107 A - BROOKLIN NOVO</t>
  </si>
  <si>
    <t xml:space="preserve"> 04578-000</t>
  </si>
  <si>
    <t xml:space="preserve">+55 11 35126923 </t>
  </si>
  <si>
    <t>PARTNER REINSURANCE EUROPE SE (ANTIGA PARTNER REINSURANCE EUROPE PUBLIC LIMITED COMPANY)</t>
  </si>
  <si>
    <t>09.345.630/0001-72</t>
  </si>
  <si>
    <t>44814</t>
  </si>
  <si>
    <t>AVENIDA PAULISTA 1636 4 ANDAR CONJ 408 - BELA VISTA</t>
  </si>
  <si>
    <t>01310-200</t>
  </si>
  <si>
    <t xml:space="preserve">+55 11 32668034 </t>
  </si>
  <si>
    <t>CNPJ: 05.489.278/0001-98</t>
  </si>
  <si>
    <t>ROYAL &amp; SUN ALLIANCE INSURANCE PLC</t>
  </si>
  <si>
    <t>10.274.217/0001-43</t>
  </si>
  <si>
    <t>45004</t>
  </si>
  <si>
    <t>AVENIDA DAS NAÇÕES UNIDAS, 12995 - 3° ANDAR - BROOKLIN NOVO</t>
  </si>
  <si>
    <t>+55 11 3556-7086</t>
  </si>
  <si>
    <t>Código FIP: 49760</t>
  </si>
  <si>
    <t>SCOR GLOBAL LIFE AMERICAS REINSURANCE COMPANY</t>
  </si>
  <si>
    <t>09.577.213/0001-55</t>
  </si>
  <si>
    <t>44661</t>
  </si>
  <si>
    <t xml:space="preserve"> 04575-020</t>
  </si>
  <si>
    <t>Endereço: RUA GOMES DE CARVALHO, 1306 12º ANDAR - VILA OLÍMPIA</t>
  </si>
  <si>
    <t>SCOR REINSURANCE COMPANY</t>
  </si>
  <si>
    <t>09.486.271/0001-73</t>
  </si>
  <si>
    <t>41629</t>
  </si>
  <si>
    <t>AVENIDA PAISAGISTA JOSE SILVA DE AZEVEDO NETO, 200, BLOCO 4, SALA 404 - BARRA DA TIJUCA</t>
  </si>
  <si>
    <t>22775-056</t>
  </si>
  <si>
    <t xml:space="preserve">+55 21 36139107 </t>
  </si>
  <si>
    <t>SWISS REINSURANCE AMERICA CORPORATION</t>
  </si>
  <si>
    <t>09.482.728/0001-71</t>
  </si>
  <si>
    <t>48747</t>
  </si>
  <si>
    <t>AVENIDA PAULISTA, 500 - 5º ANDAR CONJ 52 - BELA VISTA</t>
  </si>
  <si>
    <t xml:space="preserve">+55 11 30738000 </t>
  </si>
  <si>
    <t>DDD: 11 - Tel: 08007266130 - Fax: 38092111</t>
  </si>
  <si>
    <t>SWISS REINSURANCE COMPANY</t>
  </si>
  <si>
    <t>05.723.273/0001-88</t>
  </si>
  <si>
    <t>42790</t>
  </si>
  <si>
    <t>AV. PAULISTA, 500 - 5º ANDAR - CONJ. 51 - BELA VISTA</t>
  </si>
  <si>
    <t>Data Autorização/Cadastramento: 23/10/2008</t>
  </si>
  <si>
    <t>TOKIO MARINE &amp; NICHIDO FIRE INSURANCE CO., LTD.</t>
  </si>
  <si>
    <t>05.711.001/0001-68</t>
  </si>
  <si>
    <t>47741</t>
  </si>
  <si>
    <t>RUA SAMPAIO VIANA, 44 5º ANDAR - PARAISO</t>
  </si>
  <si>
    <t>+55 11 3054-7433</t>
  </si>
  <si>
    <t>TORUS SPECIALTY INSURANCE COMPANY</t>
  </si>
  <si>
    <t>11.987.926/0001-39</t>
  </si>
  <si>
    <t>40096</t>
  </si>
  <si>
    <t>AV. DAS NAÇÕES UNIDAS, 12551; 9º ANDAR - BROOKLIN PAULISTA</t>
  </si>
  <si>
    <t xml:space="preserve">+55 11 34431715 </t>
  </si>
  <si>
    <t>TRANSAMERICA INTERNATIONAL RE (BERMUDA) LTD.</t>
  </si>
  <si>
    <t>09.539.939/0001-01</t>
  </si>
  <si>
    <t>42951</t>
  </si>
  <si>
    <t>+55 21 3722-2682</t>
  </si>
  <si>
    <t>TRANSATLANTIC REINSURANCE COMPANY</t>
  </si>
  <si>
    <t>05.708.742/0001-90</t>
  </si>
  <si>
    <t>48259</t>
  </si>
  <si>
    <t>RUA DA CANDELARIA, 65 - SALAS 2101 E 2102 - CENTRO</t>
  </si>
  <si>
    <t>20091-020</t>
  </si>
  <si>
    <t xml:space="preserve">+55 21 21272700 </t>
  </si>
  <si>
    <t>CNPJ: 16.809.990/0001-43</t>
  </si>
  <si>
    <t>XL RE LATIN AMERICA LTD.</t>
  </si>
  <si>
    <t>05.712.527/0001-62</t>
  </si>
  <si>
    <t>43290</t>
  </si>
  <si>
    <t>RUA DOUTOR RENATO PAES DE BARROS, 1017 8º ANDAR - ITAIM BIBI</t>
  </si>
  <si>
    <t>00453-001</t>
  </si>
  <si>
    <t xml:space="preserve">+55 11 35139253 </t>
  </si>
  <si>
    <t>Código FIP: 49131</t>
  </si>
  <si>
    <t>ZURICH INSURANCE COMPANY</t>
  </si>
  <si>
    <t>05.617.056/0001-03</t>
  </si>
  <si>
    <t>48275</t>
  </si>
  <si>
    <t>+55 11 2313-8500</t>
  </si>
  <si>
    <t>Endereço: PRAIA DE BOTAFOGO 501, TORRE II, 2. ANDAR - BOTAFOGO</t>
  </si>
  <si>
    <t>RIO DE JANEIRO - Cep: 22250040</t>
  </si>
  <si>
    <t>DDD: 21 - Tel: 2546-9943 - Fax: 2586-6002</t>
  </si>
  <si>
    <t>Data Autorização/Cadastramento: 03/04/2013</t>
  </si>
  <si>
    <t>CNPJ: 11.459.147/0001-60</t>
  </si>
  <si>
    <t>Código FIP: 45926</t>
  </si>
  <si>
    <t>Endereço: PRAIA DE BOTAFOGO 501, BLOCO II, 2º ANDAR - BOTAFOGO</t>
  </si>
  <si>
    <t>RIO DE JANEIRO - Cep: 22250-040</t>
  </si>
  <si>
    <t>Data Autorização/Cadastramento: 02/06/2010</t>
  </si>
  <si>
    <t>CNPJ: 11.499.800/0001-15</t>
  </si>
  <si>
    <t>Código FIP: 46507</t>
  </si>
  <si>
    <t>Endereço: ALAMEDA SANTOS, 2326 - CJ 95-97 - CERQUEIRA CESAR</t>
  </si>
  <si>
    <t>DDD: 5511 - Tel: 39573000 - Fax: 39573005</t>
  </si>
  <si>
    <t>Data Autorização/Cadastramento: 03/03/2011</t>
  </si>
  <si>
    <t>CNPJ: 17.255.520/0001-48</t>
  </si>
  <si>
    <t>Código FIP: 47848</t>
  </si>
  <si>
    <t>Endereço: RUA OLIMPIADAS, 242 - 7º ANDAR - VILA OLIMPIA</t>
  </si>
  <si>
    <t>SÃO PAULO - Cep: 04551-000</t>
  </si>
  <si>
    <t>DDD: 11 - Tel: 3848-8622 - Fax: 3848-8633</t>
  </si>
  <si>
    <t>Data Autorização/Cadastramento: 19/07/2013</t>
  </si>
  <si>
    <t>CNPJ: 13.380.383/0001-12</t>
  </si>
  <si>
    <t>Código FIP: 47708</t>
  </si>
  <si>
    <t>Endereço: AV. ENG LUIS CARLOS BERRINI,1511 12 ANDAR CJ122 - BROOKLIN NOVO</t>
  </si>
  <si>
    <t>SAO PAULO - Cep: 04575-011</t>
  </si>
  <si>
    <t>DDD: 11 - Tel: 36275012 - Fax: 36275001</t>
  </si>
  <si>
    <t>Data Autorização/Cadastramento: 17/05/2011</t>
  </si>
  <si>
    <t>CNPJ: 10.223.555/0001-56</t>
  </si>
  <si>
    <t>Código FIP: 44920</t>
  </si>
  <si>
    <t>Endereço: AV. NAÇÕES UNIDAS 12.399, 7º ANDAR, CJ 75A - BROOKLIN PAULISTA</t>
  </si>
  <si>
    <t>DDD: 11 - Tel: 51118290 - Fax:</t>
  </si>
  <si>
    <t>Data Autorização/Cadastramento: 18/12/2008</t>
  </si>
  <si>
    <t>CNPJ: 10.916.851/0001-32</t>
  </si>
  <si>
    <t>Código FIP: 41416</t>
  </si>
  <si>
    <t>Endereço: AV. PRES. JUSCELINO KUBITSCHEK, 360 14 ANDAR - VILA NOVA CONCEIÇÃO</t>
  </si>
  <si>
    <t>SÃO PAULO - Cep: 04543000</t>
  </si>
  <si>
    <t>DDD: 11 - Tel: 30773900 - Fax: 31672873</t>
  </si>
  <si>
    <t>Data Autorização/Cadastramento: 15/09/2009</t>
  </si>
  <si>
    <t>CNPJ: 09.532.974/0001-90</t>
  </si>
  <si>
    <t>Código FIP: 46761</t>
  </si>
  <si>
    <t>Endereço: AV. MARIA COELHO AGUIAR, 215 - BLOCO F - 4º ANDAR (PARTE) - JARDIM SÃO LUIS</t>
  </si>
  <si>
    <t>SÃO PAULO - Cep: 05805-000</t>
  </si>
  <si>
    <t>DDD: 11 - Tel: 3741-3497 - Fax: 3741-5311</t>
  </si>
  <si>
    <t>Data Autorização/Cadastramento: 29/12/2008</t>
  </si>
  <si>
    <t>CNPJ: 02.030.942/0001-48</t>
  </si>
  <si>
    <t>Código FIP: 48879</t>
  </si>
  <si>
    <t>Endereço: AV. ROQUE PETRONI JUNIOR, 1089 CONJ. 814 - JARDIM DAS ACÁCIAS</t>
  </si>
  <si>
    <t>SAO PAULO - Cep: 04707-000</t>
  </si>
  <si>
    <t>DDD: 11 - Tel: 5186-2500 - Fax: 5186-2501</t>
  </si>
  <si>
    <t>CNPJ: 09.486.274/0001-07</t>
  </si>
  <si>
    <t>Código FIP: 41491</t>
  </si>
  <si>
    <t>Endereço: PRACA FLORIANO, 19 SALA 1701 E 1702 - CENTRO</t>
  </si>
  <si>
    <t>RIO DE JANEIRO - Cep: 2031050</t>
  </si>
  <si>
    <t>DDD: 21 - Tel: 22179501 - Fax: 22179515</t>
  </si>
  <si>
    <t>Data Autorização/Cadastramento: 16/07/2008</t>
  </si>
  <si>
    <t>CNPJ: 05.547.043/0001-05</t>
  </si>
  <si>
    <t>Código FIP: 47082</t>
  </si>
  <si>
    <t>Endereço: AV IBIRAPUERA, 730 SALA 1 - INDIANOPOLIS</t>
  </si>
  <si>
    <t>SÃO PAULO - Cep: 04028000</t>
  </si>
  <si>
    <t>DDD: 11 - Tel: 55081356 - Fax: 55051511</t>
  </si>
  <si>
    <t>Data Autorização/Cadastramento: 25/04/2011</t>
  </si>
  <si>
    <t>CNPJ: 08.712.487/0001-47</t>
  </si>
  <si>
    <t>Código FIP: 42871</t>
  </si>
  <si>
    <t>Endereço: RUA DR. GERALDO DE CAMPOS MOREIRA, 110, 13º ANDAR, PARTE C - CIDADE MONÇÕES</t>
  </si>
  <si>
    <t>DDD: 11 - Tel: 26634150 - Fax: 26633027</t>
  </si>
  <si>
    <t>Data Autorização/Cadastramento: 07/10/2008</t>
  </si>
  <si>
    <t>CNPJ: 09.390.549/0001-04</t>
  </si>
  <si>
    <t>Código FIP: 42463</t>
  </si>
  <si>
    <t>Endereço: AV ALMIRANTE BARROSO, 52 - SALA 2401 PARTE - CENTRO</t>
  </si>
  <si>
    <t>RIO DE JANEIRO - Cep: 20031918</t>
  </si>
  <si>
    <t>DDD: 21 - Tel: 3266-1900 - Fax: 3266-1900</t>
  </si>
  <si>
    <t>Data Autorização/Cadastramento: 15/04/2008</t>
  </si>
  <si>
    <t>CNPJ: 05.723.617/0001-59</t>
  </si>
  <si>
    <t>Código FIP: 40215</t>
  </si>
  <si>
    <t>Endereço: RUA OLIMPIADAS, 242 - 5 ANDAR - CONJ. 52 PARTE - VILA OLIMPIA</t>
  </si>
  <si>
    <t>SAO PAULO - Cep: 04551-000</t>
  </si>
  <si>
    <t>DDD: 11 - Tel: 30401900 - Fax: 30401940</t>
  </si>
  <si>
    <t>Data Autorização/Cadastramento: 14/04/2010</t>
  </si>
  <si>
    <t>CNPJ: 05.598.097/0001-08</t>
  </si>
  <si>
    <t>Código FIP: 47724</t>
  </si>
  <si>
    <t>SÃO PAULO - Cep: 01419000</t>
  </si>
  <si>
    <t>DDD: 11 - Tel: 31775801 - Fax: 32896997</t>
  </si>
  <si>
    <t>Data Autorização/Cadastramento: 15/10/2008</t>
  </si>
  <si>
    <t>CNPJ: 11.337.192/0001-42</t>
  </si>
  <si>
    <t>Código FIP: 41432</t>
  </si>
  <si>
    <t>Endereço: AV. DAS NAÇÕES UNIDAS 12.399 - CJ 107 A - BROOKLIN NOVO</t>
  </si>
  <si>
    <t>SÃO PAULO - Cep: 04578-000</t>
  </si>
  <si>
    <t>DDD: 11 - Tel: 35126923 - Fax: 35126924</t>
  </si>
  <si>
    <t>Data Autorização/Cadastramento: 17/03/2010</t>
  </si>
  <si>
    <t>CNPJ: 09.345.630/0001-72</t>
  </si>
  <si>
    <t>Código FIP: 44814</t>
  </si>
  <si>
    <t>Endereço: AVENIDA PAULISTA 1636 4 ANDAR CONJ 408 - BELA VISTA</t>
  </si>
  <si>
    <t>SÃO PAULO - Cep: 01310200</t>
  </si>
  <si>
    <t>DDD: 11 - Tel: 32668034 - Fax:</t>
  </si>
  <si>
    <t>Data Autorização/Cadastramento: 10/07/2008</t>
  </si>
  <si>
    <t>CNPJ: 10.274.217/0001-43</t>
  </si>
  <si>
    <t>Código FIP: 45004</t>
  </si>
  <si>
    <t>Endereço: AVENIDA DAS NAÇÕES UNIDAS, 12995 - 3° ANDAR - BROOKLIN NOVO</t>
  </si>
  <si>
    <t>DDD: 11 - Tel: 3556-7086 - Fax: 5505-2115</t>
  </si>
  <si>
    <t>Data Autorização/Cadastramento: 15/12/2008</t>
  </si>
  <si>
    <t>CNPJ: 09.577.213/0001-55</t>
  </si>
  <si>
    <t>Código FIP: 44661</t>
  </si>
  <si>
    <t>SÃO PAULO - Cep: 04575-020</t>
  </si>
  <si>
    <t>Data Autorização/Cadastramento: 19/06/2008</t>
  </si>
  <si>
    <t>CNPJ: 09.486.271/0001-73</t>
  </si>
  <si>
    <t>Código FIP: 41629</t>
  </si>
  <si>
    <t>Endereço: AVENIDA PAISAGISTA JOSE SILVA DE AZEVEDO NETO, 200, BLOCO 4, SALA 404 - BARRA DA TIJUCA</t>
  </si>
  <si>
    <t>RIO DE JANEIRO - Cep: 22775056</t>
  </si>
  <si>
    <t>DDD: 21 - Tel: 36139107 - Fax: 37367004</t>
  </si>
  <si>
    <t>Data Autorização/Cadastramento: 30/05/2008</t>
  </si>
  <si>
    <t>CNPJ: 09.482.728/0001-71</t>
  </si>
  <si>
    <t>Código FIP: 48747</t>
  </si>
  <si>
    <t>Endereço: AVENIDA PAULISTA, 500 - 5º ANDAR CONJ 52 - BELA VISTA</t>
  </si>
  <si>
    <t>DDD: 11 - Tel: 30738000 - Fax: 30738001</t>
  </si>
  <si>
    <t>CNPJ: 05.723.273/0001-88</t>
  </si>
  <si>
    <t>Código FIP: 42790</t>
  </si>
  <si>
    <t>Endereço: AV. PAULISTA, 500 - 5º ANDAR - CONJ. 51 - BELA VISTA</t>
  </si>
  <si>
    <t>CNPJ: 05.711.001/0001-68</t>
  </si>
  <si>
    <t>Código FIP: 47741</t>
  </si>
  <si>
    <t>Endereço: RUA SAMPAIO VIANA, 44 5º ANDAR - PARAISO</t>
  </si>
  <si>
    <t>DDD: 11 - Tel: 3054-7433 - Fax: 3054-7373</t>
  </si>
  <si>
    <t>Data Autorização/Cadastramento: 10/03/2011</t>
  </si>
  <si>
    <t>CNPJ: 11.987.926/0001-39</t>
  </si>
  <si>
    <t>Código FIP: 40096</t>
  </si>
  <si>
    <t>Endereço: AV. DAS NAÇÕES UNIDAS, 12551; 9º ANDAR - BROOKLIN PAULISTA</t>
  </si>
  <si>
    <t>SAO PAULO - Cep: 04578-000</t>
  </si>
  <si>
    <t>DDD: 11 - Tel: 34431715 - Fax: 34437474</t>
  </si>
  <si>
    <t>Data Autorização/Cadastramento: 08/10/2010</t>
  </si>
  <si>
    <t>CNPJ: 09.539.939/0001-01</t>
  </si>
  <si>
    <t>Código FIP: 42951</t>
  </si>
  <si>
    <t>DDD: 21 - Tel: 3722-2682 - Fax: 3722-2682</t>
  </si>
  <si>
    <t>Data Autorização/Cadastramento: 17/11/2008</t>
  </si>
  <si>
    <t>CNPJ: 05.708.742/0001-90</t>
  </si>
  <si>
    <t>Código FIP: 48259</t>
  </si>
  <si>
    <t>Endereço: RUA DA CANDELARIA, 65 - SALAS 2101 E 2102 - CENTRO</t>
  </si>
  <si>
    <t>RIO DE JANEIRO - Cep: 20091020</t>
  </si>
  <si>
    <t>DDD: 21 - Tel: 21272700 - Fax: 21272707</t>
  </si>
  <si>
    <t>Data Autorização/Cadastramento: 28/04/2008</t>
  </si>
  <si>
    <t>CNPJ: 05.712.527/0001-62</t>
  </si>
  <si>
    <t>Código FIP: 43290</t>
  </si>
  <si>
    <t>Endereço: RUA DOUTOR RENATO PAES DE BARROS, 1017 8º ANDAR - ITAIM BIBI</t>
  </si>
  <si>
    <t>SÃO PAULO - Cep: 0453001</t>
  </si>
  <si>
    <t>DDD: 11 - Tel: 35139253 - Fax: 35139244</t>
  </si>
  <si>
    <t>Data Autorização/Cadastramento: 10/06/2008</t>
  </si>
  <si>
    <t>CNPJ: 05.617.056/0001-03</t>
  </si>
  <si>
    <t>Código FIP: 48275</t>
  </si>
  <si>
    <t>DDD: 5511 - Tel: 2313-8500 - Fax: 2313-4838</t>
  </si>
  <si>
    <t>Data Autorização/Cadastramento: 20/03/2009</t>
  </si>
  <si>
    <t>ACE PROPERTY AND CASUALTY INSURANCE COMPANY</t>
  </si>
  <si>
    <t>54666</t>
  </si>
  <si>
    <t>ALAMEDA JOAQUIM EUGÊNIO DE LIMA Nº 447 -</t>
  </si>
  <si>
    <t>01403-001</t>
  </si>
  <si>
    <t>+55 11 3147-7604</t>
  </si>
  <si>
    <t>AFRICAN REINSURANCE CORPORATION</t>
  </si>
  <si>
    <t>50806</t>
  </si>
  <si>
    <t>AVENIDA RIO BRANCO Nº110 , 40º ANDAR - CENTRO</t>
  </si>
  <si>
    <t>20040-001</t>
  </si>
  <si>
    <t xml:space="preserve">+55 21 38615800 </t>
  </si>
  <si>
    <t>CNPJ: ../-</t>
  </si>
  <si>
    <t>AGRINATIONAL INSURANCE COMPANY</t>
  </si>
  <si>
    <t>50857</t>
  </si>
  <si>
    <t>AL. JOAQUIM EUGÊNIO DE LIMA, 447 - JARDIM PAULISTA</t>
  </si>
  <si>
    <t>+55 11 3147-7675</t>
  </si>
  <si>
    <t>Código FIP: 54666</t>
  </si>
  <si>
    <t>56286</t>
  </si>
  <si>
    <t>AV. RIO BRANCO, 1°, 19° ANDAR, SETOR B - CENTRO</t>
  </si>
  <si>
    <t>+55 21 2206-4981</t>
  </si>
  <si>
    <t>Endereço: ALAMEDA JOAQUIM EUGÊNIO DE LIMA Nº 447 -</t>
  </si>
  <si>
    <t>AMERICAN LIFE INSURANCE COMPANY</t>
  </si>
  <si>
    <t>50601</t>
  </si>
  <si>
    <t>AV. ENG. LUIS CARLOS BERRINI Nº1253 - 13ºANDAR -</t>
  </si>
  <si>
    <t>+55 11 5501-9950</t>
  </si>
  <si>
    <t>SÃO PAULO - Cep: 01403001</t>
  </si>
  <si>
    <t>52434</t>
  </si>
  <si>
    <t>+55 11 3147-2707</t>
  </si>
  <si>
    <t>DDD: 11 - Tel: 3147-7604 - Fax:</t>
  </si>
  <si>
    <t>ARCH INSURANCE COMPANY</t>
  </si>
  <si>
    <t>50091</t>
  </si>
  <si>
    <t>AVENIDA PEDROSO DE MORAES, 1201 - PINHEIROS</t>
  </si>
  <si>
    <t>05419-001</t>
  </si>
  <si>
    <t>+55 11 3356-1821</t>
  </si>
  <si>
    <t>ARCH REINSURANCE COMPANY</t>
  </si>
  <si>
    <t>58181</t>
  </si>
  <si>
    <t>AV. PEDROSO DE MORAES Nº1201 - PINHEIROS</t>
  </si>
  <si>
    <t xml:space="preserve">+55 11 33561821 </t>
  </si>
  <si>
    <t>ASPEN INSURANCE UK LIMITED</t>
  </si>
  <si>
    <t>56766</t>
  </si>
  <si>
    <t>AV. RIO BRANCO, 85, 17º ANDAR - CENTRO</t>
  </si>
  <si>
    <t>20040-004</t>
  </si>
  <si>
    <t xml:space="preserve">+55 21 38494403 </t>
  </si>
  <si>
    <t>ASSICURAZIONI GENERALI S.P.A.</t>
  </si>
  <si>
    <t>54950</t>
  </si>
  <si>
    <t>AVENIDA RIO BRANCO, 128 - 5º ANDAR (PARTE) -</t>
  </si>
  <si>
    <t>20040-006</t>
  </si>
  <si>
    <t>+55 21 - Fax:</t>
  </si>
  <si>
    <t>ATRADIUS REINSURANCE LIMITED</t>
  </si>
  <si>
    <t>52876</t>
  </si>
  <si>
    <t>AXA CORPORATE SOLUTIONS ASSURANCE</t>
  </si>
  <si>
    <t>57746</t>
  </si>
  <si>
    <t>ALAMEDA JOAQUIM EUGENIO DE LIMA, 447 - JARDIM PAULISTA</t>
  </si>
  <si>
    <t xml:space="preserve">+55 11 31477604 </t>
  </si>
  <si>
    <t>Código FIP: 50806</t>
  </si>
  <si>
    <t>AXA FRANCE IARD</t>
  </si>
  <si>
    <t>56090</t>
  </si>
  <si>
    <t>ALAMEDA JOAQUIM EUGÊNIO DE LIMA Nº447 -</t>
  </si>
  <si>
    <t>Endereço: AVENIDA RIO BRANCO Nº110 , 40º ANDAR - CENTRO</t>
  </si>
  <si>
    <t>AXA FRANCE VIE</t>
  </si>
  <si>
    <t>56812</t>
  </si>
  <si>
    <t>ALAMEDA JOAQUIM EUGÊNIO DE LIMA, 447 -</t>
  </si>
  <si>
    <t>RIO DE JANEIRO - Cep: 20040001</t>
  </si>
  <si>
    <t>AXIS REINSURANCE COMPANY</t>
  </si>
  <si>
    <t>56898</t>
  </si>
  <si>
    <t>DDD: 21 - Tel: 38615800 - Fax: 22242139</t>
  </si>
  <si>
    <t>BALOISE INSURANCE LTD</t>
  </si>
  <si>
    <t>50938</t>
  </si>
  <si>
    <t>AV. PAULISTA, 1842, TORRE NORTE, 22ºANDAR - BELA VISTA</t>
  </si>
  <si>
    <t>01310-020</t>
  </si>
  <si>
    <t xml:space="preserve">+55 11 21264600 </t>
  </si>
  <si>
    <t>Data Autorização/Cadastramento: 05/06/2013</t>
  </si>
  <si>
    <t>CAISSE CENTRALE DE REASSURANCE</t>
  </si>
  <si>
    <t>51772</t>
  </si>
  <si>
    <t>CNA INSURANCE COMPANY LIMITED</t>
  </si>
  <si>
    <t>52850</t>
  </si>
  <si>
    <t>RUA LÍBERO BADARÓ, 158, 21O ANDAR - SÉ</t>
  </si>
  <si>
    <t>01008-904</t>
  </si>
  <si>
    <t xml:space="preserve">+55 11 32914800 </t>
  </si>
  <si>
    <t>COMPAGNIE FRANÇAISE D'ASSURANCE POUR LE COMMERCE EXTÉRIEUR - COFACE</t>
  </si>
  <si>
    <t>59536</t>
  </si>
  <si>
    <t>PRAÇA JOÃO DURAN ALONSO, 34, 12º ANDAR - BROOKLIN NOVO</t>
  </si>
  <si>
    <t xml:space="preserve">+55 11 55098181 </t>
  </si>
  <si>
    <t>DELTA LLOYD SCHADEVERZEKERING N.V.</t>
  </si>
  <si>
    <t>55760</t>
  </si>
  <si>
    <t>AV. BEIRA MAR Nº200 , 8º ANDAR - CASTELO</t>
  </si>
  <si>
    <t>20021-060</t>
  </si>
  <si>
    <t>+55 21 3526-4833</t>
  </si>
  <si>
    <t>ENDURANCE REINSURANCE CORPORATION OF AMERICA</t>
  </si>
  <si>
    <t>51551</t>
  </si>
  <si>
    <t>ALAMEDA JOAQUIM EUGÊNIO DE LIMA, 447 - JARDIM PAULISTA</t>
  </si>
  <si>
    <t>Código FIP: 50857</t>
  </si>
  <si>
    <t>EULER HERMES NORTH AMERICA INSURANCE COMPANY</t>
  </si>
  <si>
    <t>56502</t>
  </si>
  <si>
    <t>Endereço: AL. JOAQUIM EUGÊNIO DE LIMA, 447 - JARDIM PAULISTA</t>
  </si>
  <si>
    <t>EURASIA INSURANCE COMPANY JSC</t>
  </si>
  <si>
    <t>51616</t>
  </si>
  <si>
    <t>SÃO PAULO - Cep:</t>
  </si>
  <si>
    <t>EXPORT DEVELOPMENT CANADA</t>
  </si>
  <si>
    <t>53414</t>
  </si>
  <si>
    <t>AVENIDA BRIGADEIRO FARIA LIMA, N° 3144, 11º ANDAR. -</t>
  </si>
  <si>
    <t>+55 11 3150-7084</t>
  </si>
  <si>
    <t>DDD: 11 - Tel: 3147-7675/3147-2613 - Fax: 3147-7770</t>
  </si>
  <si>
    <t>GENERAL INSURANCE CORPORATION OF INDIA</t>
  </si>
  <si>
    <t>57703</t>
  </si>
  <si>
    <t>Data Autorização/Cadastramento: 26/01/2009</t>
  </si>
  <si>
    <t>GUARDIAN LIFE OF THE CARIBBEAN LIMITED</t>
  </si>
  <si>
    <t>50768</t>
  </si>
  <si>
    <t>AVENIDA PEDROSO DE MORAES 1201. - PINHEIROS</t>
  </si>
  <si>
    <t>HCC INTERNATIONAL INSURANCE COMPANY PLC</t>
  </si>
  <si>
    <t>51438</t>
  </si>
  <si>
    <t>RUA LÍBERO BADARÓ, 158 - 21º ANDAR - SÉ</t>
  </si>
  <si>
    <t>+55 11 3291-4800</t>
  </si>
  <si>
    <t>HDI-GERLING INDUSTRIE VERSICHERUNG AG</t>
  </si>
  <si>
    <t>55573</t>
  </si>
  <si>
    <t>AV. ENGENHEIRO LUIS CARLOS BERRINI 901, 5° ANDAR -</t>
  </si>
  <si>
    <t>+55 11 5508-1356</t>
  </si>
  <si>
    <t>HOUSTON CASUALTY COMPANY</t>
  </si>
  <si>
    <t>55000</t>
  </si>
  <si>
    <t>RUA LIBERO BADARÓ, 158 - 21º ANDAR - CENTRO</t>
  </si>
  <si>
    <t>HYUNDAI MARINE &amp; FIRE INSURANCE CO.</t>
  </si>
  <si>
    <t>51578</t>
  </si>
  <si>
    <t>AVENIDA PEDROSO DE MORAES Nº 1.201 - PINHEIROS</t>
  </si>
  <si>
    <t>+55 11 3356-1519</t>
  </si>
  <si>
    <t>Código FIP: 56286</t>
  </si>
  <si>
    <t>IF P&amp;C INSURANCE COMPANY LTD.</t>
  </si>
  <si>
    <t>55433</t>
  </si>
  <si>
    <t>Endereço: AV. RIO BRANCO, 1°, 19° ANDAR, SETOR B - CENTRO</t>
  </si>
  <si>
    <t>IF P&amp;C INSURANCE LTD.</t>
  </si>
  <si>
    <t>52809</t>
  </si>
  <si>
    <t>RIO DE JANEIRO - Cep:</t>
  </si>
  <si>
    <t>INFRASSURE LTD.</t>
  </si>
  <si>
    <t>52736</t>
  </si>
  <si>
    <t>AV. RIO BRANCO, Nº1, 19ºANDAR, SETOR B - CENTRO</t>
  </si>
  <si>
    <t>20090-003</t>
  </si>
  <si>
    <t xml:space="preserve">+55 21 22064900 </t>
  </si>
  <si>
    <t>DDD: 21 - Tel: 2206-4981 - Fax:</t>
  </si>
  <si>
    <t>IRONSHORE SPECIALTY INSURANCE COMPANY</t>
  </si>
  <si>
    <t>58173</t>
  </si>
  <si>
    <t>RUA LÍBERO BADARÓ 293, 27º ANDAR - CENTRO</t>
  </si>
  <si>
    <t>01009-907</t>
  </si>
  <si>
    <t>+55 11 3106-3020</t>
  </si>
  <si>
    <t>Data Autorização/Cadastramento: 03/03/2010</t>
  </si>
  <si>
    <t>JOHN HANCOCK LIFE INSURANCE COMPANY (U.S.A)</t>
  </si>
  <si>
    <t>50679</t>
  </si>
  <si>
    <t>KOREAN REINSURANCE COMPANY</t>
  </si>
  <si>
    <t>52060</t>
  </si>
  <si>
    <t>54919-001</t>
  </si>
  <si>
    <t>+55 11 (11)3356-</t>
  </si>
  <si>
    <t>LIBERTY MUTUAL INSURANCE EUROPE LIMITED</t>
  </si>
  <si>
    <t>50211</t>
  </si>
  <si>
    <t>RUA JOAQUIM FLORIANO, 243, CJ. 113 - ITAIM BIBI</t>
  </si>
  <si>
    <t>04534-010</t>
  </si>
  <si>
    <t xml:space="preserve">+55 11 31063020 </t>
  </si>
  <si>
    <t>LIG INSURANCE COMPANY LIMITED</t>
  </si>
  <si>
    <t>59552</t>
  </si>
  <si>
    <t xml:space="preserve"> 05419-00</t>
  </si>
  <si>
    <t>MAPFRE GLOBAL RISKS, COMPAÑIA INTERNACIONAL DE SEGUROS Y REASEGUROS S.A</t>
  </si>
  <si>
    <t>55093</t>
  </si>
  <si>
    <t>AVENIDA DAS NAÇÕES UNIDAS, 11.711, 5º ANDAR - BROOKLIN PAULISTA</t>
  </si>
  <si>
    <t>+55 11 5112-8110</t>
  </si>
  <si>
    <t>Código FIP: 50601</t>
  </si>
  <si>
    <t>MARKEL INTERNATIONAL INSURANCE COMPANY LIMITED</t>
  </si>
  <si>
    <t>57398</t>
  </si>
  <si>
    <t>AVENIDA RIO BRANCO, Nº 257, SALA 801 - CENTRO</t>
  </si>
  <si>
    <t>+55 21 2217-7700</t>
  </si>
  <si>
    <t>Endereço: AV. ENG. LUIS CARLOS BERRINI Nº1253 - 13ºANDAR -</t>
  </si>
  <si>
    <t>MITSUI SUMITOMO INSURANCE COMPANY OF AMERICA</t>
  </si>
  <si>
    <t>52957</t>
  </si>
  <si>
    <t xml:space="preserve">+55 11 33561825 </t>
  </si>
  <si>
    <t>MUNCHENER RUCKVERSICHERUNGS-GESSELLSCHAFT AKT. IN MUNCHEN</t>
  </si>
  <si>
    <t>05.707.257/0001-00</t>
  </si>
  <si>
    <t>54810</t>
  </si>
  <si>
    <t>ENG° LUIS CARLOS BERRINI, 550, 14º ANDAR - BROOKLIN</t>
  </si>
  <si>
    <t>DDD: 11 - Tel: 5501-9950 - Fax:</t>
  </si>
  <si>
    <t>NATIONAL LIABILITY &amp; FIRE INSURANCE COMPANY</t>
  </si>
  <si>
    <t>51977</t>
  </si>
  <si>
    <t>Data Autorização/Cadastramento: 22/08/2013</t>
  </si>
  <si>
    <t>NAVIGATORS INSURANCE COMPANY</t>
  </si>
  <si>
    <t>52795</t>
  </si>
  <si>
    <t>NEW REINSURANCE COMPANY (NOUVELLE COMPAGNIE DE RÉASSURANCES)</t>
  </si>
  <si>
    <t>51411</t>
  </si>
  <si>
    <t>OFFICE NATIONAL DU DUCROIRE</t>
  </si>
  <si>
    <t>55891</t>
  </si>
  <si>
    <t>AVENIDA BRIGADEIRO FARIA LIMA, 3.900 - 3º ANDAR - CENTRO</t>
  </si>
  <si>
    <t xml:space="preserve">+55 11 37027002 </t>
  </si>
  <si>
    <t>PARTNERRE AMERICA INSURANCE COMPANY (ANTIGA PARIS RE AMERICA INSURANCE COMPANY)</t>
  </si>
  <si>
    <t>53295</t>
  </si>
  <si>
    <t>PLATINUM UNDERWRITERS REINSURANCE INC(SUSPENSA)</t>
  </si>
  <si>
    <t>52680</t>
  </si>
  <si>
    <t>RUA DA AJUDA, 35, 20º ANDAR - CENTRO</t>
  </si>
  <si>
    <t xml:space="preserve">+55 21 22101766 </t>
  </si>
  <si>
    <t>Código FIP: 52434</t>
  </si>
  <si>
    <t>R+V VERSICHERUNG AG</t>
  </si>
  <si>
    <t>51748</t>
  </si>
  <si>
    <t>REASEGURADORA PATRIA S.A.B.</t>
  </si>
  <si>
    <t>56448</t>
  </si>
  <si>
    <t>SAMSUNG FIRE &amp; MARINE INSURANCE CO., LTD.</t>
  </si>
  <si>
    <t>50202</t>
  </si>
  <si>
    <t>AL JOAQUIM EUGENIO DE LIMA, 447 - JARDIM PAULISTA</t>
  </si>
  <si>
    <t>DDD: 11 - Tel: 3147-2707 ou 7742 - Fax: 3147-7770</t>
  </si>
  <si>
    <t>SCHWEIZERISCHE NATIONAL - VERSICHERUNGS - GESELLSCHAFT AG</t>
  </si>
  <si>
    <t>57461</t>
  </si>
  <si>
    <t>Data Autorização/Cadastramento: 20/04/2009</t>
  </si>
  <si>
    <t>SCOR GLOBAL P&amp;C SE</t>
  </si>
  <si>
    <t>54984</t>
  </si>
  <si>
    <t>AV. PAISAGISTA JOSE SILVA DE AZEVEDO NETO, 200, BL04, SL404 - BARRA DA TIJUCA</t>
  </si>
  <si>
    <t>22775-046</t>
  </si>
  <si>
    <t>+55 21 3613-9107</t>
  </si>
  <si>
    <t>SEGUROS INBURSA, S.A.</t>
  </si>
  <si>
    <t>59609</t>
  </si>
  <si>
    <t>AV. RIO BRANCO, 01, 14° ANDAR, ALA D - CENTRO</t>
  </si>
  <si>
    <t xml:space="preserve">+55 21 22729200 </t>
  </si>
  <si>
    <t>SEOUL GUARANTEE INSURANCE COMPANY</t>
  </si>
  <si>
    <t>51063</t>
  </si>
  <si>
    <t>SIRIUS AMERICA INSURANCE COMPANY (ATUAL DENOMINAÇÃO DA WHITE MOUNTAINS REINSURANCE COMPANY OF AMERICA)</t>
  </si>
  <si>
    <t>57053</t>
  </si>
  <si>
    <t>SIRIUS INTERNATIONAL INSURANCE CORPORATION</t>
  </si>
  <si>
    <t>50075</t>
  </si>
  <si>
    <t>AV. RIO BRANCO N.º 01, 19º ANDAR, SETOR B - CENTRO</t>
  </si>
  <si>
    <t>Código FIP: 50091</t>
  </si>
  <si>
    <t>SOLEN VERSICHERUNGEN AG</t>
  </si>
  <si>
    <t>58645</t>
  </si>
  <si>
    <t>AV. DAS AMÉRICAS, 4200, BL. 5, 4º ANDAR - BARRA DA TIJUCA</t>
  </si>
  <si>
    <t>Endereço: AVENIDA PEDROSO DE MORAES, 1201 - PINHEIROS</t>
  </si>
  <si>
    <t>SOMPO JAPAN INSURANCE INC</t>
  </si>
  <si>
    <t>55921</t>
  </si>
  <si>
    <t>RUA CUBATÃO, 320 - PARAÍSO</t>
  </si>
  <si>
    <t xml:space="preserve">+55 11 38861128 </t>
  </si>
  <si>
    <t>SÃO PAULO - Cep: 05419001</t>
  </si>
  <si>
    <t>SWISS RE EUROPE S.A.</t>
  </si>
  <si>
    <t>57495</t>
  </si>
  <si>
    <t>DDD: 11 - Tel: 3356-1821 - Fax:</t>
  </si>
  <si>
    <t>THE NEW INDIA ASSURANCE COMPANY LTD.</t>
  </si>
  <si>
    <t>54933</t>
  </si>
  <si>
    <t>AV. PEDROSO DE MORAES, 1201 - PINHEIROS</t>
  </si>
  <si>
    <t>Data Autorização/Cadastramento: 04/12/2008</t>
  </si>
  <si>
    <t>TOKIO MILLENNIUM RE (UK) LIMITED (NOVA DENOMINAÇÃO DE TOKIO MARINE GLOBAL LTD.)</t>
  </si>
  <si>
    <t>58271</t>
  </si>
  <si>
    <t>TRAVELERS CASUALTY AND SURETY COMPANY OF AMERICA</t>
  </si>
  <si>
    <t>57843</t>
  </si>
  <si>
    <t>AV. BRIGADEIRO FARIA LIMA, 1485 - TORRE NORTE - 17° ANDAR -</t>
  </si>
  <si>
    <t>01452-002</t>
  </si>
  <si>
    <t xml:space="preserve">+55 11 51888090 </t>
  </si>
  <si>
    <t>VHV ALLGEMEINE VERSICHERUNG AG</t>
  </si>
  <si>
    <t>50598</t>
  </si>
  <si>
    <t>RUA DO ROSÁRIO, 24, 2° E 3 ° ANDARES - CENTRO</t>
  </si>
  <si>
    <t xml:space="preserve">+55 21 22835550 </t>
  </si>
  <si>
    <t>W.R. BERKLEY INSURANCE (EUROPE) LIMITED</t>
  </si>
  <si>
    <t>56847</t>
  </si>
  <si>
    <t>RUA OLIMPIADAS, 242, 7° ANDAR - VILA OLIMPIA</t>
  </si>
  <si>
    <t xml:space="preserve">+55 11 38488620 </t>
  </si>
  <si>
    <t>XL INSURANCE COMPANY PLC (ANTIGA XL INSURANCE COMPANY LIMITED)</t>
  </si>
  <si>
    <t>52469</t>
  </si>
  <si>
    <t>RUA DR. RENATO PAES DE BARROS, 1017, 8º ANDAR - ITAIM BIBI</t>
  </si>
  <si>
    <t>Código FIP: 58181</t>
  </si>
  <si>
    <t>ZURICH INSURANCE PUBLIC LIMITED COMPANY</t>
  </si>
  <si>
    <t>59986</t>
  </si>
  <si>
    <t>AV. JORNALISTA ROBERTO MARINHO, 85, 23° ANDAR - BROOKLIN NOVO</t>
  </si>
  <si>
    <t>04576-010</t>
  </si>
  <si>
    <t xml:space="preserve">+55 11 23138515 </t>
  </si>
  <si>
    <t>Endereço: AV. PEDROSO DE MORAES Nº1201 - PINHEIROS</t>
  </si>
  <si>
    <t>DDD: 11 - Tel: 33561821 - Fax:</t>
  </si>
  <si>
    <t>Data Autorização/Cadastramento: 04/04/2012</t>
  </si>
  <si>
    <t>Código FIP: 56766</t>
  </si>
  <si>
    <t>Endereço: AV. RIO BRANCO, 85, 17º ANDAR - CENTRO</t>
  </si>
  <si>
    <t>RIO DE JANEIRO - Cep: 20040004</t>
  </si>
  <si>
    <t>DDD: 21 - Tel: 38494403 - Fax:</t>
  </si>
  <si>
    <t>Código FIP: 54950</t>
  </si>
  <si>
    <t>Endereço: AVENIDA RIO BRANCO, 128 - 5º ANDAR (PARTE) -</t>
  </si>
  <si>
    <t>RIO DE JANEIRO - Cep: 20040006</t>
  </si>
  <si>
    <t>DDD: 21 - Tel: - Fax:</t>
  </si>
  <si>
    <t>Data Autorização/Cadastramento: 29/01/2009</t>
  </si>
  <si>
    <t>Código FIP: 52876</t>
  </si>
  <si>
    <t>DDD: 11 - Tel: 3147-7604/3147-261 - Fax: 3147-7770</t>
  </si>
  <si>
    <t>Data Autorização/Cadastramento: 09/09/2008</t>
  </si>
  <si>
    <t>Código FIP: 57746</t>
  </si>
  <si>
    <t>Endereço: ALAMEDA JOAQUIM EUGENIO DE LIMA, 447 - JARDIM PAULISTA</t>
  </si>
  <si>
    <t>DDD: 11 - Tel: 31477604 - Fax:</t>
  </si>
  <si>
    <t>Código FIP: 56090</t>
  </si>
  <si>
    <t>Endereço: ALAMEDA JOAQUIM EUGÊNIO DE LIMA Nº447 -</t>
  </si>
  <si>
    <t>Código FIP: 56812</t>
  </si>
  <si>
    <t>Endereço: ALAMEDA JOAQUIM EUGÊNIO DE LIMA, 447 -</t>
  </si>
  <si>
    <t>DDD: 11 - Tel: 3147-7604 - Fax: 3147-7770</t>
  </si>
  <si>
    <t>Data Autorização/Cadastramento: 13/02/2009</t>
  </si>
  <si>
    <t>Código FIP: 56898</t>
  </si>
  <si>
    <t>Data Autorização/Cadastramento: 11/11/2009</t>
  </si>
  <si>
    <t>Código FIP: 50938</t>
  </si>
  <si>
    <t>Endereço: AV. PAULISTA, 1842, TORRE NORTE, 22ºANDAR - BELA VISTA</t>
  </si>
  <si>
    <t>SÃO PAULO - Cep: 01310020</t>
  </si>
  <si>
    <t>DDD: 11 - Tel: 21264600 - Fax:</t>
  </si>
  <si>
    <t>Código FIP: 51772</t>
  </si>
  <si>
    <t>Código FIP: 52850</t>
  </si>
  <si>
    <t>Endereço: RUA LÍBERO BADARÓ, 158, 21O ANDAR - SÉ</t>
  </si>
  <si>
    <t>SÃO PAULO - Cep: 01008904</t>
  </si>
  <si>
    <t>DDD: 11 - Tel: 32914800 - Fax: 32914801</t>
  </si>
  <si>
    <t>Data Autorização/Cadastramento: 17/10/2011</t>
  </si>
  <si>
    <t>Código FIP: 59536</t>
  </si>
  <si>
    <t>Endereço: PRAÇA JOÃO DURAN ALONSO, 34, 12º ANDAR - BROOKLIN NOVO</t>
  </si>
  <si>
    <t>DDD: 11 - Tel: 55098181 - Fax:</t>
  </si>
  <si>
    <t>Data Autorização/Cadastramento: 14/07/2009</t>
  </si>
  <si>
    <t>Código FIP: 55760</t>
  </si>
  <si>
    <t>Endereço: AV. BEIRA MAR Nº200 , 8º ANDAR - CASTELO</t>
  </si>
  <si>
    <t>RIO DE JANEIRO - Cep: 20021060</t>
  </si>
  <si>
    <t>DDD: 21 - Tel: 3526-4833 - Fax:</t>
  </si>
  <si>
    <t>Código FIP: 51551</t>
  </si>
  <si>
    <t>Endereço: ALAMEDA JOAQUIM EUGÊNIO DE LIMA, 447 - JARDIM PAULISTA</t>
  </si>
  <si>
    <t>Data Autorização/Cadastramento: 08/07/2011</t>
  </si>
  <si>
    <t>Código FIP: 56502</t>
  </si>
  <si>
    <t>Data Autorização/Cadastramento: 16/01/2009</t>
  </si>
  <si>
    <t>Código FIP: 51616</t>
  </si>
  <si>
    <t>Data Autorização/Cadastramento: 25/08/2010</t>
  </si>
  <si>
    <t>Código FIP: 53414</t>
  </si>
  <si>
    <t>Endereço: AVENIDA BRIGADEIRO FARIA LIMA, N° 3144, 11º ANDAR. -</t>
  </si>
  <si>
    <t>DDD: 11 - Tel: 3150-7084 - Fax:</t>
  </si>
  <si>
    <t>Data Autorização/Cadastramento: 12/11/2012</t>
  </si>
  <si>
    <t>Código FIP: 57703</t>
  </si>
  <si>
    <t>Código FIP: 50768</t>
  </si>
  <si>
    <t>Endereço: AVENIDA PEDROSO DE MORAES 1201. - PINHEIROS</t>
  </si>
  <si>
    <t>Data Autorização/Cadastramento: 20/08/2013</t>
  </si>
  <si>
    <t>Código FIP: 51438</t>
  </si>
  <si>
    <t>Endereço: RUA LÍBERO BADARÓ, 158 - 21º ANDAR - SÉ</t>
  </si>
  <si>
    <t>DDD: 11 - Tel: 3291-4800 - Fax: 3291-4801</t>
  </si>
  <si>
    <t>Data Autorização/Cadastramento: 29/10/2008</t>
  </si>
  <si>
    <t>Código FIP: 55573</t>
  </si>
  <si>
    <t>Endereço: AV. ENGENHEIRO LUIS CARLOS BERRINI 901, 5° ANDAR -</t>
  </si>
  <si>
    <t>DDD: 11 - Tel: 5508-1356 - Fax:</t>
  </si>
  <si>
    <t>Data Autorização/Cadastramento: 30/01/2009</t>
  </si>
  <si>
    <t>Código FIP: 55000</t>
  </si>
  <si>
    <t>Endereço: RUA LIBERO BADARÓ, 158 - 21º ANDAR - CENTRO</t>
  </si>
  <si>
    <t>DDD: 11 - Tel: 32914800 - Fax:</t>
  </si>
  <si>
    <t>Data Autorização/Cadastramento: 14/10/2008</t>
  </si>
  <si>
    <t>Código FIP: 51578</t>
  </si>
  <si>
    <t>Endereço: AVENIDA PEDROSO DE MORAES Nº 1.201 - PINHEIROS</t>
  </si>
  <si>
    <t>DDD: 11 - Tel: 3356-1519 - Fax:</t>
  </si>
  <si>
    <t>Data Autorização/Cadastramento: 01/04/2010</t>
  </si>
  <si>
    <t>Código FIP: 55433</t>
  </si>
  <si>
    <t>Data Autorização/Cadastramento: 02/08/2010</t>
  </si>
  <si>
    <t>Código FIP: 52809</t>
  </si>
  <si>
    <t>Data Autorização/Cadastramento: 21/09/2010</t>
  </si>
  <si>
    <t>Código FIP: 52736</t>
  </si>
  <si>
    <t>Endereço: AV. RIO BRANCO, Nº1, 19ºANDAR, SETOR B - CENTRO</t>
  </si>
  <si>
    <t>RIO DE JANEIRO - Cep: 20090003</t>
  </si>
  <si>
    <t>DDD: 21 - Tel: 22064900 - Fax:</t>
  </si>
  <si>
    <t>Data Autorização/Cadastramento: 23/11/2010</t>
  </si>
  <si>
    <t>Código FIP: 58173</t>
  </si>
  <si>
    <t>Endereço: RUA LÍBERO BADARÓ 293, 27º ANDAR - CENTRO</t>
  </si>
  <si>
    <t>SÃO PAULO - Cep: 01009907</t>
  </si>
  <si>
    <t>DDD: 11 - Tel: 3106-3020 RAMAL 120 - Fax:</t>
  </si>
  <si>
    <t>Data Autorização/Cadastramento: 19/02/2013</t>
  </si>
  <si>
    <t>Código FIP: 50679</t>
  </si>
  <si>
    <t>Código FIP: 52060</t>
  </si>
  <si>
    <t>SÃO PAULO - Cep: 54919001</t>
  </si>
  <si>
    <t>DDD: 11 - Tel: (11)3356-1821 - Fax:</t>
  </si>
  <si>
    <t>Código FIP: 50211</t>
  </si>
  <si>
    <t>Endereço: RUA JOAQUIM FLORIANO, 243, CJ. 113 - ITAIM BIBI</t>
  </si>
  <si>
    <t>SÃO PAULO - Cep: 04534010</t>
  </si>
  <si>
    <t>DDD: 11 - Tel: 31063020 - Fax: 5086-5555</t>
  </si>
  <si>
    <t>Data Autorização/Cadastramento: 19/11/2008</t>
  </si>
  <si>
    <t>Código FIP: 59552</t>
  </si>
  <si>
    <t>SÃO PAULO - Cep: 05419-00</t>
  </si>
  <si>
    <t>Data Autorização/Cadastramento: 10/02/2009</t>
  </si>
  <si>
    <t>Código FIP: 55093</t>
  </si>
  <si>
    <t>Endereço: AVENIDA DAS NAÇÕES UNIDAS, 11.711, 5º ANDAR - BROOKLIN PAULISTA</t>
  </si>
  <si>
    <t>DDD: 11 - Tel: 5112-8110 - Fax:</t>
  </si>
  <si>
    <t>Data Autorização/Cadastramento: 08/06/2009</t>
  </si>
  <si>
    <t>Código FIP: 57398</t>
  </si>
  <si>
    <t>Endereço: AVENIDA RIO BRANCO, Nº 257, SALA 801 - CENTRO</t>
  </si>
  <si>
    <t>DDD: 21 - Tel: 2217-7700 - Fax:</t>
  </si>
  <si>
    <t>Data Autorização/Cadastramento: 05/07/2012</t>
  </si>
  <si>
    <t>Código FIP: 52957</t>
  </si>
  <si>
    <t>DDD: 11 - Tel: 33561825 - Fax:</t>
  </si>
  <si>
    <t>CNPJ: 05.707.257/0001-00</t>
  </si>
  <si>
    <t>Código FIP: 54810</t>
  </si>
  <si>
    <t>Endereço: ENG° LUIS CARLOS BERRINI, 550, 14º ANDAR - BROOKLIN</t>
  </si>
  <si>
    <t>Data Autorização/Cadastramento: 25/03/2008</t>
  </si>
  <si>
    <t>Código FIP: 51977</t>
  </si>
  <si>
    <t>Data Autorização/Cadastramento: 18/11/2009</t>
  </si>
  <si>
    <t>Código FIP: 52795</t>
  </si>
  <si>
    <t>Data Autorização/Cadastramento: 04/08/2008</t>
  </si>
  <si>
    <t>Código FIP: 51411</t>
  </si>
  <si>
    <t>Data Autorização/Cadastramento: 21/10/2008</t>
  </si>
  <si>
    <t>Código FIP: 55891</t>
  </si>
  <si>
    <t>Endereço: AVENIDA BRIGADEIRO FARIA LIMA, 3.900 - 3º ANDAR - CENTRO</t>
  </si>
  <si>
    <t>DDD: 11 - Tel: 37027002 - Fax: 37027001</t>
  </si>
  <si>
    <t>Data Autorização/Cadastramento: 08/12/2009</t>
  </si>
  <si>
    <t>Código FIP: 53295</t>
  </si>
  <si>
    <t>Data Autorização/Cadastramento: 08/07/2008</t>
  </si>
  <si>
    <t>Código FIP: 52680</t>
  </si>
  <si>
    <t>Endereço: RUA DA AJUDA, 35, 20º ANDAR - CENTRO</t>
  </si>
  <si>
    <t>DDD: 21 - Tel: 22101766 - Fax:</t>
  </si>
  <si>
    <t>Data Autorização/Cadastramento: 30/09/2010</t>
  </si>
  <si>
    <t>Código FIP: 51748</t>
  </si>
  <si>
    <t>DDD: 11 - Tel: 31477604 - Fax: 31477770</t>
  </si>
  <si>
    <t>Data Autorização/Cadastramento: 12/11/2010</t>
  </si>
  <si>
    <t>Código FIP: 56448</t>
  </si>
  <si>
    <t>DDD: 11 - Tel: 31477604 - Fax: 3147-7770</t>
  </si>
  <si>
    <t>Código FIP: 50202</t>
  </si>
  <si>
    <t>Endereço: AL JOAQUIM EUGENIO DE LIMA, 447 - JARDIM PAULISTA</t>
  </si>
  <si>
    <t>Código FIP: 57461</t>
  </si>
  <si>
    <t>Data Autorização/Cadastramento: 05/02/2013</t>
  </si>
  <si>
    <t>Código FIP: 54984</t>
  </si>
  <si>
    <t>Endereço: AV. PAISAGISTA JOSE SILVA DE AZEVEDO NETO, 200, BL04, SL404 - BARRA DA TIJUCA</t>
  </si>
  <si>
    <t>RIO DE JANEIRO - Cep: 22775046</t>
  </si>
  <si>
    <t>DDD: 21 - Tel: 3613-9107 - Fax: 32219659</t>
  </si>
  <si>
    <t>Data Autorização/Cadastramento: 07/07/2011</t>
  </si>
  <si>
    <t>Código FIP: 59609</t>
  </si>
  <si>
    <t>Endereço: AV. RIO BRANCO, 01, 14° ANDAR, ALA D - CENTRO</t>
  </si>
  <si>
    <t>DDD: 21 - Tel: 22729200 - Fax:</t>
  </si>
  <si>
    <t>Data Autorização/Cadastramento: 18/06/2010</t>
  </si>
  <si>
    <t>Código FIP: 51063</t>
  </si>
  <si>
    <t>Data Autorização/Cadastramento: 14/10/2013</t>
  </si>
  <si>
    <t>Código FIP: 57053</t>
  </si>
  <si>
    <t>Data Autorização/Cadastramento: 20/05/2009</t>
  </si>
  <si>
    <t>Código FIP: 50075</t>
  </si>
  <si>
    <t>Endereço: AV. RIO BRANCO N.º 01, 19º ANDAR, SETOR B - CENTRO</t>
  </si>
  <si>
    <t>Código FIP: 58645</t>
  </si>
  <si>
    <t>Endereço: AV. DAS AMÉRICAS, 4200, BL. 5, 4º ANDAR - BARRA DA TIJUCA</t>
  </si>
  <si>
    <t>Data Autorização/Cadastramento: 29/12/2009</t>
  </si>
  <si>
    <t>Código FIP: 55921</t>
  </si>
  <si>
    <t>Endereço: RUA CUBATÃO, 320 - PARAÍSO</t>
  </si>
  <si>
    <t>DDD: 11 - Tel: 38861128 - Fax:</t>
  </si>
  <si>
    <t>Data Autorização/Cadastramento: 26/11/2008</t>
  </si>
  <si>
    <t>Código FIP: 57495</t>
  </si>
  <si>
    <t>DDD: 11 - Tel: 31477604 - Fax: 21477770</t>
  </si>
  <si>
    <t>Código FIP: 54933</t>
  </si>
  <si>
    <t>Endereço: AV. PEDROSO DE MORAES, 1201 - PINHEIROS</t>
  </si>
  <si>
    <t>Código FIP: 58271</t>
  </si>
  <si>
    <t>Código FIP: 57843</t>
  </si>
  <si>
    <t>Endereço: AV. BRIGADEIRO FARIA LIMA, 1485 - TORRE NORTE - 17° ANDAR -</t>
  </si>
  <si>
    <t>SÃO PAULO - Cep: 01452002</t>
  </si>
  <si>
    <t>DDD: 11 - Tel: 51888090 - Fax:</t>
  </si>
  <si>
    <t>Código FIP: 50598</t>
  </si>
  <si>
    <t>Endereço: RUA DO ROSÁRIO, 24, 2° E 3 ° ANDARES - CENTRO</t>
  </si>
  <si>
    <t>DDD: 21 - Tel: 22835550 - Fax:</t>
  </si>
  <si>
    <t>Data Autorização/Cadastramento: 26/09/2013</t>
  </si>
  <si>
    <t>Código FIP: 56847</t>
  </si>
  <si>
    <t>Endereço: RUA OLIMPIADAS, 242, 7° ANDAR - VILA OLIMPIA</t>
  </si>
  <si>
    <t>DDD: 11 - Tel: 38488620 - Fax:</t>
  </si>
  <si>
    <t>Data Autorização/Cadastramento: 20/08/2009</t>
  </si>
  <si>
    <t>Código FIP: 52469</t>
  </si>
  <si>
    <t>Endereço: RUA DR. RENATO PAES DE BARROS, 1017, 8º ANDAR - ITAIM BIBI</t>
  </si>
  <si>
    <t>Código FIP: 59986</t>
  </si>
  <si>
    <t>Endereço: AV. JORNALISTA ROBERTO MARINHO, 85, 23° ANDAR - BROOKLIN NOVO</t>
  </si>
  <si>
    <t>SÃO PAULO - Cep: 04576010</t>
  </si>
  <si>
    <t>DDD: 11 - Tel: 23138515 - Fax:</t>
  </si>
  <si>
    <t>Relação de Corretoras</t>
  </si>
  <si>
    <t>AD CORRETORA DE RESSEGUROS LTDA</t>
  </si>
  <si>
    <t>09.674.690/0001-39</t>
  </si>
  <si>
    <t>77747</t>
  </si>
  <si>
    <t>AVENIDA BRIGADEIRO FARIA LIMA 3015 - 11O. ANDAR/ CONJ. 112 - JARDIM PAULISTANO</t>
  </si>
  <si>
    <t>01452-000</t>
  </si>
  <si>
    <t xml:space="preserve">+55 11 30745000 </t>
  </si>
  <si>
    <t>AON BENFIELD BRASIL CORRETORA DE RESSEGUROS LTDA</t>
  </si>
  <si>
    <t>02.757.429/0001-53</t>
  </si>
  <si>
    <t>78743</t>
  </si>
  <si>
    <t>TEÓFILO OTONI, Nº 15 - 10º ANDAR - CENTRO</t>
  </si>
  <si>
    <t>20090-080</t>
  </si>
  <si>
    <t>+55 21 2203-8919</t>
  </si>
  <si>
    <t>CNPJ: 09.674.690/0001-39</t>
  </si>
  <si>
    <t>ARX-RE CORRETORA DE RESSEGUROS LTDA</t>
  </si>
  <si>
    <t>09.656.599/0001-90</t>
  </si>
  <si>
    <t>72958</t>
  </si>
  <si>
    <t>LIBERO BADARO, 293 - CJ 13A - CENTRO</t>
  </si>
  <si>
    <t>01009-000</t>
  </si>
  <si>
    <t>+55 11 2244-7115</t>
  </si>
  <si>
    <t>Código FIP: 77747</t>
  </si>
  <si>
    <t>BOWRING MARSH CORRETORA DE RESSEGUROS LTDA.</t>
  </si>
  <si>
    <t>48.087.985/0001-60</t>
  </si>
  <si>
    <t>71625</t>
  </si>
  <si>
    <t>AVENIDA MARIA COELHO DE AGUIAR, 215 - BL - F - 1° ANDAR - JARDIM SAO LUIS</t>
  </si>
  <si>
    <t>05804-900</t>
  </si>
  <si>
    <t>+55 11 3741 14 4</t>
  </si>
  <si>
    <t>Endereço: AVENIDA BRIGADEIRO FARIA LIMA 3015 - 11O. ANDAR/ CONJ. 112 - JARDIM PAULISTANO</t>
  </si>
  <si>
    <t>BRIB CORRETORA DE RESSEGUROS LTDA</t>
  </si>
  <si>
    <t>12.651.299/0001-23</t>
  </si>
  <si>
    <t>77089</t>
  </si>
  <si>
    <t>ALAMEDA SANTOS, 1787, 5º ANDAR - CERQUEIRA CESAR</t>
  </si>
  <si>
    <t>01419-002</t>
  </si>
  <si>
    <t>SÃO PAULO - Cep: 01452000</t>
  </si>
  <si>
    <t>CIRCLES GROUP BRASIL CORRETORA DE RESSEGURO S.A</t>
  </si>
  <si>
    <t>08.516.565/0001-38</t>
  </si>
  <si>
    <t>70203</t>
  </si>
  <si>
    <t>AV. NOSSA SRA. COPACABANA, 647, CONJUNTOS 412,413,414,415 - COPACABANA</t>
  </si>
  <si>
    <t>22050-901</t>
  </si>
  <si>
    <t>+55 21 2235-0025</t>
  </si>
  <si>
    <t>DDD: 11 - Tel: 30745000 - Fax: 30745000</t>
  </si>
  <si>
    <t>09.591.510/0001-55</t>
  </si>
  <si>
    <t>74667</t>
  </si>
  <si>
    <t>RUA DO MÉXICO 03, 17º ANDAR - CENTRO</t>
  </si>
  <si>
    <t>20031-144</t>
  </si>
  <si>
    <t xml:space="preserve">+55 21 21030078 </t>
  </si>
  <si>
    <t>COOPER GAY DO BRASIL CORRETORA DE RESSEGUROS LTDA.</t>
  </si>
  <si>
    <t>05.375.622/0001-18</t>
  </si>
  <si>
    <t>76767</t>
  </si>
  <si>
    <t>AV. PRESIDENTE WILSON, 165 - GRUPO 1113 - CENTRO</t>
  </si>
  <si>
    <t>20030-020</t>
  </si>
  <si>
    <t xml:space="preserve">+55 21 22725200 </t>
  </si>
  <si>
    <t>07.397.897/0001-88</t>
  </si>
  <si>
    <t>72877</t>
  </si>
  <si>
    <t>RUA DA QUITANDA Nº 70 - SALA 401 - CENTRO</t>
  </si>
  <si>
    <t>20011-030</t>
  </si>
  <si>
    <t xml:space="preserve">+55 21 22246685 </t>
  </si>
  <si>
    <t>CNPJ: 02.757.429/0001-53</t>
  </si>
  <si>
    <t>Código FIP: 78743</t>
  </si>
  <si>
    <t>GUY CARPENTER &amp; COMPANY CORRETORA DE RESSEGUROS LTDA.</t>
  </si>
  <si>
    <t>45.887.171/0001-12</t>
  </si>
  <si>
    <t>70858</t>
  </si>
  <si>
    <t>AV. RIO BRANCO, 125 - 15º ANDAR - CENTRO</t>
  </si>
  <si>
    <t>+55 21 2103-0800</t>
  </si>
  <si>
    <t>Endereço: TEÓFILO OTONI, Nº 15 - 10º ANDAR - CENTRO</t>
  </si>
  <si>
    <t>HOWDEN CORRETORA DE RESSEGUROS LTDA</t>
  </si>
  <si>
    <t>10.331.571/0001-62</t>
  </si>
  <si>
    <t>77054</t>
  </si>
  <si>
    <t>AVENIDA LUIS CARLOS PRESTES 180 CJ 351 - BARRA DA TIJUCA</t>
  </si>
  <si>
    <t>22775-055</t>
  </si>
  <si>
    <t>+55 21 2112 4628</t>
  </si>
  <si>
    <t>RIO DE JANEIRO - Cep: 20090080</t>
  </si>
  <si>
    <t>JLT RE BRASIL ADMINISTRAÇÃO E CORRETAGEM DE RESSEGUROS LTDA</t>
  </si>
  <si>
    <t>03.621.568/0001-18</t>
  </si>
  <si>
    <t>78271</t>
  </si>
  <si>
    <t>AV. BEIRA MAR, 200 - 8O. ANDAR - CENTRO</t>
  </si>
  <si>
    <t>+55 21 2220-2970</t>
  </si>
  <si>
    <t>DDD: 21 - Tel: 2203-8919 - Fax: 2203-8922</t>
  </si>
  <si>
    <t>09.556.558/0001-22</t>
  </si>
  <si>
    <t>79766</t>
  </si>
  <si>
    <t>AVENIDA RIO BRANCO 128 18O ANDAR - CENTRO</t>
  </si>
  <si>
    <t>RIO DE JANERO</t>
  </si>
  <si>
    <t xml:space="preserve">+55 11 30936177 </t>
  </si>
  <si>
    <t>Data Autorização/Cadastramento: 18/03/2008</t>
  </si>
  <si>
    <t>LENIX RE DO BRASIL CORRETORA DE RESSEGUROS LTDA</t>
  </si>
  <si>
    <t>14.755.437/0001-40</t>
  </si>
  <si>
    <t>74951</t>
  </si>
  <si>
    <t>EMBAIXADOR ABELARDO BUENO 3500 SALA 818 - BARRA DA TIJUCA</t>
  </si>
  <si>
    <t>22775-040</t>
  </si>
  <si>
    <t xml:space="preserve">+55 21 21431523 </t>
  </si>
  <si>
    <t>MEXBRIT BRASIL CORRETORA DE RESSEGUROS LTDA.</t>
  </si>
  <si>
    <t>06.913.526/0001-49</t>
  </si>
  <si>
    <t>70076</t>
  </si>
  <si>
    <t>AV SAO GABRIEL 149 CJ 502 - JARDIM PAULISTA</t>
  </si>
  <si>
    <t>01435-001</t>
  </si>
  <si>
    <t xml:space="preserve">+55 11 31656102 </t>
  </si>
  <si>
    <t>MILLER DO BRASIL CORRETORA DE RESSEGUROS LTDA.</t>
  </si>
  <si>
    <t>05.125.534/0001-68</t>
  </si>
  <si>
    <t>71439</t>
  </si>
  <si>
    <t>RUA FUNCHAL, 263 - CONJUNTO 163 E 164 - VILA OLÍMPIA</t>
  </si>
  <si>
    <t>04551-060</t>
  </si>
  <si>
    <t xml:space="preserve">+55 11 30543584 </t>
  </si>
  <si>
    <t>CNPJ: 09.656.599/0001-90</t>
  </si>
  <si>
    <t>NAUSCH HOGAN &amp; MURRAY BRASIL CORRETORA DE RESSEGUROS LTDA.</t>
  </si>
  <si>
    <t>07.237.510/0001-26</t>
  </si>
  <si>
    <t>70939</t>
  </si>
  <si>
    <t>Código FIP: 72958</t>
  </si>
  <si>
    <t>Endereço: LIBERO BADARO, 293 - CJ 13A - CENTRO</t>
  </si>
  <si>
    <t>SAO PAULO - Cep: 01009000</t>
  </si>
  <si>
    <t>PLURIS RE CORRETORA DE RESSEGUROS LTDA</t>
  </si>
  <si>
    <t>10.910.474/0001-24</t>
  </si>
  <si>
    <t>76503</t>
  </si>
  <si>
    <t>AV. DAS NAÇÕES UNIDAS, 10.989 - 2º ANDAR - VILA OLIMPIA</t>
  </si>
  <si>
    <t xml:space="preserve">+55 11 30544776 </t>
  </si>
  <si>
    <t>DDD: 11 - Tel: 2244-7115 - Fax: 3104-8462</t>
  </si>
  <si>
    <t>PROMASS CORRETORA DE RESSEGUROS LTDA</t>
  </si>
  <si>
    <t>10.423.158/0001-28</t>
  </si>
  <si>
    <t>79553</t>
  </si>
  <si>
    <t>AV AFONSO PENA 726 - 7º ANDAR PARTE - CENTRO</t>
  </si>
  <si>
    <t>30130-003</t>
  </si>
  <si>
    <t xml:space="preserve">+55 31 32796100 </t>
  </si>
  <si>
    <t>Data Autorização/Cadastramento: 13/08/2008</t>
  </si>
  <si>
    <t>U.S. RE DO BRASIL CORRETORA DE RESSEGUROS LTDA.</t>
  </si>
  <si>
    <t>11.028.055/0001-26</t>
  </si>
  <si>
    <t>77704</t>
  </si>
  <si>
    <t>RUA MANOEL DA NÓBREGA, Nº 111 - SALA 112 - PARTE - VILA MARIANA</t>
  </si>
  <si>
    <t>04001-080</t>
  </si>
  <si>
    <t xml:space="preserve">+55  0 - - Fax: </t>
  </si>
  <si>
    <t>UIB RE BRASIL CORRETORA DE RESSEGUROS LTDA</t>
  </si>
  <si>
    <t>09.476.647/0001-69</t>
  </si>
  <si>
    <t>74811</t>
  </si>
  <si>
    <t>AVENIDA FRANKLIN ROOSEVELT, 115 SALA 401 - CENTRO</t>
  </si>
  <si>
    <t xml:space="preserve">+55 21 22063100 </t>
  </si>
  <si>
    <t>UNIVERSAL RE CORRETORES DE RESSEGUROS LTDA.</t>
  </si>
  <si>
    <t>10.260.613/0001-11</t>
  </si>
  <si>
    <t>71412</t>
  </si>
  <si>
    <t>ENGENHEIRO LUIS CARLOS BERRINI, Nº 716 - CONJ 31 - BROOKLIN NOVO</t>
  </si>
  <si>
    <t xml:space="preserve">+55 11 55045200 </t>
  </si>
  <si>
    <t>CNPJ: 48.087.985/0001-60</t>
  </si>
  <si>
    <t>WILLIS CORRETORA DE RESSEGUROS LTDA.</t>
  </si>
  <si>
    <t>29.981.859/0001-00</t>
  </si>
  <si>
    <t>75434</t>
  </si>
  <si>
    <t>AV.PRESIDENTE WILSON, 231 - SALA 604 PARTE - CENTRO</t>
  </si>
  <si>
    <t>20030-000</t>
  </si>
  <si>
    <t>+55 21 2122-6700</t>
  </si>
  <si>
    <t>Código FIP: 71625</t>
  </si>
  <si>
    <t>Endereço: AVENIDA MARIA COELHO DE AGUIAR, 215 - BL - F - 1° ANDAR - JARDIM SAO LUIS</t>
  </si>
  <si>
    <t>SAO PAULO - Cep: 05804900</t>
  </si>
  <si>
    <t>DDD: 11 - Tel: 3741 14 41 - Fax: 3741 96 41</t>
  </si>
  <si>
    <t>Data Autorização/Cadastramento: 30/04/2008</t>
  </si>
  <si>
    <t>CNPJ: 12.651.299/0001-23</t>
  </si>
  <si>
    <t>Código FIP: 77089</t>
  </si>
  <si>
    <t>Endereço: ALAMEDA SANTOS, 1787, 5º ANDAR - CERQUEIRA CESAR</t>
  </si>
  <si>
    <t>SÃO PAULO - Cep: 01419002</t>
  </si>
  <si>
    <t>Data Autorização/Cadastramento: 18/01/2011</t>
  </si>
  <si>
    <t>CNPJ: 08.516.565/0001-38</t>
  </si>
  <si>
    <t>Código FIP: 70203</t>
  </si>
  <si>
    <t>Endereço: AV. NOSSA SRA. COPACABANA, 647, CONJUNTOS 412,413,414,415 - COPACABANA</t>
  </si>
  <si>
    <t>RIO DE JANEIRO - Cep: 22050901</t>
  </si>
  <si>
    <t>Data Autorização/Cadastramento: 20/08/2008</t>
  </si>
  <si>
    <t>CNPJ: 09.591.510/0001-55</t>
  </si>
  <si>
    <t>Código FIP: 74667</t>
  </si>
  <si>
    <t>Endereço: RUA DO MÉXICO 03, 17º ANDAR - CENTRO</t>
  </si>
  <si>
    <t>RIO DE JANEIRO - Cep: 20031144</t>
  </si>
  <si>
    <t>DDD: 21 - Tel: 21030078 - Fax: 21030081</t>
  </si>
  <si>
    <t>Data Autorização/Cadastramento: 25/06/2008</t>
  </si>
  <si>
    <t>CNPJ: 05.375.622/0001-18</t>
  </si>
  <si>
    <t>Código FIP: 76767</t>
  </si>
  <si>
    <t>Endereço: AV. PRESIDENTE WILSON, 165 - GRUPO 1113 - CENTRO</t>
  </si>
  <si>
    <t>RIO DE JANEIRO - Cep: 20030020</t>
  </si>
  <si>
    <t>DDD: 21 - Tel: 22725200 - Fax: 22725220</t>
  </si>
  <si>
    <t>Data Autorização/Cadastramento: 04/04/2008</t>
  </si>
  <si>
    <t>CNPJ: 07.397.897/0001-88</t>
  </si>
  <si>
    <t>Código FIP: 72877</t>
  </si>
  <si>
    <t>Endereço: RUA DA QUITANDA Nº 70 - SALA 401 - CENTRO</t>
  </si>
  <si>
    <t>RIO DE JANEIRO - Cep: 20011030</t>
  </si>
  <si>
    <t>DDD: 21 - Tel: 22246685 - Fax: 22246685</t>
  </si>
  <si>
    <t>Data Autorização/Cadastramento: 27/05/2008</t>
  </si>
  <si>
    <t>CNPJ: 45.887.171/0001-12</t>
  </si>
  <si>
    <t>Código FIP: 70858</t>
  </si>
  <si>
    <t>Endereço: AV. RIO BRANCO, 125 - 15º ANDAR - CENTRO</t>
  </si>
  <si>
    <t>DDD: 21 - Tel: 2103-0800 - Fax: 2103-0820</t>
  </si>
  <si>
    <t>CNPJ: 10.331.571/0001-62</t>
  </si>
  <si>
    <t>Código FIP: 77054</t>
  </si>
  <si>
    <t>Endereço: AVENIDA LUIS CARLOS PRESTES 180 CJ 351 - BARRA DA TIJUCA</t>
  </si>
  <si>
    <t>RIO DE JANEIRO - Cep: 22775055</t>
  </si>
  <si>
    <t>DDD: 21 - Tel: 2112 4628 - Fax: 2112 4601</t>
  </si>
  <si>
    <t>Data Autorização/Cadastramento: 13/05/2009</t>
  </si>
  <si>
    <t>CNPJ: 03.621.568/0001-18</t>
  </si>
  <si>
    <t>Código FIP: 78271</t>
  </si>
  <si>
    <t>Endereço: AV. BEIRA MAR, 200 - 8O. ANDAR - CENTRO</t>
  </si>
  <si>
    <t>DDD: 21 - Tel: 2220-2970 - Fax: 2262-0846</t>
  </si>
  <si>
    <t>CNPJ: 09.556.558/0001-22</t>
  </si>
  <si>
    <t>Código FIP: 79766</t>
  </si>
  <si>
    <t>Endereço: AVENIDA RIO BRANCO 128 18O ANDAR - CENTRO</t>
  </si>
  <si>
    <t>RIO DE JANERO - Cep: 20040002</t>
  </si>
  <si>
    <t>DDD: 11 - Tel: 30936177 - Fax: 30936177</t>
  </si>
  <si>
    <t>CNPJ: 14.755.437/0001-40</t>
  </si>
  <si>
    <t>Código FIP: 74951</t>
  </si>
  <si>
    <t>Endereço: EMBAIXADOR ABELARDO BUENO 3500 SALA 818 - BARRA DA TIJUCA</t>
  </si>
  <si>
    <t>RIO DE JANEIRO - Cep: 22775040</t>
  </si>
  <si>
    <t>DDD: 21 - Tel: 21431523 - Fax: 35532687</t>
  </si>
  <si>
    <t>CNPJ: 06.913.526/0001-49</t>
  </si>
  <si>
    <t>Código FIP: 70076</t>
  </si>
  <si>
    <t>Endereço: AV SAO GABRIEL 149 CJ 502 - JARDIM PAULISTA</t>
  </si>
  <si>
    <t>SAO PAULO - Cep: 01435001</t>
  </si>
  <si>
    <t>DDD: 11 - Tel: 31656102 - Fax: 31656102</t>
  </si>
  <si>
    <t>CNPJ: 05.125.534/0001-68</t>
  </si>
  <si>
    <t>Código FIP: 71439</t>
  </si>
  <si>
    <t>Endereço: RUA FUNCHAL, 263 - CONJUNTO 163 E 164 - VILA OLÍMPIA</t>
  </si>
  <si>
    <t>SÃO PAULO - Cep: 04551060</t>
  </si>
  <si>
    <t>DDD: 11 - Tel: 30543584 - Fax: 30543575</t>
  </si>
  <si>
    <t>Data Autorização/Cadastramento: 18/04/2008</t>
  </si>
  <si>
    <t>CNPJ: 07.237.510/0001-26</t>
  </si>
  <si>
    <t>Código FIP: 70939</t>
  </si>
  <si>
    <t>Data Autorização/Cadastramento: 22/04/2008</t>
  </si>
  <si>
    <t>CNPJ: 10.910.474/0001-24</t>
  </si>
  <si>
    <t>Código FIP: 76503</t>
  </si>
  <si>
    <t>Endereço: AV. DAS NAÇÕES UNIDAS, 10.989 - 2º ANDAR - VILA OLIMPIA</t>
  </si>
  <si>
    <t>DDD: 11 - Tel: 30544776 - Fax: 38493654</t>
  </si>
  <si>
    <t>Data Autorização/Cadastramento: 22/09/2009</t>
  </si>
  <si>
    <t>CNPJ: 10.423.158/0001-28</t>
  </si>
  <si>
    <t>Código FIP: 79553</t>
  </si>
  <si>
    <t>Endereço: AV AFONSO PENA 726 - 7º ANDAR PARTE - CENTRO</t>
  </si>
  <si>
    <t>BELO HORIZONTE - Cep: 30130003</t>
  </si>
  <si>
    <t>DDD: 31 - Tel: 32796100 - Fax: 32796122</t>
  </si>
  <si>
    <t>Data Autorização/Cadastramento: 15/12/2011</t>
  </si>
  <si>
    <t>CNPJ: 11.028.055/0001-26</t>
  </si>
  <si>
    <t>Código FIP: 77704</t>
  </si>
  <si>
    <t>Endereço: RUA MANOEL DA NÓBREGA, Nº 111 - SALA 112 - PARTE - VILA MARIANA</t>
  </si>
  <si>
    <t>SÃO PAULO - Cep: 04001080</t>
  </si>
  <si>
    <t>DDD: 0 - Tel: - - Fax: -</t>
  </si>
  <si>
    <t>Data Autorização/Cadastramento: 30/09/2009</t>
  </si>
  <si>
    <t>CNPJ: 09.476.647/0001-69</t>
  </si>
  <si>
    <t>Código FIP: 74811</t>
  </si>
  <si>
    <t>Endereço: AVENIDA FRANKLIN ROOSEVELT, 115 SALA 401 - CENTRO</t>
  </si>
  <si>
    <t>DDD: 21 - Tel: 22063100 - Fax: 22063100</t>
  </si>
  <si>
    <t>CNPJ: 10.260.613/0001-11</t>
  </si>
  <si>
    <t>Código FIP: 71412</t>
  </si>
  <si>
    <t>Endereço: ENGENHEIRO LUIS CARLOS BERRINI, Nº 716 - CONJ 31 - BROOKLIN NOVO</t>
  </si>
  <si>
    <t>DDD: 11 - Tel: 55045200 - Fax: 55054882</t>
  </si>
  <si>
    <t>Data Autorização/Cadastramento: 24/09/2008</t>
  </si>
  <si>
    <t>CNPJ: 29.981.859/0001-00</t>
  </si>
  <si>
    <t>Código FIP: 75434</t>
  </si>
  <si>
    <t>Endereço: AV.PRESIDENTE WILSON, 231 - SALA 604 PARTE - CENTRO</t>
  </si>
  <si>
    <t>RIO DE JANEIRO - Cep: 20030000</t>
  </si>
  <si>
    <t>DDD: 21 - Tel: 2122-6700 - Fax: 2517-3141</t>
  </si>
  <si>
    <t>Data Autorização/Cadastramento: 13/03/2008</t>
  </si>
  <si>
    <t>Empresa(s) encontrada(s): 23</t>
  </si>
  <si>
    <t>Relação de Entidades de Previdência Privada</t>
  </si>
  <si>
    <t>10014</t>
  </si>
  <si>
    <t>95900-000</t>
  </si>
  <si>
    <t>+55 51 3748 5400</t>
  </si>
  <si>
    <t>10065</t>
  </si>
  <si>
    <t>90030-130</t>
  </si>
  <si>
    <t xml:space="preserve">+55 51 30272525 </t>
  </si>
  <si>
    <t>CNPJ: 91.167.361/0001-82</t>
  </si>
  <si>
    <t>10677</t>
  </si>
  <si>
    <t>20020-040</t>
  </si>
  <si>
    <t>+55 21 3804-9601</t>
  </si>
  <si>
    <t>Código FIP: 10014</t>
  </si>
  <si>
    <t>10103</t>
  </si>
  <si>
    <t>01011-904</t>
  </si>
  <si>
    <t xml:space="preserve">+55 11 32428008 </t>
  </si>
  <si>
    <t>Endereço: AV. BENJAMIN CONSTANT, 428 - CX. POSTAL: 01 - CENTRO</t>
  </si>
  <si>
    <t>11134</t>
  </si>
  <si>
    <t xml:space="preserve">+55 51 32281999 </t>
  </si>
  <si>
    <t>LAJEADO - Cep: 95900000</t>
  </si>
  <si>
    <t>10979</t>
  </si>
  <si>
    <t>30140-061</t>
  </si>
  <si>
    <t xml:space="preserve">+55 31 32356500 </t>
  </si>
  <si>
    <t>DDD: 51 - Tel: 3748 5400 - Fax: 3748 5200</t>
  </si>
  <si>
    <t>10138</t>
  </si>
  <si>
    <t>01436-000</t>
  </si>
  <si>
    <t>+55 11 3897-6200</t>
  </si>
  <si>
    <t>Data Autorização/Cadastramento: 24/11/1987</t>
  </si>
  <si>
    <t>15580</t>
  </si>
  <si>
    <t>10120</t>
  </si>
  <si>
    <t>74020-010</t>
  </si>
  <si>
    <t>+55 62 3572 6000</t>
  </si>
  <si>
    <t>10413</t>
  </si>
  <si>
    <t>30170-914</t>
  </si>
  <si>
    <t>CNPJ: 92.672.070/0001-04</t>
  </si>
  <si>
    <t>11088</t>
  </si>
  <si>
    <t>Código FIP: 10065</t>
  </si>
  <si>
    <t>10448</t>
  </si>
  <si>
    <t>Endereço: AV JULIO DE CASTILHOS 10 - CENTRO</t>
  </si>
  <si>
    <t>11304</t>
  </si>
  <si>
    <t>90470-280</t>
  </si>
  <si>
    <t>+55 51 3328-86.9</t>
  </si>
  <si>
    <t>PORTO ALEGRE - Cep: 90030130</t>
  </si>
  <si>
    <t>10707</t>
  </si>
  <si>
    <t>+55 51 3216 2500</t>
  </si>
  <si>
    <t>DDD: 51 - Tel: 30272525 - Fax: 32112878</t>
  </si>
  <si>
    <t>11126</t>
  </si>
  <si>
    <t>20040-020</t>
  </si>
  <si>
    <t xml:space="preserve">+55 21 39810004 </t>
  </si>
  <si>
    <t>Data Autorização/Cadastramento: 10/10/1980</t>
  </si>
  <si>
    <t>10961</t>
  </si>
  <si>
    <t>41820-021</t>
  </si>
  <si>
    <t xml:space="preserve">+55 71 31860100 </t>
  </si>
  <si>
    <t>10847</t>
  </si>
  <si>
    <t>22640-100</t>
  </si>
  <si>
    <t>+55 21 3077-1000</t>
  </si>
  <si>
    <t>10898</t>
  </si>
  <si>
    <t xml:space="preserve">+55 21 25093573 </t>
  </si>
  <si>
    <t>10901</t>
  </si>
  <si>
    <t>CNPJ: 33.642.497/0001-09</t>
  </si>
  <si>
    <t>10987</t>
  </si>
  <si>
    <t>95080-190</t>
  </si>
  <si>
    <t>+55 54 3221-27-7</t>
  </si>
  <si>
    <t>Código FIP: 10677</t>
  </si>
  <si>
    <t>11070</t>
  </si>
  <si>
    <t>+55 21 2505-2000</t>
  </si>
  <si>
    <t>Endereço: PRAÇA ANA AMELIA, Nº 9 - 10º ANDAR - SALAS 1003 E 1004 - CENTRO</t>
  </si>
  <si>
    <t>11096</t>
  </si>
  <si>
    <t>80010-050</t>
  </si>
  <si>
    <t>RIO DE JANEIRO - Cep: 20020040</t>
  </si>
  <si>
    <t>10031</t>
  </si>
  <si>
    <t>30170-000</t>
  </si>
  <si>
    <t>+55 31 3226-4777</t>
  </si>
  <si>
    <t>DDD: 21 - Tel: 3804-9601 - Fax: 2221-0259</t>
  </si>
  <si>
    <t>Data Autorização/Cadastramento: 13/09/1989</t>
  </si>
  <si>
    <t>CNPJ: 60.939.600/0001-41</t>
  </si>
  <si>
    <t>Código FIP: 10103</t>
  </si>
  <si>
    <t>Endereço: SÃO BENTO 545 - 2ª S/LOJA - CONJUNTO 9 - CENTRO</t>
  </si>
  <si>
    <t>SÃO PAULO - Cep: 01011904</t>
  </si>
  <si>
    <t>DDD: 11 - Tel: 32428008 - Fax: 31074623</t>
  </si>
  <si>
    <t>Data Autorização/Cadastramento: 24/06/1985</t>
  </si>
  <si>
    <t>CNPJ: 92.843.531/0001-64</t>
  </si>
  <si>
    <t>Código FIP: 11134</t>
  </si>
  <si>
    <t>Endereço: PRAÇA OTAVIO ROCHA, 65 - 1º ANDAR - CENTRO</t>
  </si>
  <si>
    <t>DDD: 51 - Tel: 32281999 - Fax: 32281999</t>
  </si>
  <si>
    <t>Data Autorização/Cadastramento: 14/07/1989</t>
  </si>
  <si>
    <t>CNPJ: 17.188.350/0001-26</t>
  </si>
  <si>
    <t>Código FIP: 10979</t>
  </si>
  <si>
    <t>Endereço: RUA TIMBIRAS 1754 - 9 ANDAR - LOURDES</t>
  </si>
  <si>
    <t>BELO HORIZONTE - Cep: 30140061</t>
  </si>
  <si>
    <t>DDD: 31 - Tel: 32356500 - Fax: 32356515</t>
  </si>
  <si>
    <t>Data Autorização/Cadastramento: 09/06/1981</t>
  </si>
  <si>
    <t>CNPJ: 50.662.436/0001-14</t>
  </si>
  <si>
    <t>Código FIP: 10138</t>
  </si>
  <si>
    <t>Endereço: RUA CANADÁ, 387 - JARDIM AMÉRICA</t>
  </si>
  <si>
    <t>SÃO PAULO - Cep: 01436000</t>
  </si>
  <si>
    <t>DDD: 11 - Tel: 3897-6200 - Fax: 3061-1985</t>
  </si>
  <si>
    <t>Data Autorização/Cadastramento: 23/12/1980</t>
  </si>
  <si>
    <t>CNPJ: 07.622.099/0001-02</t>
  </si>
  <si>
    <t>Código FIP: 15580</t>
  </si>
  <si>
    <t>Endereço: CIDADE DE DEUS, S/N - VILA YARA</t>
  </si>
  <si>
    <t>DDD: 11 - Tel: 3265-5418 - Fax: 3265-5979</t>
  </si>
  <si>
    <t>Data Autorização/Cadastramento: 25/08/2002</t>
  </si>
  <si>
    <t>CNPJ: 42.150.987/0001-70</t>
  </si>
  <si>
    <t>Código FIP: 10120</t>
  </si>
  <si>
    <t>Endereço: AVENIDA PARANAIBA, Nº 538 - CENTRO</t>
  </si>
  <si>
    <t>GOIÂNIA - Cep: 74020010</t>
  </si>
  <si>
    <t>DDD: 62 - Tel: 3572 6000 - Fax: 3572 6004</t>
  </si>
  <si>
    <t>Data Autorização/Cadastramento: 25/03/1993</t>
  </si>
  <si>
    <t>CNPJ: 62.874.219/0001-77</t>
  </si>
  <si>
    <t>Código FIP: 10413</t>
  </si>
  <si>
    <t>Endereço: RUA MATIAS CARDOSO, 63 SL.305/308 - SANTO AGOSTINHO</t>
  </si>
  <si>
    <t>BELO HORIZONTE - Cep: 30170914</t>
  </si>
  <si>
    <t>Data Autorização/Cadastramento: 09/07/1984</t>
  </si>
  <si>
    <t>CNPJ: 92.812.098/0001-08</t>
  </si>
  <si>
    <t>Código FIP: 11088</t>
  </si>
  <si>
    <t>Data Autorização/Cadastramento: 06/01/1981</t>
  </si>
  <si>
    <t>CNPJ: 92.872.100/0001-26</t>
  </si>
  <si>
    <t>Código FIP: 10448</t>
  </si>
  <si>
    <t>Endereço: SETE DE SETEMBRO 604 - CENTRO</t>
  </si>
  <si>
    <t>DDD: 51 - Tel: 32158000 - Fax: 32158202</t>
  </si>
  <si>
    <t>Data Autorização/Cadastramento: 03/04/1981</t>
  </si>
  <si>
    <t>CNPJ: 00.795.766/0001-00</t>
  </si>
  <si>
    <t>Código FIP: 11304</t>
  </si>
  <si>
    <t>Endereço: RUA LUIZ MANOEL GONZAGA, 450 CONJ. 804 - PETRÓPOLIS</t>
  </si>
  <si>
    <t>PORTO ALEGRE - Cep: 90470280</t>
  </si>
  <si>
    <t>DDD: 51 - Tel: 3328-86.93 - Fax: 3328-86.93</t>
  </si>
  <si>
    <t>Data Autorização/Cadastramento: 27/06/1995</t>
  </si>
  <si>
    <t>CNPJ: 92.892.256/0001-79</t>
  </si>
  <si>
    <t>Código FIP: 10707</t>
  </si>
  <si>
    <t>Endereço: RUA DOS ANDRADAS, 774 - CENTRO</t>
  </si>
  <si>
    <t>DDD: 51 - Tel: 3216 2500 - Fax: 3216 2536</t>
  </si>
  <si>
    <t>Data Autorização/Cadastramento: 05/10/1994</t>
  </si>
  <si>
    <t>CNPJ: 29.961.505/0001-02</t>
  </si>
  <si>
    <t>Código FIP: 11126</t>
  </si>
  <si>
    <t>Endereço: PRAÇA PIO X, 55, 3° ANDAR, SALA 302, PARTE - CENTRO</t>
  </si>
  <si>
    <t>RIO DE JANEIRO - Cep: 20040020</t>
  </si>
  <si>
    <t>DDD: 21 - Tel: 39810004 - Fax: 39810004</t>
  </si>
  <si>
    <t>Data Autorização/Cadastramento: 03/07/1981</t>
  </si>
  <si>
    <t>CNPJ: 42.136.390/0001-71</t>
  </si>
  <si>
    <t>Código FIP: 10961</t>
  </si>
  <si>
    <t>Endereço: AVENIDA TANCREDO NEVES, 999 - GRUPO 101 - CAMINHO DAS ÁRVORES</t>
  </si>
  <si>
    <t>SALVADOR - Cep: 41820021</t>
  </si>
  <si>
    <t>DDD: 71 - Tel: 31860100 - Fax: 31860100</t>
  </si>
  <si>
    <t>Data Autorização/Cadastramento: 14/04/1999</t>
  </si>
  <si>
    <t>CNPJ: 95.619.003/0001-14</t>
  </si>
  <si>
    <t>Código FIP: 10847</t>
  </si>
  <si>
    <t>Endereço: AVENIDA DAS AMÉRICAS Nº 500 - BLOCO 18 - SALAS 301 E 302 - BARRA DA TIJUCA</t>
  </si>
  <si>
    <t>RIO DE JANEIRO - Cep: 22640100</t>
  </si>
  <si>
    <t>DDD: 21 - Tel: 3077-1000 - Fax: 3077-1000</t>
  </si>
  <si>
    <t>Data Autorização/Cadastramento: 26/07/1994</t>
  </si>
  <si>
    <t>CNPJ: 34.115.683/0001-44</t>
  </si>
  <si>
    <t>Código FIP: 10898</t>
  </si>
  <si>
    <t>Endereço: RUA DA QUITANDA, 30 - 13 ANDAR - CENTRO</t>
  </si>
  <si>
    <t>DDD: 21 - Tel: 25093573 - Fax: 25091712</t>
  </si>
  <si>
    <t>Data Autorização/Cadastramento: 01/04/1980</t>
  </si>
  <si>
    <t>CNPJ: 88.747.928/0001-85</t>
  </si>
  <si>
    <t>Código FIP: 10901</t>
  </si>
  <si>
    <t>Endereço: SETE DE SETEMBRO, 515 - 4º ANDAR - CENTRO</t>
  </si>
  <si>
    <t>CNPJ: 88.663.828/0001-70</t>
  </si>
  <si>
    <t>Código FIP: 10987</t>
  </si>
  <si>
    <t>Endereço: RUA GARIBALDI,803 - CENTRO</t>
  </si>
  <si>
    <t>CAXIAS DO SUL - Cep: 95080190</t>
  </si>
  <si>
    <t>DDD: 54 - Tel: 3221-27-77 - Fax: 3221-25-40</t>
  </si>
  <si>
    <t>Data Autorização/Cadastramento: 06/11/1980</t>
  </si>
  <si>
    <t>CNPJ: 33.634.999/0001-80</t>
  </si>
  <si>
    <t>Código FIP: 11070</t>
  </si>
  <si>
    <t>Endereço: AV MEM DE SÁ, 247, 1º ANDAR - CENTRO</t>
  </si>
  <si>
    <t>DDD: 21 - Tel: 2505-2000 - Fax: 2505-2070</t>
  </si>
  <si>
    <t>CNPJ: 76.678.101/0001-88</t>
  </si>
  <si>
    <t>Código FIP: 11096</t>
  </si>
  <si>
    <t>Endereço: RUA EMILIANO PERNETA, 10 9º ANDAR - CENTRO</t>
  </si>
  <si>
    <t>CURITIBA - Cep: 80010050</t>
  </si>
  <si>
    <t>CNPJ: 33.767.492/0001-02</t>
  </si>
  <si>
    <t>Código FIP: 10031</t>
  </si>
  <si>
    <t>Endereço: AVENIDA ALVARES CABRAL Nº 397 - 2º ANDAR - SALA/CONJUNTO 201 - LOURDES</t>
  </si>
  <si>
    <t>BELO HORIZONTE - Cep: 30170000</t>
  </si>
  <si>
    <t>DDD: 31 - Tel: 3226-4777 - Fax: 3226-4777</t>
  </si>
  <si>
    <t>Data Autorização/Cadastramento: 12/04/1982</t>
  </si>
  <si>
    <t>Relação de Sociedades de Capitalização</t>
  </si>
  <si>
    <t>24813</t>
  </si>
  <si>
    <t>93320-004</t>
  </si>
  <si>
    <t xml:space="preserve">+55 51 35841300 </t>
  </si>
  <si>
    <t>23540</t>
  </si>
  <si>
    <t>+55 51 3027-2577</t>
  </si>
  <si>
    <t>CNPJ: 13.122.801/0001-71</t>
  </si>
  <si>
    <t>23345</t>
  </si>
  <si>
    <t>Código FIP: 24813</t>
  </si>
  <si>
    <t>22926</t>
  </si>
  <si>
    <t>01013-001</t>
  </si>
  <si>
    <t>Endereço: PEDRO ADAMS FILHO, 3700 - PATRIA NOVA</t>
  </si>
  <si>
    <t>23566</t>
  </si>
  <si>
    <t>NOVO HAMBURGO - Cep: 93320004</t>
  </si>
  <si>
    <t>20141</t>
  </si>
  <si>
    <t>20031-923</t>
  </si>
  <si>
    <t>+55 21 3804-2167</t>
  </si>
  <si>
    <t>DDD: 51 - Tel: 35841300 - Fax: 35841408</t>
  </si>
  <si>
    <t>25585</t>
  </si>
  <si>
    <t>Data Autorização/Cadastramento: 10/12/2010</t>
  </si>
  <si>
    <t>21491</t>
  </si>
  <si>
    <t>21628</t>
  </si>
  <si>
    <t>21661</t>
  </si>
  <si>
    <t>+55 11 3584-1818</t>
  </si>
  <si>
    <t>CNPJ: 88.076.302/0001-94</t>
  </si>
  <si>
    <t>27995</t>
  </si>
  <si>
    <t>Código FIP: 23540</t>
  </si>
  <si>
    <t>26158</t>
  </si>
  <si>
    <t>Endereço: AV. JÚLIO DE CASTILHOS, 10 - 5º ANDAR - CENTRO</t>
  </si>
  <si>
    <t>21334</t>
  </si>
  <si>
    <t>21318</t>
  </si>
  <si>
    <t>DDD: 51 - Tel: 3027-2577 - Fax: 3211-2834</t>
  </si>
  <si>
    <t>26026</t>
  </si>
  <si>
    <t>01315-901</t>
  </si>
  <si>
    <t>+55 11 3188-9752</t>
  </si>
  <si>
    <t>Data Autorização/Cadastramento: 07/06/1996</t>
  </si>
  <si>
    <t>28258</t>
  </si>
  <si>
    <t>28878</t>
  </si>
  <si>
    <t>29319</t>
  </si>
  <si>
    <t>CNPJ: 01.598.935/0001-84</t>
  </si>
  <si>
    <t>28932</t>
  </si>
  <si>
    <t>+55 21 2506-4201</t>
  </si>
  <si>
    <t>Código FIP: 23345</t>
  </si>
  <si>
    <t>Data Autorização/Cadastramento: 22/11/1996</t>
  </si>
  <si>
    <t>CNPJ: 07.681.872/0001-01</t>
  </si>
  <si>
    <t>Código FIP: 22926</t>
  </si>
  <si>
    <t>Endereço: RUA XV DE NOVEMBRO, 111 - 11º ANDAR - SALA 3 - CENTRO</t>
  </si>
  <si>
    <t>SÃO PAULO - Cep: 01013001</t>
  </si>
  <si>
    <t>Data Autorização/Cadastramento: 16/08/2005</t>
  </si>
  <si>
    <t>CNPJ: 33.010.851/0001-74</t>
  </si>
  <si>
    <t>Código FIP: 23566</t>
  </si>
  <si>
    <t>Data Autorização/Cadastramento: 13/07/1984</t>
  </si>
  <si>
    <t>CNPJ: 15.138.043/0001-05</t>
  </si>
  <si>
    <t>Código FIP: 20141</t>
  </si>
  <si>
    <t>Endereço: SENADOR DANTAS, 105 / 9º E 10º ANDARES - CENTRO</t>
  </si>
  <si>
    <t>RIO DE JANEIRO - Cep: 20031923</t>
  </si>
  <si>
    <t>DDD: 21 - Tel: 3804-2167 - Fax: 3804-2007</t>
  </si>
  <si>
    <t>Data Autorização/Cadastramento: 16/10/1995</t>
  </si>
  <si>
    <t>CNPJ: 01.599.296/0001-71</t>
  </si>
  <si>
    <t>Código FIP: 25585</t>
  </si>
  <si>
    <t>Endereço: SCN QUADRA 01, Nº 77, BLOCO A, ED. NUMBER ONE 12º ANDAR - ASA NORTE</t>
  </si>
  <si>
    <t>Data Autorização/Cadastramento: 08/03/2001</t>
  </si>
  <si>
    <t>CNPJ: 14.056.028/0001-55</t>
  </si>
  <si>
    <t>Código FIP: 21491</t>
  </si>
  <si>
    <t>Endereço: RUA SÃO CLEMENTE Nº 38 5º ANDAR - BOTAFOGO</t>
  </si>
  <si>
    <t>DDD: 21 - Tel: 2536-7909 - Fax: 2536-7732</t>
  </si>
  <si>
    <t>CNPJ: 11.467.788/0001-67</t>
  </si>
  <si>
    <t>Código FIP: 21628</t>
  </si>
  <si>
    <t>Endereço: CAMPOS BICUDO, 98, 4O ANDAR, CJ 41 - ITAIM BIBI</t>
  </si>
  <si>
    <t>DDD: 11 - Tel: 2246-9000 - Fax: 2246-9000</t>
  </si>
  <si>
    <t>CNPJ: 23.025.711/0001-16</t>
  </si>
  <si>
    <t>Código FIP: 21661</t>
  </si>
  <si>
    <t>Endereço: PRAÇA ALFREDO EGYDIO DE SOUZA ARANHA, 100-T.A.EGYDIO-9ºANDAR - PARQUE JABAQUARA</t>
  </si>
  <si>
    <t>DDD: 11 - Tel: 3584-1818 - Fax: 3584-1399</t>
  </si>
  <si>
    <t>Data Autorização/Cadastramento: 05/08/1999</t>
  </si>
  <si>
    <t>CNPJ: 33.602.053/0001-31</t>
  </si>
  <si>
    <t>Código FIP: 27995</t>
  </si>
  <si>
    <t>Data Autorização/Cadastramento: 29/02/2000</t>
  </si>
  <si>
    <t>CNPJ: 33.425.075/0001-73</t>
  </si>
  <si>
    <t>Código FIP: 26158</t>
  </si>
  <si>
    <t>Data Autorização/Cadastramento: 27/01/2005</t>
  </si>
  <si>
    <t>CNPJ: 74.267.170/0001-73</t>
  </si>
  <si>
    <t>Código FIP: 21334</t>
  </si>
  <si>
    <t>Endereço: PRAÇA VINTE E DOIS DE ABRIL, 36 - CENTRO</t>
  </si>
  <si>
    <t>Data Autorização/Cadastramento: 09/04/1997</t>
  </si>
  <si>
    <t>CNPJ: 93.202.448/0001-79</t>
  </si>
  <si>
    <t>Código FIP: 21318</t>
  </si>
  <si>
    <t>Data Autorização/Cadastramento: 30/08/2002</t>
  </si>
  <si>
    <t>CNPJ: 60.853.264/0001-10</t>
  </si>
  <si>
    <t>Código FIP: 26026</t>
  </si>
  <si>
    <t>Endereço: RUA JACEGUAI, 400 - BELA VISTA</t>
  </si>
  <si>
    <t>SÃO PAULO - Cep: 01315901</t>
  </si>
  <si>
    <t>Data Autorização/Cadastramento: 13/06/1945</t>
  </si>
  <si>
    <t>CNPJ: 09.382.998/0001-00</t>
  </si>
  <si>
    <t>Código FIP: 28258</t>
  </si>
  <si>
    <t>Endereço: AV. DAS NAÇÕES UNIDAS, 12.495 - 11º ANDAR - BROOKLIN PAULISTA</t>
  </si>
  <si>
    <t>Data Autorização/Cadastramento: 20/12/2007</t>
  </si>
  <si>
    <t>Código FIP: 28878</t>
  </si>
  <si>
    <t>Data Autorização/Cadastramento: 03/07/2012</t>
  </si>
  <si>
    <t>CNPJ: 03.209.092/0001-02</t>
  </si>
  <si>
    <t>Código FIP: 29319</t>
  </si>
  <si>
    <t>Endereço: AVENIDA PRES JUSCELINO KUBITSCHEK Nº 2041 E 2235 -BL A 22º - VILA OLIMPIA</t>
  </si>
  <si>
    <t>Data Autorização/Cadastramento: 22/12/1998</t>
  </si>
  <si>
    <t>CNPJ: 03.558.096/0001-04</t>
  </si>
  <si>
    <t>Código FIP: 28932</t>
  </si>
  <si>
    <t>Endereço: RUA BEATRIZ LARRAGOITI LUCAS, Nº121 - CIDADE NOVA</t>
  </si>
  <si>
    <t>DDD: 21 - Tel: 2506-4201 - Fax:</t>
  </si>
  <si>
    <t>Data Autorização/Cadastramento: 26/10/2004</t>
  </si>
  <si>
    <t>Operação no vida?</t>
  </si>
  <si>
    <t>S</t>
  </si>
  <si>
    <t>N</t>
  </si>
  <si>
    <t>Local</t>
  </si>
  <si>
    <t>LocalInativa</t>
  </si>
  <si>
    <t>Admitida</t>
  </si>
  <si>
    <t>AdmitidaInativa</t>
  </si>
  <si>
    <t>Eventual</t>
  </si>
  <si>
    <t>EventualInativa</t>
  </si>
  <si>
    <t>Res. Cadastradas</t>
  </si>
  <si>
    <t>Resseguro de Vida:</t>
  </si>
  <si>
    <t>Tipo:</t>
  </si>
  <si>
    <t>Inativa:</t>
  </si>
  <si>
    <t>Chave:</t>
  </si>
  <si>
    <t>Res. Ativas</t>
  </si>
  <si>
    <t>ACE RESSEGURADORA S/A</t>
  </si>
  <si>
    <t>Res. No Vida</t>
  </si>
  <si>
    <r>
      <t xml:space="preserve">Resseguradores </t>
    </r>
    <r>
      <rPr>
        <sz val="10"/>
        <rFont val="Arial"/>
        <family val="2"/>
      </rPr>
      <t>(Listagem mais recente da SUSEP)</t>
    </r>
  </si>
  <si>
    <t>Locais</t>
  </si>
  <si>
    <t>Admitidos</t>
  </si>
  <si>
    <t>Eventuais</t>
  </si>
  <si>
    <t>Saúde</t>
  </si>
  <si>
    <t>SALUTAR</t>
  </si>
  <si>
    <t>TEMPO</t>
  </si>
  <si>
    <t>NOTRE DAME</t>
  </si>
  <si>
    <t>SALUTAR SAÚDE SEGURADORA S/A</t>
  </si>
  <si>
    <t>SUL AMÉRICA SEGURO SAÚDE S/A</t>
  </si>
  <si>
    <t>BRADESCO DENTAL S.A.</t>
  </si>
  <si>
    <t>GRALHA AZUL SAÚDE S.A.</t>
  </si>
  <si>
    <t>TEMPO SAÚDE SEGURADORA S.A.</t>
  </si>
  <si>
    <t>MARÍTIMA SAÚDE SEGUROS S/A</t>
  </si>
  <si>
    <t>ALLIANZ SAÚDE S/A</t>
  </si>
  <si>
    <t>PORTO SEGURO - SEGURO SAÚDE S/A</t>
  </si>
  <si>
    <t>UNIMED SEGUROS SAÚDE S/A</t>
  </si>
  <si>
    <t>ITAUSEG SAÚDE S.A.</t>
  </si>
  <si>
    <t>HSBC SEGURO SAÚDE S.A.</t>
  </si>
  <si>
    <t>SUL AMÉRICA SAÚDE COMPANHIA DE SEGUROS</t>
  </si>
  <si>
    <t>BRADESCO SAÚDE S/A</t>
  </si>
  <si>
    <t>SUL AMERICA COMPANHIA DE SEGURO SAÚDE</t>
  </si>
  <si>
    <t>NOTRE DAME SEGURADORA S/A</t>
  </si>
  <si>
    <t>CAIXA SEGURADORA ESPECIALIZADA EM SAÚDE S/A</t>
  </si>
  <si>
    <t>000027</t>
  </si>
  <si>
    <t>000043</t>
  </si>
  <si>
    <t>000051</t>
  </si>
  <si>
    <t>000299</t>
  </si>
  <si>
    <t>000361</t>
  </si>
  <si>
    <t>000477</t>
  </si>
  <si>
    <t>000515</t>
  </si>
  <si>
    <t>000582</t>
  </si>
  <si>
    <t>000701</t>
  </si>
  <si>
    <t>000884</t>
  </si>
  <si>
    <t>005541</t>
  </si>
  <si>
    <t>005622</t>
  </si>
  <si>
    <t>005711</t>
  </si>
  <si>
    <t>006246</t>
  </si>
  <si>
    <t>006980</t>
  </si>
  <si>
    <t>418072</t>
  </si>
  <si>
    <t>AV. PASSOS, 120 - 16º ANDAR CENTRO</t>
  </si>
  <si>
    <t>coramo</t>
  </si>
  <si>
    <t>noramo</t>
  </si>
  <si>
    <t>PGBL</t>
  </si>
  <si>
    <t>PrevTrad</t>
  </si>
  <si>
    <t>fonte</t>
  </si>
  <si>
    <t>Resseguros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</si>
  <si>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</si>
  <si>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</si>
  <si>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</si>
  <si>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</si>
  <si>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</si>
  <si>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</si>
  <si>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</si>
  <si>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</si>
  <si>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</si>
  <si>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</si>
  <si>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</si>
  <si>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</si>
  <si>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</si>
  <si>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</si>
  <si>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16</t>
  </si>
  <si>
    <t>15</t>
  </si>
  <si>
    <t>01 - Patrimonial</t>
  </si>
  <si>
    <t>02 - Riscos Especiais</t>
  </si>
  <si>
    <t>03 - Responsabilidades</t>
  </si>
  <si>
    <t>04 - Cascos</t>
  </si>
  <si>
    <t>05 - Automóvel</t>
  </si>
  <si>
    <t>06 - Transportes</t>
  </si>
  <si>
    <t>07 - Riscos Financeiros</t>
  </si>
  <si>
    <t>08 - Crédito</t>
  </si>
  <si>
    <t>09 - Pessoas Coletivo</t>
  </si>
  <si>
    <t>10 - Habitacional</t>
  </si>
  <si>
    <t>11 - RURAL</t>
  </si>
  <si>
    <t>12 - Outros</t>
  </si>
  <si>
    <t>13- Pessoas Individual</t>
  </si>
  <si>
    <t>14 - Marítimos</t>
  </si>
  <si>
    <t>16 - Microsseguros</t>
  </si>
  <si>
    <t>15 - Aeronáuticos</t>
  </si>
  <si>
    <t>Previdência Tradicional</t>
  </si>
  <si>
    <t>0111</t>
  </si>
  <si>
    <t>0112</t>
  </si>
  <si>
    <t>0113</t>
  </si>
  <si>
    <t>0114</t>
  </si>
  <si>
    <t>0115</t>
  </si>
  <si>
    <t>0116</t>
  </si>
  <si>
    <t>0117</t>
  </si>
  <si>
    <t>0118</t>
  </si>
  <si>
    <t>0141</t>
  </si>
  <si>
    <t>0142</t>
  </si>
  <si>
    <t>0143</t>
  </si>
  <si>
    <t>0167</t>
  </si>
  <si>
    <t>0171</t>
  </si>
  <si>
    <t>0173</t>
  </si>
  <si>
    <t>0176</t>
  </si>
  <si>
    <t>0195</t>
  </si>
  <si>
    <t>0196</t>
  </si>
  <si>
    <t>0234</t>
  </si>
  <si>
    <t>0272</t>
  </si>
  <si>
    <t>0274</t>
  </si>
  <si>
    <t>0310</t>
  </si>
  <si>
    <t>0313</t>
  </si>
  <si>
    <t>0351</t>
  </si>
  <si>
    <t>0378</t>
  </si>
  <si>
    <t>0433</t>
  </si>
  <si>
    <t>0435</t>
  </si>
  <si>
    <t>0437</t>
  </si>
  <si>
    <t>0457</t>
  </si>
  <si>
    <t>0484</t>
  </si>
  <si>
    <t>0520</t>
  </si>
  <si>
    <t>0523</t>
  </si>
  <si>
    <t>0524</t>
  </si>
  <si>
    <t>0525</t>
  </si>
  <si>
    <t>0526</t>
  </si>
  <si>
    <t>0531</t>
  </si>
  <si>
    <t>0542</t>
  </si>
  <si>
    <t>0544</t>
  </si>
  <si>
    <t>0553</t>
  </si>
  <si>
    <t>0583</t>
  </si>
  <si>
    <t>0588</t>
  </si>
  <si>
    <t>0589</t>
  </si>
  <si>
    <t>0621</t>
  </si>
  <si>
    <t>0622</t>
  </si>
  <si>
    <t>0623</t>
  </si>
  <si>
    <t>0627</t>
  </si>
  <si>
    <t>0628</t>
  </si>
  <si>
    <t>0632</t>
  </si>
  <si>
    <t>0638</t>
  </si>
  <si>
    <t>0644</t>
  </si>
  <si>
    <t>0652</t>
  </si>
  <si>
    <t>0654</t>
  </si>
  <si>
    <t>0655</t>
  </si>
  <si>
    <t>0656</t>
  </si>
  <si>
    <t>0658</t>
  </si>
  <si>
    <t>0739</t>
  </si>
  <si>
    <t>0740</t>
  </si>
  <si>
    <t>0743</t>
  </si>
  <si>
    <t>0745</t>
  </si>
  <si>
    <t>0746</t>
  </si>
  <si>
    <t>0747</t>
  </si>
  <si>
    <t>0748</t>
  </si>
  <si>
    <t>0749</t>
  </si>
  <si>
    <t>0750</t>
  </si>
  <si>
    <t>0775</t>
  </si>
  <si>
    <t>0776</t>
  </si>
  <si>
    <t>0819</t>
  </si>
  <si>
    <t>0848</t>
  </si>
  <si>
    <t>0849</t>
  </si>
  <si>
    <t>0859</t>
  </si>
  <si>
    <t>0860</t>
  </si>
  <si>
    <t>0870</t>
  </si>
  <si>
    <t>0929</t>
  </si>
  <si>
    <t>0936</t>
  </si>
  <si>
    <t>0949</t>
  </si>
  <si>
    <t>0969</t>
  </si>
  <si>
    <t>0977</t>
  </si>
  <si>
    <t>0980</t>
  </si>
  <si>
    <t>0981</t>
  </si>
  <si>
    <t>0982</t>
  </si>
  <si>
    <t>0983</t>
  </si>
  <si>
    <t>0984</t>
  </si>
  <si>
    <t>0986</t>
  </si>
  <si>
    <t>0987</t>
  </si>
  <si>
    <t>0990</t>
  </si>
  <si>
    <t>0991</t>
  </si>
  <si>
    <t>0992</t>
  </si>
  <si>
    <t>0993</t>
  </si>
  <si>
    <t>0994</t>
  </si>
  <si>
    <t>0997</t>
  </si>
  <si>
    <t>1061</t>
  </si>
  <si>
    <t>1065</t>
  </si>
  <si>
    <t>1066</t>
  </si>
  <si>
    <t>1068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</si>
  <si>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</si>
  <si>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</si>
  <si>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</si>
  <si>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</si>
  <si>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</si>
  <si>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</si>
  <si>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</si>
  <si>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</si>
  <si>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</si>
  <si>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1128</t>
  </si>
  <si>
    <t>1129</t>
  </si>
  <si>
    <t>1130</t>
  </si>
  <si>
    <t>1161</t>
  </si>
  <si>
    <t>1162</t>
  </si>
  <si>
    <t>1163</t>
  </si>
  <si>
    <t>1164</t>
  </si>
  <si>
    <t>1165</t>
  </si>
  <si>
    <t>1198</t>
  </si>
  <si>
    <t>1279</t>
  </si>
  <si>
    <t>1285</t>
  </si>
  <si>
    <t>1286</t>
  </si>
  <si>
    <t>1287</t>
  </si>
  <si>
    <t>1299</t>
  </si>
  <si>
    <t>1329</t>
  </si>
  <si>
    <t>1336</t>
  </si>
  <si>
    <t>1369</t>
  </si>
  <si>
    <t>1377</t>
  </si>
  <si>
    <t>1380</t>
  </si>
  <si>
    <t>1381</t>
  </si>
  <si>
    <t>1383</t>
  </si>
  <si>
    <t>1384</t>
  </si>
  <si>
    <t>1386</t>
  </si>
  <si>
    <t>1387</t>
  </si>
  <si>
    <t>1390</t>
  </si>
  <si>
    <t>1391</t>
  </si>
  <si>
    <t>1392</t>
  </si>
  <si>
    <t>1417</t>
  </si>
  <si>
    <t>1428</t>
  </si>
  <si>
    <t>1433</t>
  </si>
  <si>
    <t>1457</t>
  </si>
  <si>
    <t>1528</t>
  </si>
  <si>
    <t>1535</t>
  </si>
  <si>
    <t>1537</t>
  </si>
  <si>
    <t>1597</t>
  </si>
  <si>
    <t>1601</t>
  </si>
  <si>
    <t>1602</t>
  </si>
  <si>
    <t>1603</t>
  </si>
  <si>
    <t>0111 - INCÊNDIO TRADICIONAL</t>
  </si>
  <si>
    <t>0112 - Assistência - Bens em Geral</t>
  </si>
  <si>
    <t>0113 - VIDROS</t>
  </si>
  <si>
    <t>0114 - Compreensivo Residencial</t>
  </si>
  <si>
    <t>0115 - ROUBO</t>
  </si>
  <si>
    <t>0116 - Compreensivo Condomínio</t>
  </si>
  <si>
    <t>0117 - TUMULTOS</t>
  </si>
  <si>
    <t>0118 - Compreensivo Empresarial</t>
  </si>
  <si>
    <t>0141 - LUCROS CESSANTES</t>
  </si>
  <si>
    <t>0142 - LUCROS CESSANTES COBERTURA SIMPLES</t>
  </si>
  <si>
    <t>0143 - FIDELIDADE</t>
  </si>
  <si>
    <t>0167 - RISCOS DE ENGENHARIA</t>
  </si>
  <si>
    <t>0171 - RISCOS DIVERSOS</t>
  </si>
  <si>
    <t>0173 - GLOBAL DE BANCOS</t>
  </si>
  <si>
    <t>0176 - RISCOS DIVERSOS - PLANOS CONJUGADOS</t>
  </si>
  <si>
    <t>0195 - Garantia Est./Ext.Gar-Bens em Geral</t>
  </si>
  <si>
    <t>0196 - Riscos Nomeados e Operacionais</t>
  </si>
  <si>
    <t>0234 - RISCOS DE PETRÓLEO</t>
  </si>
  <si>
    <t>0272 - RISCOS NUCLEARES</t>
  </si>
  <si>
    <t>0274 - SATÉLITES</t>
  </si>
  <si>
    <t>0310 - R.C.Administradores e Diretores-D&amp;O</t>
  </si>
  <si>
    <t>0313 - R. C. Riscos Ambientais</t>
  </si>
  <si>
    <t>0351 - R. C. Geral</t>
  </si>
  <si>
    <t>0378 - R. C.  Profissional</t>
  </si>
  <si>
    <t>0433 -  Marítimos</t>
  </si>
  <si>
    <t>0435 - AERONÁUTICOS</t>
  </si>
  <si>
    <t>0437 - RESPONSABILIDADE CIVIL HANGAR</t>
  </si>
  <si>
    <t>0457 - D. P. E. M.</t>
  </si>
  <si>
    <t>0484 - AERONÁUTICOS - BILHETE</t>
  </si>
  <si>
    <t>0520 - Acidentes Pessoais Passageiros-APP</t>
  </si>
  <si>
    <t>0523 - RC T. ROD. INTEREST. E INTERNAC.</t>
  </si>
  <si>
    <t>0524 - Garantia Est./ Exten. Garantia–Auto</t>
  </si>
  <si>
    <t>0525 - Carta Verde</t>
  </si>
  <si>
    <t>0526 - Seguro Popular de Automóvel Usado</t>
  </si>
  <si>
    <t>0531 - Automóvel - Casco</t>
  </si>
  <si>
    <t>0542 - Assistência e Outras Cobert. - Auto</t>
  </si>
  <si>
    <t>0544 - R.C.T.Viagem Intern-Pes Trans ou ñ</t>
  </si>
  <si>
    <t>0553 - R. C. Facultativa Veículos - RCFV</t>
  </si>
  <si>
    <t>0588 - DPVAT</t>
  </si>
  <si>
    <t>0589 - DPVAT RUN OFF</t>
  </si>
  <si>
    <t>0621 - TRANSPORTE NACIONAL</t>
  </si>
  <si>
    <t>0622 - TRANSPORTE INTERNACIONAL</t>
  </si>
  <si>
    <t>0623 - R.C.T.Rod.Inter.e Intern.-RC Ônibus</t>
  </si>
  <si>
    <t>0627 - Resp. Civil do Transp. Intermodal</t>
  </si>
  <si>
    <t>0628 - R. C. Facult.Veículos - RCFV Ônibus</t>
  </si>
  <si>
    <t>0632 - R.C.Trans.Carga Viag.Int.-RCTR-VI-C</t>
  </si>
  <si>
    <t>0638 - R.C.Trans. Ferroviário Carga–RCTF-C</t>
  </si>
  <si>
    <t>0644 - R.C. Viag.Int. Pessoas - Carta Azul</t>
  </si>
  <si>
    <t>0652 - R. C. Trans. Aéreo Carga - RCTA-C</t>
  </si>
  <si>
    <t>0654 - R.C. Trans. Rodoviário Carga–RCTR-C</t>
  </si>
  <si>
    <t>0655 - R.C. Trans. Desvio de Carga–RCF-DC</t>
  </si>
  <si>
    <t>0656 - R.C. Trans. Aquaviário Carga–RCA-C</t>
  </si>
  <si>
    <t>0658 - R.C.Operador Transp. Multi.-RCOTM-C</t>
  </si>
  <si>
    <t>0739 - Garantia Financeira</t>
  </si>
  <si>
    <t>0740 - Garantia de Obrigações Privadas</t>
  </si>
  <si>
    <t>0743 - Stop Loss</t>
  </si>
  <si>
    <t>0745 - Garantia de Obrigações Públicas</t>
  </si>
  <si>
    <t>0746 - FIANÇA LOCATÍCIA</t>
  </si>
  <si>
    <t>0748 - CRÉDITO INTERNO</t>
  </si>
  <si>
    <t>0749 - CRÉDITO A EXPORTAÇÃO</t>
  </si>
  <si>
    <t>0750 - Garantia Judicial</t>
  </si>
  <si>
    <t>0775 - Garantia Segurado - Setor Público</t>
  </si>
  <si>
    <t>0776 - Garantia Segurado - Setor Privado</t>
  </si>
  <si>
    <t>0819 - Crédito à Exp. Risco Comercial</t>
  </si>
  <si>
    <t>0848 - CRÉDITO INTERNO</t>
  </si>
  <si>
    <t>0849 - CRÉDITO A EXPORTAÇÃO</t>
  </si>
  <si>
    <t>0859 - Crédito à Exportação Risco Político</t>
  </si>
  <si>
    <t>0860 - Crédito Doméstico Risco Comercial</t>
  </si>
  <si>
    <t>0929  - Auxílio Funeral</t>
  </si>
  <si>
    <t>0936 - Perda Certif. Habilit. de Vôo-PCHV</t>
  </si>
  <si>
    <t>0949 - CRÉDITO A EXPORTAÇÃO</t>
  </si>
  <si>
    <t>0969 -  Viagem</t>
  </si>
  <si>
    <t>0977 - Prestamista (exceto Habit e Rural)</t>
  </si>
  <si>
    <t>0980 -  Educacional</t>
  </si>
  <si>
    <t>0981 - ACIDENTES PESSOAIS - INDIVIDUAL</t>
  </si>
  <si>
    <t>0982 - Acidentes Pessoais</t>
  </si>
  <si>
    <t>0983  - Dotal Misto</t>
  </si>
  <si>
    <t>0984  - Doenças Graves ou Doença Terminal</t>
  </si>
  <si>
    <t>0986  - Dotal Puro</t>
  </si>
  <si>
    <t>0987  - Desemprego/Perda de Renda</t>
  </si>
  <si>
    <t>0990 -  Eventos Aleatórios</t>
  </si>
  <si>
    <t>0991 -  Vida</t>
  </si>
  <si>
    <t>0992 - VGBL/VAGP/VRGP/VRSA/PRI  individual</t>
  </si>
  <si>
    <t>0993 - VIDA EM GRUPO</t>
  </si>
  <si>
    <t>0994 - VGBL/VAGP/VRGP/VRSA/VRI</t>
  </si>
  <si>
    <t>0997 - VG/APC</t>
  </si>
  <si>
    <t>1061 - Seg.Habit.Apól. Merc. - Prestamista</t>
  </si>
  <si>
    <t>1065 - Seg.Habit.Apól.Merc.-Demais Cobert.</t>
  </si>
  <si>
    <t>1066 - Seg.Habit.Sist.Financ. da Habitação</t>
  </si>
  <si>
    <t>1068 - HABITACIONAL - FORA DO SFH</t>
  </si>
  <si>
    <t>1101 - Seguro Agrícola sem cob. do FESR</t>
  </si>
  <si>
    <t>1102 - Seguro Agrícola com cob. do FESR</t>
  </si>
  <si>
    <t>1103 - Seguro Pecuário sem cob. do FESR</t>
  </si>
  <si>
    <t>1104 - Seguro Pecuário com cob. do FESR</t>
  </si>
  <si>
    <t>1105 - Seguro Aquícola sem cob. do FESR</t>
  </si>
  <si>
    <t>1106 - Seguro Aquícola com cob. do FESR</t>
  </si>
  <si>
    <t>1107 - Seguro Florestas sem cob. do FESR</t>
  </si>
  <si>
    <t>1108 - Seguro Florestas com cob. do FESR</t>
  </si>
  <si>
    <t>1109 - Seguro da Cédula do Produto Rural</t>
  </si>
  <si>
    <t>1128 - PECUÁRIO</t>
  </si>
  <si>
    <t>1129 - AQUÍCOLA</t>
  </si>
  <si>
    <t>1130 - Seguro Benf. e Prod. Agropecuários</t>
  </si>
  <si>
    <t>1161 - AGRÍCOLA</t>
  </si>
  <si>
    <t>1162 - Penhor Rural</t>
  </si>
  <si>
    <t>1163 - Penhor Rural Instit. Fin. Pub.</t>
  </si>
  <si>
    <t>1164 - Seguros Animais</t>
  </si>
  <si>
    <t>1165 - COMPREENSIVO DE FLORESTAS</t>
  </si>
  <si>
    <t>1198 - Seguro de Vida do Produtor Rural</t>
  </si>
  <si>
    <t>1279 - Seguros no Exterior</t>
  </si>
  <si>
    <t>1285 - Saúde - Ressegurador Local</t>
  </si>
  <si>
    <t>1286 - SAÚDE INDIVIDUAL</t>
  </si>
  <si>
    <t>1287 - SAÚDE GRUPAL</t>
  </si>
  <si>
    <t>1299 - SUCURSAIS NO EXTERIOR</t>
  </si>
  <si>
    <t>1329 - Auxílio Funeral</t>
  </si>
  <si>
    <t>1336 - Perda Certif. Habilit. de Vôo-PCHV</t>
  </si>
  <si>
    <t>1369 - Viagem</t>
  </si>
  <si>
    <t>1377 - Prestamista (exceto Habit. E Rural)</t>
  </si>
  <si>
    <t>1380 - Educacional</t>
  </si>
  <si>
    <t>1381 - Acidentes Pessoais</t>
  </si>
  <si>
    <t>1383 - Dotal Misto</t>
  </si>
  <si>
    <t>1384 - Doenças Graves ou Doença Terminal</t>
  </si>
  <si>
    <t>1386 - Dotal Puro</t>
  </si>
  <si>
    <t>1387 - Desemprego/Perda de Renda</t>
  </si>
  <si>
    <t>1390 - Eventos Aleatórios</t>
  </si>
  <si>
    <t>1391 - Vida</t>
  </si>
  <si>
    <t>1392 - VGBL/VAGP/VRGP/VRSA/VRI</t>
  </si>
  <si>
    <t>1417 - Seg. Compreensivo Oper. Portuários</t>
  </si>
  <si>
    <t>1428 - R. C. Facult. para Embarcações-RCF</t>
  </si>
  <si>
    <t>1433 - Marítimos (Cascos)</t>
  </si>
  <si>
    <t>1457 - DPEM</t>
  </si>
  <si>
    <t>1528 - R. C. Facult. para Aeronaves - RCF</t>
  </si>
  <si>
    <t>1535 - Aeronáuticos (cascos)</t>
  </si>
  <si>
    <t>1537 - RESPONSABILIDADE CIVIL HANGAR</t>
  </si>
  <si>
    <t>1597 - Resp. Explor. ou Transp. Aéreo-RETA</t>
  </si>
  <si>
    <t>1601 - Microsseguros de Pessoas</t>
  </si>
  <si>
    <t>1602 - Microsseguros de Danos</t>
  </si>
  <si>
    <t>1603 - Microsseguros - Previdência</t>
  </si>
  <si>
    <t>class1</t>
  </si>
  <si>
    <t>class2</t>
  </si>
  <si>
    <t>class3</t>
  </si>
  <si>
    <t>class4</t>
  </si>
  <si>
    <t>Seguro de Danos</t>
  </si>
  <si>
    <t>Seguro de Pessoas</t>
  </si>
  <si>
    <t>Patrimonial</t>
  </si>
  <si>
    <t>Riscos Especiais</t>
  </si>
  <si>
    <t>Responsabilidades</t>
  </si>
  <si>
    <t>Cascos</t>
  </si>
  <si>
    <t>Automóvel</t>
  </si>
  <si>
    <t>Transportes</t>
  </si>
  <si>
    <t>Riscos Financeiros</t>
  </si>
  <si>
    <t>Crédito</t>
  </si>
  <si>
    <t>Habitacional</t>
  </si>
  <si>
    <t>Rural</t>
  </si>
  <si>
    <t>Outros</t>
  </si>
  <si>
    <t>Marítimos</t>
  </si>
  <si>
    <t>Microsseguros</t>
  </si>
  <si>
    <t>Aeronáuticos</t>
  </si>
  <si>
    <t>DDD: 41 - Tel: 32757706 - Fax: 32757706</t>
  </si>
  <si>
    <t>CNPJ: 19.486.258/0001-78</t>
  </si>
  <si>
    <t>DDD: 21 - Tel: 4009-7841 - Fax: 2536-7629</t>
  </si>
  <si>
    <t>GARD MARINE &amp; ENERGY LIMITED</t>
  </si>
  <si>
    <t>CNPJ: 15.663.621/0001-22</t>
  </si>
  <si>
    <t>Código FIP: 45896</t>
  </si>
  <si>
    <t>Endereço: LAURO MULLER, 116, SALA 2405 - BOTAFOGO</t>
  </si>
  <si>
    <t>RIO DE JANEIRO - Cep: 22290-160</t>
  </si>
  <si>
    <t>DDD: 21 - Tel: 35440046 - Fax: 000000000000000</t>
  </si>
  <si>
    <t>Endereço: AV JORNALISTA ROBERTO MARINHO 85 21ºANDAR - BROOKLIN NOVO</t>
  </si>
  <si>
    <t>SAO PAULO - Cep: 04576010</t>
  </si>
  <si>
    <t>ALLIED WORLD ASSURANCE COMPANY (REINSURANCE) PLC (ANTIGA ALLIED WORLD ASSURANCE COMPANY (REINSURANCE) LIMITED)</t>
  </si>
  <si>
    <t>Endereço: ALAMEDA JOAQUIM EUGÊNIO DE LIMA, 447. - JARDIM PAULISTA</t>
  </si>
  <si>
    <r>
      <t>PLATINUM UNDERWRITERS REINSURANCE INC</t>
    </r>
    <r>
      <rPr>
        <b/>
        <sz val="7"/>
        <color rgb="FFFF0000"/>
        <rFont val="Calibri"/>
        <family val="2"/>
        <scheme val="minor"/>
      </rPr>
      <t>(SUSPENSA)</t>
    </r>
  </si>
  <si>
    <t>Empresa(s) encontrada(s): 20</t>
  </si>
  <si>
    <t>DDD: 11 - Tel: 3012-7326 - Fax:</t>
  </si>
  <si>
    <t>ZURICH BRASIL CAPITALIZAÇÃO S.A.</t>
  </si>
  <si>
    <t>CNPJ: 17.266.009/0001-41</t>
  </si>
  <si>
    <t>Código FIP: 22683</t>
  </si>
  <si>
    <t>DDD: 31 - Tel: 2102-3525 - Fax: 2102-3525</t>
  </si>
  <si>
    <t>+55 11 3012-7326</t>
  </si>
  <si>
    <t>17.266.009/0001-41</t>
  </si>
  <si>
    <t>PRAÇA GENERAL GENTIL FALCÃO, NO. 108 - 2O. ANDAR - CIDADE MONÇÕES</t>
  </si>
  <si>
    <t>+55 31 2102-3525</t>
  </si>
  <si>
    <t>ALAMEDA JOAQUIM EUGÊNIO DE LIMA, 447. - JARDIM PAULISTA</t>
  </si>
  <si>
    <t>15.663.621/0001-22</t>
  </si>
  <si>
    <t>LAURO MULLER, 116, SALA 2405 - BOTAFOGO</t>
  </si>
  <si>
    <t xml:space="preserve"> 22290-160</t>
  </si>
  <si>
    <t xml:space="preserve">+55 21 35440046 </t>
  </si>
  <si>
    <t>AV JORNALISTA ROBERTO MARINHO 85 21ºANDAR - BROOKLIN NOVO</t>
  </si>
  <si>
    <t xml:space="preserve">+55 41 32757706 </t>
  </si>
  <si>
    <t>19.486.258/0001-78</t>
  </si>
  <si>
    <t>+55 21 4009-7841</t>
  </si>
  <si>
    <t>45896</t>
  </si>
  <si>
    <t>22683</t>
  </si>
  <si>
    <t>ativo</t>
  </si>
  <si>
    <t>Cap</t>
  </si>
  <si>
    <t>run-off</t>
  </si>
  <si>
    <t>Incêndio</t>
  </si>
  <si>
    <t>Assistência</t>
  </si>
  <si>
    <t>Vidros</t>
  </si>
  <si>
    <t>Compreensivo Residencial</t>
  </si>
  <si>
    <t>Roubo</t>
  </si>
  <si>
    <t>Compreensivo Condomínio</t>
  </si>
  <si>
    <t>Tumultos</t>
  </si>
  <si>
    <t>Compreensivo Empresarial</t>
  </si>
  <si>
    <t>Lucros Cessantes</t>
  </si>
  <si>
    <t>Fidelidade</t>
  </si>
  <si>
    <t>Riscos de Engenharia</t>
  </si>
  <si>
    <t>Riscos Diversos</t>
  </si>
  <si>
    <t>Global de Bancos</t>
  </si>
  <si>
    <t>Garantia Extendida</t>
  </si>
  <si>
    <t>Riscos Nomeados e Operacionais</t>
  </si>
  <si>
    <t>Petróleo</t>
  </si>
  <si>
    <t>Nucleares</t>
  </si>
  <si>
    <t>Satélite</t>
  </si>
  <si>
    <t>RC Administradores e Diretores</t>
  </si>
  <si>
    <t>RC Ambiental</t>
  </si>
  <si>
    <t>RC Geral</t>
  </si>
  <si>
    <t>RC Profissional</t>
  </si>
  <si>
    <t>RC Hangar</t>
  </si>
  <si>
    <t>DPEM</t>
  </si>
  <si>
    <t>Aeronáuticos – Bilhete</t>
  </si>
  <si>
    <t>RC Transportador</t>
  </si>
  <si>
    <t>Carta Verde</t>
  </si>
  <si>
    <t>Seguro Popular Automóvel Usado</t>
  </si>
  <si>
    <t>Casco</t>
  </si>
  <si>
    <t>RC Viagem</t>
  </si>
  <si>
    <t>RC Facultativa Veículos</t>
  </si>
  <si>
    <t>0583 - DPVAT EXTINTO</t>
  </si>
  <si>
    <t>DPVAT</t>
  </si>
  <si>
    <t>Internacional</t>
  </si>
  <si>
    <t>RC Ônibus</t>
  </si>
  <si>
    <t>RC Transporte Intermodal</t>
  </si>
  <si>
    <t>RC Facultativa Ônibus</t>
  </si>
  <si>
    <t>RC Transporte Carga</t>
  </si>
  <si>
    <t>RC Transporte Ferroviário</t>
  </si>
  <si>
    <t>RC Viagem Internacional</t>
  </si>
  <si>
    <t>RC Transporte Aéreo Carga</t>
  </si>
  <si>
    <t>RC Rodoviário Carga</t>
  </si>
  <si>
    <t>RC Desvio de Carga</t>
  </si>
  <si>
    <t>RC Transporte Aquaviário</t>
  </si>
  <si>
    <t>RC Transporte Multimodal</t>
  </si>
  <si>
    <t>Garantia</t>
  </si>
  <si>
    <t>Stop Loss</t>
  </si>
  <si>
    <t>Fianca Locatícia</t>
  </si>
  <si>
    <t>0747 - Garantia de Concessões Públicas</t>
  </si>
  <si>
    <t>0870 - Crédito Doméstico Risco P.Física</t>
  </si>
  <si>
    <t>PCHV</t>
  </si>
  <si>
    <t>Viagem</t>
  </si>
  <si>
    <t>Prestamista</t>
  </si>
  <si>
    <t>Educacional</t>
  </si>
  <si>
    <t>Acidentes Pessoais</t>
  </si>
  <si>
    <t>Vida Individual</t>
  </si>
  <si>
    <t>Desemprego</t>
  </si>
  <si>
    <t>VGBL</t>
  </si>
  <si>
    <t>Vida Grupo</t>
  </si>
  <si>
    <t>Demais Coberturas</t>
  </si>
  <si>
    <t>SFH</t>
  </si>
  <si>
    <t>Seguro Agrícola</t>
  </si>
  <si>
    <t>Seguro Pecuário</t>
  </si>
  <si>
    <t>Seguro Aquícola</t>
  </si>
  <si>
    <t>Seguro Florestas</t>
  </si>
  <si>
    <t>Cédula Produto Rural</t>
  </si>
  <si>
    <t>Benef. e Prod. Agropecuários</t>
  </si>
  <si>
    <t>Penhor Rural</t>
  </si>
  <si>
    <t>Seguro Animais</t>
  </si>
  <si>
    <t>Compreensivo Florestas</t>
  </si>
  <si>
    <t>Seguro Vida Produtor Rural</t>
  </si>
  <si>
    <t>Seguros no Exterior</t>
  </si>
  <si>
    <t>Sucursais no Exterior</t>
  </si>
  <si>
    <t>Compreensivo Oper. Portuários</t>
  </si>
  <si>
    <t>RC Facultativa Aeronaves</t>
  </si>
  <si>
    <t>RETA</t>
  </si>
  <si>
    <t>Microsseguros de Pessoas</t>
  </si>
  <si>
    <t>Microsseguros de Danos</t>
  </si>
  <si>
    <t>Empresa(s) encontrada(s): 123</t>
  </si>
  <si>
    <t>CNPJ: 17.909.518/0001-45</t>
  </si>
  <si>
    <t>Data Autorização/Cadastramento: 11/03/2014</t>
  </si>
  <si>
    <t>AIG SEGUROS BRASIL S.A.</t>
  </si>
  <si>
    <t>Endereço: PRESIDENTE PADUA FLEURY , 1200, SALA 02 - VILA HAUER</t>
  </si>
  <si>
    <t>BERKLEY INTERNATIONAL DO BRASIL SEGUROS S/A</t>
  </si>
  <si>
    <t>Endereço: PRAÇA ALFREDO EGYDIO SOUZA ARANHA 100 TORRE CONCEIÇÃO 9º AND - PARQUE JABAQUARA</t>
  </si>
  <si>
    <t>DDD: 11 - Tel: 50199872 - Fax: 50199872</t>
  </si>
  <si>
    <t>BRADESCO SEGUROS S.A</t>
  </si>
  <si>
    <t>BTG PACTUAL VIDA E PREVIDÊNCIA S.A.</t>
  </si>
  <si>
    <t>CNPJ: 19.449.767/0001-20</t>
  </si>
  <si>
    <t>Código FIP: 02682</t>
  </si>
  <si>
    <t>Data Autorização/Cadastramento: 15/04/2014</t>
  </si>
  <si>
    <t>CAPEMISA SEGURADORA DE RAMOS ELEMENTARES S.A.</t>
  </si>
  <si>
    <t>Endereço: ALAMEDA SANTOS 787 - 11º ANDAR - CJ 111 - CERQUEIRA CÉSAR</t>
  </si>
  <si>
    <t>DDD: 11 - Tel: 2135-2450 - Fax: 2135-2470</t>
  </si>
  <si>
    <t>Endereço: VISCONDE DE INHAUMA NUMERO 83 - 15 ANDAR - CENTRO</t>
  </si>
  <si>
    <t>HDI-GERLING SEGUROS INDUSTRIAIS S.A.</t>
  </si>
  <si>
    <t>CNPJ: 18.096.627/0001-53</t>
  </si>
  <si>
    <t>Código FIP: 01571</t>
  </si>
  <si>
    <t>Data Autorização/Cadastramento: 09/04/2014</t>
  </si>
  <si>
    <t>ITAU SEGUROS S/A</t>
  </si>
  <si>
    <t>Endereço: AVENIDA DAS NAÇÕES UNIDAS, 11.711 - 21º ANDAR - BROOKLIN</t>
  </si>
  <si>
    <t>PORTO SEGURO CIA DE SEGUROS GERAIS</t>
  </si>
  <si>
    <t>Endereço: ALAMEDA BARÃO DE PIRACICABA, 618, 634 - TORRE B - 3º ANDAR A - CAMPOS ELÍSEOS</t>
  </si>
  <si>
    <t>Endereço: PRAÇA GENERAL GENTIL FALCÃO, 108, 1º ANDAR, CONJUNTO 11 E 12 - CIDADE MONÇÕES</t>
  </si>
  <si>
    <t>SWISS RE CORPORATE SOLUTIONS BRASIL SEGUROS S/A</t>
  </si>
  <si>
    <t>DDD: 11 - Tel: 4504.4046 - Fax: 4504-4396</t>
  </si>
  <si>
    <t>MARKEL RESSEGURADORA DO BRASIL S.A.</t>
  </si>
  <si>
    <t>Endereço: TRAVESSA DO OUVIDOR, 50 - 5 ANDAR - CENTRO</t>
  </si>
  <si>
    <t>DDD: 21 - Tel: 3559-5900 - Fax: 3559-5900</t>
  </si>
  <si>
    <t>TERRA BRASIS RESSEGUROS S.A.</t>
  </si>
  <si>
    <t>ZURICH RESSEGURADORA BRASIL S.A.</t>
  </si>
  <si>
    <t>Endereço: ALAMEDA SANTOS 415 - 5º ANDAR - CERQUEIRA CESAR</t>
  </si>
  <si>
    <t>Endereço: RUA LUIGI GALVANI, 70 - CONJ 121 (PARTE) - CIDADE MONÇÕES</t>
  </si>
  <si>
    <t>DDD: 11 - Tel: 55011512 - Fax: 55011527</t>
  </si>
  <si>
    <t>Endereço: TRAVESSA BELAS ARTES, 15 - 7 ANDAR - CENTRO</t>
  </si>
  <si>
    <t>AMLIN EUROPE N.V. (ANTIGA AMLIN CORPORATE INSURANCE N.V.)</t>
  </si>
  <si>
    <t>BERKSHIRE HATHAWAY INTERNATIONAL INSURANCE LIMITED</t>
  </si>
  <si>
    <t>Código FIP: 56120</t>
  </si>
  <si>
    <t>Data Autorização/Cadastramento: 22/05/2014</t>
  </si>
  <si>
    <t>DDD: 21 - Tel: 39847598 - Fax:</t>
  </si>
  <si>
    <t>SWISS RE CORPORATE SOLUTIONS LTD.</t>
  </si>
  <si>
    <t>Código FIP: 57959</t>
  </si>
  <si>
    <t>Endereço: AV. JOAQUIM EUGÊNIO DE LIMA, 447 - JARDIM PAULISTA</t>
  </si>
  <si>
    <t>Data Autorização/Cadastramento: 31/03/2014</t>
  </si>
  <si>
    <t>DDD: 11 - Tel: 35139275 - Fax: 35139279</t>
  </si>
  <si>
    <t>BESSO RE BRASIL CORRETORA DE RESSEGUROS LTDA.</t>
  </si>
  <si>
    <t>CNPJ: 19.630.496/0001-05</t>
  </si>
  <si>
    <t>Código FIP: 75761</t>
  </si>
  <si>
    <t>RIO DE JANEIRO - Cep: 20020080</t>
  </si>
  <si>
    <t>Data Autorização/Cadastramento: 26/05/2014</t>
  </si>
  <si>
    <t>DDD: 11 - Tel: 25043710 - Fax: 25043710</t>
  </si>
  <si>
    <t>DDD: 21 - Tel: 2235-0025 - Fax:</t>
  </si>
  <si>
    <t>THB RE CORRETORA DE RESSEGURO LTDA.</t>
  </si>
  <si>
    <t>RIO DE JANEIRO - Cep: 20021120</t>
  </si>
  <si>
    <t>ACVAT- PREVIDENCIA PRIVADA</t>
  </si>
  <si>
    <t>BB CAPITALIZAÇÃO S.A.</t>
  </si>
  <si>
    <t>CNPJ: 16.551.758/0001-58</t>
  </si>
  <si>
    <t>Endereço: ALAMEDA BARÃO DE PIRACICABA, Nº618/634 - TORRE B - 2º ANDAR - CAMPOS ELÍSEOS</t>
  </si>
  <si>
    <t>17.909.518/0001-45</t>
  </si>
  <si>
    <t>PRESIDENTE PADUA FLEURY , 1200, SALA 02 - VILA HAUER</t>
  </si>
  <si>
    <t>PRAÇA ALFREDO EGYDIO SOUZA ARANHA 100 TORRE CONCEIÇÃO 9º AND - PARQUE JABAQUARA</t>
  </si>
  <si>
    <t xml:space="preserve">+55 11 50199872 </t>
  </si>
  <si>
    <t>19.449.767/0001-20</t>
  </si>
  <si>
    <t>AV BRIGADEIRO FARIA LIMA 3477, 12 ANDAR -</t>
  </si>
  <si>
    <t>ALAMEDA SANTOS 787 - 11º ANDAR - CJ 111 - CERQUEIRA CÉSAR</t>
  </si>
  <si>
    <t>+55 11 2135-2450</t>
  </si>
  <si>
    <t>VISCONDE DE INHAUMA NUMERO 83 - 15 ANDAR - CENTRO</t>
  </si>
  <si>
    <t>18.096.627/0001-53</t>
  </si>
  <si>
    <t>AV. ENGENHEIRO LUIS CARLOS BERRINI 901, 3º ANDAR, CJ 32 - BROOKLIN</t>
  </si>
  <si>
    <t>AVENIDA DAS NAÇÕES UNIDAS, 11.711 - 21º ANDAR - BROOKLIN</t>
  </si>
  <si>
    <t>ALAMEDA BARÃO DE PIRACICABA, 618, 634 - TORRE B - 3º ANDAR A - CAMPOS ELÍSEOS</t>
  </si>
  <si>
    <t>PRAÇA GENERAL GENTIL FALCÃO, 108, 1º ANDAR, CONJUNTO 11 E 12 - CIDADE MONÇÕES</t>
  </si>
  <si>
    <t>+55 11 4504.4046</t>
  </si>
  <si>
    <t>TRAVESSA DO OUVIDOR, 50 - 5 ANDAR - CENTRO</t>
  </si>
  <si>
    <t>+55 21 3559-5900</t>
  </si>
  <si>
    <t>ALAMEDA SANTOS 415 - 5º ANDAR - CERQUEIRA CESAR</t>
  </si>
  <si>
    <t>RUA LUIGI GALVANI, 70 - CONJ 121 (PARTE) - CIDADE MONÇÕES</t>
  </si>
  <si>
    <t xml:space="preserve">+55 11 55011512 </t>
  </si>
  <si>
    <t>TRAVESSA BELAS ARTES, 15 - 7 ANDAR - CENTRO</t>
  </si>
  <si>
    <t xml:space="preserve">+55 21 39847598 </t>
  </si>
  <si>
    <t>AV. JOAQUIM EUGÊNIO DE LIMA, 447 - JARDIM PAULISTA</t>
  </si>
  <si>
    <t xml:space="preserve">+55 11 35139275 </t>
  </si>
  <si>
    <t>19.630.496/0001-05</t>
  </si>
  <si>
    <t>20020-080</t>
  </si>
  <si>
    <t xml:space="preserve">+55 11 25043710 </t>
  </si>
  <si>
    <t>20021-120</t>
  </si>
  <si>
    <t>16.551.758/0001-58</t>
  </si>
  <si>
    <t>ALAMEDA BARÃO DE PIRACICABA, Nº618/634 - TORRE B - 2º ANDAR - CAMPOS ELÍSEOS</t>
  </si>
  <si>
    <t>02682</t>
  </si>
  <si>
    <t>01571</t>
  </si>
  <si>
    <t>56120</t>
  </si>
  <si>
    <t>57959</t>
  </si>
  <si>
    <t>75761</t>
  </si>
  <si>
    <t>Endereço: AV. PAULISTA, 1294, - 16º, 17º, 18º E 21º ANDARES - BELA VISTA</t>
  </si>
  <si>
    <t>Endereço: SETOR DE AUTARQUIAS SUL, QUADRA 3, BLOCO "O", 10º ANDAR - ASA SUL</t>
  </si>
  <si>
    <t>BRASILIA - Cep: 70070030</t>
  </si>
  <si>
    <t>DDD: 61 - Tel: 34124123 - Fax: 34124057</t>
  </si>
  <si>
    <t>ANGELUS SEGUROS SA</t>
  </si>
  <si>
    <t>CURITIBA - Cep:</t>
  </si>
  <si>
    <t>DDD: 11 - Tel: 30565530 - Fax: 30565530</t>
  </si>
  <si>
    <t>AXA SEGUROS S.A.</t>
  </si>
  <si>
    <t>CNPJ: 19.323.190/0001-06</t>
  </si>
  <si>
    <t>Código FIP: 02852</t>
  </si>
  <si>
    <t>Endereço: AV. PRES JUSCELINO KUBITSCHEK,1600, 15º A,CONJ COMERCIAL 151 -</t>
  </si>
  <si>
    <t>Data Autorização/Cadastramento: 25/08/2014</t>
  </si>
  <si>
    <t>DDD: 27 - Tel: 3383-2809 - Fax: 3383-2887</t>
  </si>
  <si>
    <t>Endereço: AVENIDA BRIGADEIRO FARIA LIMA, 3477, 14 ANDAR, PARTE - ITAIM BIBI</t>
  </si>
  <si>
    <t>SÃO PAULO - Cep: 04538-13</t>
  </si>
  <si>
    <t>Endereço: CAMPOS BICUDO, 98, 4ºANDAR - ITAIM BIBI</t>
  </si>
  <si>
    <t>Endereço: RUA CAMPOS BICUDO, 98, 4º ANDAR - ITAIM BIBI</t>
  </si>
  <si>
    <t>DDD: 41 - Tel: 30190080 - Fax: 3232-2773</t>
  </si>
  <si>
    <t>Endereço: RIO BRANCO, 128 - 4 AO 10 PAVS. - CENTRO</t>
  </si>
  <si>
    <t>Endereço: RUA MARECHAL FLORIANO PEIXOTO, 450 - CENTRO HISTÓRICO</t>
  </si>
  <si>
    <t>PORTO ALEGRE - Cep: 90020060</t>
  </si>
  <si>
    <t>Endereço: AV. ENGENHEIRO LUIS CARLOS BERRINI 901 3 ANDAR CJ 32 - BROOKLIN NOVO</t>
  </si>
  <si>
    <t>SAO PAULO - Cep: 04571010</t>
  </si>
  <si>
    <t>DDD: 11 - Tel: 55081300 - Fax:</t>
  </si>
  <si>
    <t>ITAÚ SEGUROS SOLUÇÕES CORPORATIVAS S.A.</t>
  </si>
  <si>
    <t>CNPJ: 07.476.141/0001-24</t>
  </si>
  <si>
    <t>Código FIP: 01775</t>
  </si>
  <si>
    <t>Endereço: PÇ ALFREDO EGYDIO DE SOUZA ARANHA, 100, T. A. EGYDIO, 12º A. - PARQUE JABAQUARA</t>
  </si>
  <si>
    <t>Endereço: RUA VISCONDE DE NACAR, 1440 16ª ANDAR - CENTRO</t>
  </si>
  <si>
    <t>Endereço: CAMPOS BICUDO Nº 98 - 4º ANDAR - ITAIM BIBI</t>
  </si>
  <si>
    <t>MAPFRE PREVIDÊNCIA S.A.</t>
  </si>
  <si>
    <t>SAO PAULO - Cep: 04013001</t>
  </si>
  <si>
    <t>DDD: 11 - Tel: 3156-1604 - Fax: 3156-1910</t>
  </si>
  <si>
    <t>SINAF PREVIDENCIAL CIA DE SEGUROS</t>
  </si>
  <si>
    <t>DDD: 51 - Tel: 3023-2881 - Fax:</t>
  </si>
  <si>
    <t>Endereço: AVENIDA ROBERTO MARINHO, 85, 20º ANDAR - BROOKLIN NOVO</t>
  </si>
  <si>
    <t>DDD: 11 - Tel: 2313-8598 - Fax: 3219-3820</t>
  </si>
  <si>
    <t>AV. PAULISTA, 1294, - 16º, 17º, 18º E 21º ANDARES - BELA VISTA</t>
  </si>
  <si>
    <t>SETOR DE AUTARQUIAS SUL, QUADRA 3, BLOCO "O", 10º ANDAR - ASA SUL</t>
  </si>
  <si>
    <t>70070-030</t>
  </si>
  <si>
    <t xml:space="preserve">+55 61 34124123 </t>
  </si>
  <si>
    <t xml:space="preserve">+55 11 30565530 </t>
  </si>
  <si>
    <t>19.323.190/0001-06</t>
  </si>
  <si>
    <t>02852</t>
  </si>
  <si>
    <t>AV. PRES JUSCELINO KUBITSCHEK,1600, 15º A,CONJ COMERCIAL 151 -</t>
  </si>
  <si>
    <t>AVENIDA BRIGADEIRO FARIA LIMA, 3477, 14 ANDAR, PARTE - ITAIM BIBI</t>
  </si>
  <si>
    <t xml:space="preserve"> 04538-13</t>
  </si>
  <si>
    <t>CAMPOS BICUDO, 98, 4ºANDAR - ITAIM BIBI</t>
  </si>
  <si>
    <t>RUA CAMPOS BICUDO, 98, 4º ANDAR - ITAIM BIBI</t>
  </si>
  <si>
    <t xml:space="preserve">+55 41 30190080 </t>
  </si>
  <si>
    <t>RIO BRANCO, 128 - 4 AO 10 PAVS. - CENTRO</t>
  </si>
  <si>
    <t>RUA MARECHAL FLORIANO PEIXOTO, 450 - CENTRO HISTÓRICO</t>
  </si>
  <si>
    <t>90020-060</t>
  </si>
  <si>
    <t>AV. ENGENHEIRO LUIS CARLOS BERRINI 901 3 ANDAR CJ 32 - BROOKLIN NOVO</t>
  </si>
  <si>
    <t xml:space="preserve">+55 11 55081300 </t>
  </si>
  <si>
    <t>07.476.141/0001-24</t>
  </si>
  <si>
    <t>01775</t>
  </si>
  <si>
    <t>PÇ ALFREDO EGYDIO DE SOUZA ARANHA, 100, T. A. EGYDIO, 12º A. - PARQUE JABAQUARA</t>
  </si>
  <si>
    <t>RUA VISCONDE DE NACAR, 1440 16ª ANDAR - CENTRO</t>
  </si>
  <si>
    <t>CAMPOS BICUDO Nº 98 - 4º ANDAR - ITAIM BIBI</t>
  </si>
  <si>
    <t>+55 11 3156-1604</t>
  </si>
  <si>
    <t>+55 51 3023-2881</t>
  </si>
  <si>
    <t>AVENIDA ROBERTO MARINHO, 85, 20º ANDAR - BROOKLIN NOVO</t>
  </si>
  <si>
    <t>+55 11 2313-8598</t>
  </si>
  <si>
    <t>Última atualização feita em 19.09.2014 às 13:54:16</t>
  </si>
  <si>
    <t>Empresa(s) encontrada(s): 16</t>
  </si>
  <si>
    <t>AIG RESSEGUROS BRASIL S.A.</t>
  </si>
  <si>
    <t>Endereço: PRAÇA PROFESSOR JOSÉ LANNES, Nº 40, 6ª ANDAR, CONJUNTO 61 - BROOKLIN NOVO</t>
  </si>
  <si>
    <t>SÃO PAULO - Cep: 04571100</t>
  </si>
  <si>
    <t>AXA CORPORATE SOLUTIONS BRASIL E AMÉRICA LATINA RESSEGUROS S.A.</t>
  </si>
  <si>
    <t>CNPJ: 19.323.175/0001-68</t>
  </si>
  <si>
    <t>Código FIP: 36099</t>
  </si>
  <si>
    <t>Endereço: AV. PRES JUSCELINO KUBITSCHEK,1600, 15º A,CONJ COMERCIAL 152 -</t>
  </si>
  <si>
    <t>SCOR BRASIL RESSEGUROS S.A</t>
  </si>
  <si>
    <t>CNPJ: 19.851.775/0001-07</t>
  </si>
  <si>
    <t>Código FIP: 31551</t>
  </si>
  <si>
    <t>Endereço: AV. PAISAGISTA JOSÉ SILVA DE AZEVEDO NETO 200, BL4 SL404 - BARRA DA TIJUCA</t>
  </si>
  <si>
    <t>Data Autorização/Cadastramento: 06/08/2014</t>
  </si>
  <si>
    <t>Endereço: AVENIDA ROBERTO MARINHO, 85, 21º ANDAR, PARTE - BROOKLIN NOVO</t>
  </si>
  <si>
    <t>PRAÇA PROFESSOR JOSÉ LANNES, Nº 40, 6ª ANDAR, CONJUNTO 61 - BROOKLIN NOVO</t>
  </si>
  <si>
    <t>04571-100</t>
  </si>
  <si>
    <t>19.323.175/0001-68</t>
  </si>
  <si>
    <t>36099</t>
  </si>
  <si>
    <t>AV. PRES JUSCELINO KUBITSCHEK,1600, 15º A,CONJ COMERCIAL 152 -</t>
  </si>
  <si>
    <t>19.851.775/0001-07</t>
  </si>
  <si>
    <t>31551</t>
  </si>
  <si>
    <t>AV. PAISAGISTA JOSÉ SILVA DE AZEVEDO NETO 200, BL4 SL404 - BARRA DA TIJUCA</t>
  </si>
  <si>
    <t>AVENIDA ROBERTO MARINHO, 85, 21º ANDAR, PARTE - BROOKLIN NOVO</t>
  </si>
  <si>
    <t>Última atualização feita em 19.09.2014 às 14:06:25</t>
  </si>
  <si>
    <t>Empresa(s) encontrada(s): 33</t>
  </si>
  <si>
    <t>ALLIANZ GLOBAL CORPORATE &amp; SPECIALTY SE</t>
  </si>
  <si>
    <t>Endereço: PRAIA DO FLAMENGO, 154, SALA 101 - PARTE - FLAMENGO</t>
  </si>
  <si>
    <t>DDD: 21 - Tel: 3850-5952 - Fax: 3235-6552</t>
  </si>
  <si>
    <t>ARGO RE LTD.</t>
  </si>
  <si>
    <t>CNPJ: 12.575.275/0001-32</t>
  </si>
  <si>
    <t>Código FIP: 42684</t>
  </si>
  <si>
    <t>Endereço: AVENIDA NAÇÕES UNIDAS, 12.399 CJ 140 E 141 - BROOKLIN PAULISTA</t>
  </si>
  <si>
    <t>PRAIA DO FLAMENGO, 154, SALA 101 - PARTE - FLAMENGO</t>
  </si>
  <si>
    <t>+55 21 3850-5952</t>
  </si>
  <si>
    <t>12.575.275/0001-32</t>
  </si>
  <si>
    <t>42684</t>
  </si>
  <si>
    <t>AVENIDA NAÇÕES UNIDAS, 12.399 CJ 140 E 141 - BROOKLIN PAULISTA</t>
  </si>
  <si>
    <t>Última atualização feita em 19.09.2014 às 14:07:13</t>
  </si>
  <si>
    <t>Empresa(s) encontrada(s): 70</t>
  </si>
  <si>
    <t>ALLIANZ SE</t>
  </si>
  <si>
    <t>Código FIP: 58050</t>
  </si>
  <si>
    <t>Endereço: RUA EUGÊNIO DE MEDEIROS Nº 303 -</t>
  </si>
  <si>
    <t>DDD: 11 - Tel: 31716418 - Fax:</t>
  </si>
  <si>
    <t>Data Autorização/Cadastramento: 15/08/2014</t>
  </si>
  <si>
    <t>DDD: 11 - Tel: 3147-7604/7742 - Fax: 3147-7770</t>
  </si>
  <si>
    <t>HYUNDAI MARINE &amp; FIRE INSURANCE COMPANY LIMITED</t>
  </si>
  <si>
    <t>58050</t>
  </si>
  <si>
    <t>RUA EUGÊNIO DE MEDEIROS Nº 303 -</t>
  </si>
  <si>
    <t xml:space="preserve">+55 11 31716418 </t>
  </si>
  <si>
    <t>Última atualização feita em 19.09.2014 às 14:07:43</t>
  </si>
  <si>
    <t>Empresa(s) encontrada(s): 24</t>
  </si>
  <si>
    <t>Endereço: AVENIDA MARECHAL CAMARA 160 - GR. 1028 - CENTRO</t>
  </si>
  <si>
    <t>DDD: 21 - Tel: 39235640 - Fax: 39235640</t>
  </si>
  <si>
    <r>
      <t>CORMATT - CORRETORA DE RESSEGUROS LTDA.</t>
    </r>
    <r>
      <rPr>
        <b/>
        <sz val="7"/>
        <color rgb="FFFF0000"/>
        <rFont val="Calibri"/>
        <family val="2"/>
        <scheme val="minor"/>
      </rPr>
      <t>(SUSPENSA)</t>
    </r>
  </si>
  <si>
    <t>MDS RE CORRETORA DE RESSEGUROS LTDA.</t>
  </si>
  <si>
    <t>Endereço: AV. MARECHAL CAMARA, NUMERO 160, SALA 928/929 - CENTRO</t>
  </si>
  <si>
    <t>DDD: 21 - Tel: 22212418 - Fax: 22212418</t>
  </si>
  <si>
    <t>AVENIDA MARECHAL CAMARA 160 - GR. 1028 - CENTRO</t>
  </si>
  <si>
    <t xml:space="preserve">+55 21 39235640 </t>
  </si>
  <si>
    <t>CORMATT - CORRETORA DE RESSEGUROS LTDA.(SUSPENSA)</t>
  </si>
  <si>
    <t>AV. MARECHAL CAMARA, NUMERO 160, SALA 928/929 - CENTRO</t>
  </si>
  <si>
    <t xml:space="preserve">+55 21 22212418 </t>
  </si>
  <si>
    <t>Última atualização feita em 19.09.2014 às 14:08:17</t>
  </si>
  <si>
    <t>COMPREV PREVIDÊNCIA S.A. (ATUAL DENOMINAÇÃO DE UNIÃO PREVIDENCIÁRIA COMETA DO BRASIL)</t>
  </si>
  <si>
    <t>DDD: 31 - Tel: 3253-2302 - Fax: 3293-5693</t>
  </si>
  <si>
    <t>Endereço: PRAÇA OTÁVIO ROCHA, Nº 65, 2º ANDAR, SALA 21 - CENTRO</t>
  </si>
  <si>
    <t>DDD: 51 - Tel: 3092-9901 - Fax: 3129-9959</t>
  </si>
  <si>
    <t>DDD: 51 - Tel: 31231900 - Fax: 31231970</t>
  </si>
  <si>
    <t>DDD: 41 - Tel: 33246714 - Fax: 224-6734</t>
  </si>
  <si>
    <t>+55 31 3253-2302</t>
  </si>
  <si>
    <t>PRAÇA OTÁVIO ROCHA, Nº 65, 2º ANDAR, SALA 21 - CENTRO</t>
  </si>
  <si>
    <t>+55 51 3092-9901</t>
  </si>
  <si>
    <t xml:space="preserve">+55 51 31231900 </t>
  </si>
  <si>
    <t xml:space="preserve">+55 41 33246714 </t>
  </si>
  <si>
    <t>Última atualização feita em 19.09.2014 às 14:08:40</t>
  </si>
  <si>
    <t>DDD: 61 - Tel: 31025771 - Fax: 0</t>
  </si>
  <si>
    <t>Endereço: AV. CARLOS GOMES, 222 CONJ 1001 - AUXILIADORA</t>
  </si>
  <si>
    <t>DDD: 11 - Tel: 3188-9752 - Fax: 3188-9841</t>
  </si>
  <si>
    <t>Endereço: AVENIDA JORNALISTA ROBERTO MARINHO, Nº 85 - 20º ANDAR - CIDADE MONÇÕES</t>
  </si>
  <si>
    <t xml:space="preserve">+55 61 31025771 </t>
  </si>
  <si>
    <t>AV. CARLOS GOMES, 222 CONJ 1001 - AUXILIADORA</t>
  </si>
  <si>
    <t>AVENIDA JORNALISTA ROBERTO MARINHO, Nº 85 - 20º ANDAR - CIDADE MONÇÕES</t>
  </si>
  <si>
    <t>Última atualização feita em 19.09.2014 às 14:09:02</t>
  </si>
  <si>
    <t>AXA</t>
  </si>
  <si>
    <t>Doenças Graves</t>
  </si>
  <si>
    <t>RC Facultativa Embarcações</t>
  </si>
  <si>
    <t>class1a</t>
  </si>
  <si>
    <t>Pessoas Coletivo</t>
  </si>
  <si>
    <t>Pessoas Individual</t>
  </si>
  <si>
    <t>Habitacional (MIP)</t>
  </si>
  <si>
    <t>Coletivo</t>
  </si>
  <si>
    <t>Individual</t>
  </si>
  <si>
    <t>Auxílio Funeral</t>
  </si>
  <si>
    <t>Dotal Misto</t>
  </si>
  <si>
    <t>Dotal Puro</t>
  </si>
  <si>
    <t>AP Individual</t>
  </si>
  <si>
    <t>AP Coletivo</t>
  </si>
  <si>
    <t>AP Passageiros</t>
  </si>
  <si>
    <t>Microsseguros de Previdência</t>
  </si>
  <si>
    <t>DIT / DIH</t>
  </si>
  <si>
    <t>Previdência (EAPC)</t>
  </si>
  <si>
    <t>Seguro Saúde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</si>
</sst>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7"/>
      <color rgb="FFFF0000"/>
      <name val="Verdana"/>
      <family val="2"/>
    </font>
    <font>
      <sz val="7"/>
      <color indexed="55"/>
      <name val="Arial"/>
      <family val="2"/>
    </font>
    <font>
      <i/>
      <sz val="8"/>
      <name val="Arial"/>
      <family val="2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11"/>
      <color rgb="FF0000FF"/>
      <name val="Calibri"/>
      <family val="2"/>
      <charset val="1"/>
    </font>
    <font>
      <b/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CE6F2"/>
        <bgColor rgb="FFEBF1DE"/>
      </patternFill>
    </fill>
    <fill>
      <patternFill patternType="solid">
        <fgColor rgb="FFDDD9C3"/>
        <bgColor rgb="FFDCE6F2"/>
      </patternFill>
    </fill>
    <fill>
      <patternFill patternType="solid">
        <fgColor rgb="FFEBF1DE"/>
        <bgColor rgb="FFDCE6F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/>
  </cellStyleXfs>
  <cellXfs count="99">
    <xf numFmtId="0" fontId="0" fillId="0" borderId="0" xfId="0"/>
    <xf numFmtId="0" fontId="2" fillId="2" borderId="0" xfId="1" applyFill="1"/>
    <xf numFmtId="0" fontId="2" fillId="2" borderId="3" xfId="1" applyFill="1" applyBorder="1"/>
    <xf numFmtId="0" fontId="3" fillId="2" borderId="0" xfId="2" applyFill="1" applyAlignment="1" applyProtection="1"/>
    <xf numFmtId="0" fontId="4" fillId="2" borderId="2" xfId="1" applyFont="1" applyFill="1" applyBorder="1"/>
    <xf numFmtId="0" fontId="1" fillId="2" borderId="2" xfId="1" applyFont="1" applyFill="1" applyBorder="1"/>
    <xf numFmtId="0" fontId="2" fillId="0" borderId="0" xfId="1"/>
    <xf numFmtId="0" fontId="2" fillId="0" borderId="0" xfId="1" applyAlignment="1"/>
    <xf numFmtId="14" fontId="2" fillId="0" borderId="0" xfId="1" applyNumberFormat="1" applyAlignment="1"/>
    <xf numFmtId="0" fontId="5" fillId="2" borderId="0" xfId="1" applyFont="1" applyFill="1"/>
    <xf numFmtId="0" fontId="8" fillId="2" borderId="0" xfId="1" applyFont="1" applyFill="1"/>
    <xf numFmtId="0" fontId="5" fillId="2" borderId="3" xfId="1" applyFont="1" applyFill="1" applyBorder="1"/>
    <xf numFmtId="0" fontId="3" fillId="2" borderId="3" xfId="2" applyFont="1" applyFill="1" applyBorder="1" applyAlignment="1" applyProtection="1"/>
    <xf numFmtId="0" fontId="2" fillId="2" borderId="0" xfId="1" quotePrefix="1" applyFill="1"/>
    <xf numFmtId="0" fontId="10" fillId="4" borderId="4" xfId="0" applyFont="1" applyFill="1" applyBorder="1" applyAlignment="1">
      <alignment horizontal="left" vertical="center" wrapText="1"/>
    </xf>
    <xf numFmtId="0" fontId="10" fillId="5" borderId="4" xfId="4" applyFont="1" applyFill="1" applyBorder="1" applyAlignment="1">
      <alignment horizontal="left" vertical="center" wrapText="1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0" fillId="3" borderId="1" xfId="0" applyFill="1" applyBorder="1"/>
    <xf numFmtId="0" fontId="2" fillId="3" borderId="1" xfId="0" applyFont="1" applyFill="1" applyBorder="1" applyAlignment="1">
      <alignment horizontal="left" vertical="center"/>
    </xf>
    <xf numFmtId="0" fontId="2" fillId="3" borderId="1" xfId="4" applyFont="1" applyFill="1" applyBorder="1" applyAlignment="1">
      <alignment horizontal="left" vertical="center"/>
    </xf>
    <xf numFmtId="0" fontId="0" fillId="3" borderId="0" xfId="0" applyFill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vertical="center"/>
    </xf>
    <xf numFmtId="0" fontId="2" fillId="3" borderId="5" xfId="0" applyFont="1" applyFill="1" applyBorder="1" applyAlignment="1">
      <alignment horizontal="left" vertical="center"/>
    </xf>
    <xf numFmtId="0" fontId="0" fillId="7" borderId="1" xfId="0" applyFill="1" applyBorder="1"/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/>
    <xf numFmtId="0" fontId="0" fillId="7" borderId="1" xfId="0" quotePrefix="1" applyFill="1" applyBorder="1" applyAlignment="1"/>
    <xf numFmtId="0" fontId="0" fillId="7" borderId="0" xfId="0" applyFill="1" applyAlignment="1"/>
    <xf numFmtId="14" fontId="0" fillId="7" borderId="0" xfId="0" applyNumberFormat="1" applyFill="1" applyAlignment="1"/>
    <xf numFmtId="0" fontId="0" fillId="7" borderId="0" xfId="0" applyFill="1"/>
    <xf numFmtId="0" fontId="0" fillId="8" borderId="1" xfId="0" applyFill="1" applyBorder="1"/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/>
    <xf numFmtId="0" fontId="0" fillId="8" borderId="1" xfId="0" quotePrefix="1" applyFill="1" applyBorder="1" applyAlignment="1"/>
    <xf numFmtId="0" fontId="0" fillId="8" borderId="0" xfId="0" applyFill="1" applyAlignment="1"/>
    <xf numFmtId="14" fontId="0" fillId="8" borderId="0" xfId="0" applyNumberFormat="1" applyFill="1" applyAlignment="1"/>
    <xf numFmtId="0" fontId="0" fillId="8" borderId="0" xfId="0" applyFill="1"/>
    <xf numFmtId="0" fontId="1" fillId="0" borderId="0" xfId="1" applyFont="1" applyAlignment="1"/>
    <xf numFmtId="0" fontId="2" fillId="0" borderId="0" xfId="1" applyAlignment="1">
      <alignment vertical="top"/>
    </xf>
    <xf numFmtId="0" fontId="2" fillId="0" borderId="0" xfId="1" quotePrefix="1" applyAlignment="1"/>
    <xf numFmtId="0" fontId="7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2" fillId="0" borderId="0" xfId="1" applyFill="1" applyAlignment="1"/>
    <xf numFmtId="0" fontId="2" fillId="0" borderId="0" xfId="1" quotePrefix="1" applyFill="1" applyAlignment="1"/>
    <xf numFmtId="14" fontId="2" fillId="0" borderId="0" xfId="1" applyNumberFormat="1" applyFill="1" applyAlignment="1"/>
    <xf numFmtId="0" fontId="3" fillId="0" borderId="0" xfId="2" applyAlignment="1" applyProtection="1">
      <alignment horizontal="left" vertical="center"/>
    </xf>
    <xf numFmtId="0" fontId="2" fillId="0" borderId="0" xfId="1" quotePrefix="1" applyFont="1" applyAlignment="1"/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3" fillId="0" borderId="0" xfId="2" applyAlignment="1" applyProtection="1">
      <alignment horizontal="left"/>
    </xf>
    <xf numFmtId="0" fontId="2" fillId="9" borderId="0" xfId="1" applyFill="1"/>
    <xf numFmtId="0" fontId="2" fillId="0" borderId="0" xfId="1" applyFill="1"/>
    <xf numFmtId="0" fontId="1" fillId="0" borderId="1" xfId="1" applyFont="1" applyBorder="1"/>
    <xf numFmtId="0" fontId="1" fillId="0" borderId="1" xfId="1" applyFont="1" applyFill="1" applyBorder="1"/>
    <xf numFmtId="0" fontId="2" fillId="0" borderId="1" xfId="1" applyBorder="1"/>
    <xf numFmtId="0" fontId="13" fillId="0" borderId="1" xfId="1" applyFont="1" applyFill="1" applyBorder="1" applyAlignment="1">
      <alignment horizontal="left" indent="2"/>
    </xf>
    <xf numFmtId="0" fontId="13" fillId="0" borderId="1" xfId="1" applyFont="1" applyBorder="1" applyAlignment="1">
      <alignment horizontal="left" indent="2"/>
    </xf>
    <xf numFmtId="0" fontId="1" fillId="0" borderId="0" xfId="1" applyFont="1"/>
    <xf numFmtId="0" fontId="2" fillId="9" borderId="0" xfId="1" applyFill="1" applyAlignment="1">
      <alignment horizontal="center"/>
    </xf>
    <xf numFmtId="0" fontId="1" fillId="9" borderId="0" xfId="1" applyFont="1" applyFill="1"/>
    <xf numFmtId="0" fontId="2" fillId="0" borderId="1" xfId="1" applyFill="1" applyBorder="1"/>
    <xf numFmtId="0" fontId="2" fillId="9" borderId="1" xfId="1" applyFill="1" applyBorder="1"/>
    <xf numFmtId="0" fontId="2" fillId="0" borderId="0" xfId="1" applyBorder="1"/>
    <xf numFmtId="0" fontId="2" fillId="0" borderId="0" xfId="1" applyFill="1" applyBorder="1"/>
    <xf numFmtId="0" fontId="1" fillId="0" borderId="0" xfId="1" applyFont="1" applyFill="1" applyBorder="1"/>
    <xf numFmtId="0" fontId="1" fillId="0" borderId="0" xfId="1" applyFont="1" applyBorder="1"/>
    <xf numFmtId="0" fontId="14" fillId="0" borderId="0" xfId="1" applyFont="1" applyFill="1"/>
    <xf numFmtId="0" fontId="2" fillId="9" borderId="0" xfId="1" applyFont="1" applyFill="1"/>
    <xf numFmtId="0" fontId="2" fillId="0" borderId="0" xfId="1" applyFont="1" applyFill="1"/>
    <xf numFmtId="0" fontId="2" fillId="0" borderId="0" xfId="1" applyFont="1"/>
    <xf numFmtId="0" fontId="0" fillId="10" borderId="0" xfId="0" applyFill="1"/>
    <xf numFmtId="0" fontId="0" fillId="10" borderId="1" xfId="0" applyFill="1" applyBorder="1"/>
    <xf numFmtId="0" fontId="0" fillId="10" borderId="1" xfId="0" applyFill="1" applyBorder="1" applyAlignment="1">
      <alignment horizontal="left" vertical="center"/>
    </xf>
    <xf numFmtId="0" fontId="0" fillId="0" borderId="0" xfId="0"/>
    <xf numFmtId="0" fontId="3" fillId="2" borderId="0" xfId="2" applyFont="1" applyFill="1" applyAlignment="1" applyProtection="1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8" fillId="0" borderId="0" xfId="0" applyFont="1"/>
    <xf numFmtId="0" fontId="0" fillId="11" borderId="0" xfId="0" applyFont="1" applyFill="1"/>
    <xf numFmtId="0" fontId="0" fillId="12" borderId="0" xfId="0" applyFont="1" applyFill="1"/>
    <xf numFmtId="0" fontId="0" fillId="13" borderId="0" xfId="0" applyFont="1" applyFill="1"/>
    <xf numFmtId="0" fontId="19" fillId="13" borderId="0" xfId="0" applyFont="1" applyFill="1"/>
    <xf numFmtId="0" fontId="0" fillId="0" borderId="0" xfId="0" applyFont="1"/>
    <xf numFmtId="0" fontId="20" fillId="0" borderId="0" xfId="0" applyFont="1"/>
    <xf numFmtId="0" fontId="21" fillId="11" borderId="0" xfId="0" applyFont="1" applyFill="1"/>
    <xf numFmtId="0" fontId="21" fillId="12" borderId="0" xfId="0" applyFont="1" applyFill="1"/>
    <xf numFmtId="0" fontId="21" fillId="13" borderId="0" xfId="0" applyFont="1" applyFill="1"/>
    <xf numFmtId="0" fontId="0" fillId="0" borderId="0" xfId="0"/>
    <xf numFmtId="0" fontId="0" fillId="13" borderId="3" xfId="0" applyFont="1" applyFill="1" applyBorder="1"/>
    <xf numFmtId="0" fontId="19" fillId="13" borderId="3" xfId="0" applyFont="1" applyFill="1" applyBorder="1"/>
    <xf numFmtId="0" fontId="21" fillId="13" borderId="3" xfId="0" applyFont="1" applyFill="1" applyBorder="1"/>
  </cellXfs>
  <cellStyles count="5">
    <cellStyle name="Hyperlink" xfId="2" builtinId="8"/>
    <cellStyle name="Normal" xfId="0" builtinId="0"/>
    <cellStyle name="Normal 2" xfId="1"/>
    <cellStyle name="Normal 3" xfId="3"/>
    <cellStyle name="Normal_Sheet1" xfId="4"/>
  </cellStyles>
  <dxfs count="0"/>
  <tableStyles count="0" defaultTableStyle="TableStyleMedium2" defaultPivotStyle="PivotStyleMedium9"/>
  <colors>
    <mruColors>
      <color rgb="FF0000FF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bge.gov.br/home/estatistica/indicadores/precos/inpc_ipca/defaulttab.shtm" TargetMode="External"/><Relationship Id="rId2" Type="http://schemas.openxmlformats.org/officeDocument/2006/relationships/hyperlink" Target="http://www.bcb.gov.br/?COPOMJUROS" TargetMode="External"/><Relationship Id="rId1" Type="http://schemas.openxmlformats.org/officeDocument/2006/relationships/hyperlink" Target="http://www.ibge.gov.br/home/estatistica/indicadores/pib/defaulttabelas.sht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://countryeconomy.com/ratings/brazil" TargetMode="External"/><Relationship Id="rId4" Type="http://schemas.openxmlformats.org/officeDocument/2006/relationships/hyperlink" Target="http://www.ibge.gov.br/home/estatistica/indicadores/trabalhoerendimento/pme_nova/defaulttab_hist.s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4.9989318521683403E-2"/>
  </sheetPr>
  <dimension ref="A1:L185"/>
  <sheetViews>
    <sheetView workbookViewId="0">
      <pane ySplit="1" topLeftCell="A116" activePane="bottomLeft" state="frozen"/>
      <selection pane="bottomLeft" activeCell="A116" sqref="A116"/>
    </sheetView>
  </sheetViews>
  <sheetFormatPr defaultRowHeight="15" x14ac:dyDescent="0.25"/>
  <cols>
    <col min="1" max="1" width="12.5703125" style="16" bestFit="1" customWidth="1"/>
    <col min="2" max="2" width="21.7109375" style="17" bestFit="1" customWidth="1"/>
    <col min="3" max="3" width="16.28515625" style="17" customWidth="1"/>
    <col min="4" max="4" width="13.28515625" style="17" customWidth="1"/>
    <col min="5" max="5" width="38.85546875" style="17" customWidth="1"/>
    <col min="6" max="6" width="18" style="17" bestFit="1" customWidth="1"/>
    <col min="7" max="7" width="11" style="17" bestFit="1" customWidth="1"/>
    <col min="8" max="8" width="86.140625" style="17" bestFit="1" customWidth="1"/>
    <col min="9" max="9" width="17.85546875" style="17" bestFit="1" customWidth="1"/>
    <col min="10" max="16384" width="9.140625" style="16"/>
  </cols>
  <sheetData>
    <row r="1" spans="1:9" x14ac:dyDescent="0.25">
      <c r="A1" s="14" t="s">
        <v>634</v>
      </c>
      <c r="B1" s="14" t="s">
        <v>39</v>
      </c>
      <c r="C1" s="14" t="s">
        <v>631</v>
      </c>
      <c r="D1" s="14" t="s">
        <v>632</v>
      </c>
      <c r="E1" s="15" t="s">
        <v>40</v>
      </c>
      <c r="F1" s="15" t="s">
        <v>41</v>
      </c>
      <c r="G1" s="15" t="s">
        <v>633</v>
      </c>
      <c r="H1" s="15" t="s">
        <v>42</v>
      </c>
      <c r="I1" s="15" t="s">
        <v>43</v>
      </c>
    </row>
    <row r="2" spans="1:9" s="21" customFormat="1" x14ac:dyDescent="0.25">
      <c r="A2" s="18" t="s">
        <v>635</v>
      </c>
      <c r="B2" s="19" t="s">
        <v>44</v>
      </c>
      <c r="C2" s="19"/>
      <c r="D2" s="19" t="s">
        <v>45</v>
      </c>
      <c r="E2" s="20" t="s">
        <v>46</v>
      </c>
      <c r="F2" s="20" t="s">
        <v>47</v>
      </c>
      <c r="G2" s="20" t="s">
        <v>48</v>
      </c>
      <c r="H2" s="20" t="s">
        <v>49</v>
      </c>
      <c r="I2" s="20" t="s">
        <v>50</v>
      </c>
    </row>
    <row r="3" spans="1:9" s="21" customFormat="1" x14ac:dyDescent="0.25">
      <c r="A3" s="18" t="s">
        <v>635</v>
      </c>
      <c r="B3" s="19" t="s">
        <v>51</v>
      </c>
      <c r="C3" s="19"/>
      <c r="D3" s="19" t="s">
        <v>52</v>
      </c>
      <c r="E3" s="20" t="s">
        <v>53</v>
      </c>
      <c r="F3" s="20" t="s">
        <v>54</v>
      </c>
      <c r="G3" s="20" t="s">
        <v>55</v>
      </c>
      <c r="H3" s="20" t="s">
        <v>56</v>
      </c>
      <c r="I3" s="20" t="s">
        <v>57</v>
      </c>
    </row>
    <row r="4" spans="1:9" s="21" customFormat="1" x14ac:dyDescent="0.25">
      <c r="A4" s="18" t="s">
        <v>635</v>
      </c>
      <c r="B4" s="19" t="s">
        <v>58</v>
      </c>
      <c r="C4" s="19"/>
      <c r="D4" s="19" t="s">
        <v>52</v>
      </c>
      <c r="E4" s="20" t="s">
        <v>59</v>
      </c>
      <c r="F4" s="20" t="s">
        <v>60</v>
      </c>
      <c r="G4" s="20" t="s">
        <v>61</v>
      </c>
      <c r="H4" s="20" t="s">
        <v>62</v>
      </c>
      <c r="I4" s="20" t="s">
        <v>57</v>
      </c>
    </row>
    <row r="5" spans="1:9" s="21" customFormat="1" x14ac:dyDescent="0.25">
      <c r="A5" s="18" t="s">
        <v>635</v>
      </c>
      <c r="B5" s="22" t="s">
        <v>63</v>
      </c>
      <c r="C5" s="22"/>
      <c r="D5" s="22" t="s">
        <v>45</v>
      </c>
      <c r="E5" s="20" t="s">
        <v>64</v>
      </c>
      <c r="F5" s="20" t="s">
        <v>65</v>
      </c>
      <c r="G5" s="20" t="s">
        <v>66</v>
      </c>
      <c r="H5" s="20" t="s">
        <v>67</v>
      </c>
      <c r="I5" s="20" t="s">
        <v>57</v>
      </c>
    </row>
    <row r="6" spans="1:9" s="21" customFormat="1" x14ac:dyDescent="0.25">
      <c r="A6" s="18" t="s">
        <v>635</v>
      </c>
      <c r="B6" s="23" t="s">
        <v>63</v>
      </c>
      <c r="C6" s="23"/>
      <c r="D6" s="23" t="s">
        <v>45</v>
      </c>
      <c r="E6" s="20" t="s">
        <v>68</v>
      </c>
      <c r="F6" s="20" t="s">
        <v>69</v>
      </c>
      <c r="G6" s="20" t="s">
        <v>70</v>
      </c>
      <c r="H6" s="20" t="s">
        <v>71</v>
      </c>
      <c r="I6" s="20" t="s">
        <v>57</v>
      </c>
    </row>
    <row r="7" spans="1:9" s="21" customFormat="1" x14ac:dyDescent="0.25">
      <c r="A7" s="18" t="s">
        <v>635</v>
      </c>
      <c r="B7" s="19" t="s">
        <v>72</v>
      </c>
      <c r="C7" s="19"/>
      <c r="D7" s="19" t="s">
        <v>45</v>
      </c>
      <c r="E7" s="20" t="s">
        <v>73</v>
      </c>
      <c r="F7" s="20" t="s">
        <v>74</v>
      </c>
      <c r="G7" s="20" t="s">
        <v>75</v>
      </c>
      <c r="H7" s="20" t="s">
        <v>76</v>
      </c>
      <c r="I7" s="20" t="s">
        <v>77</v>
      </c>
    </row>
    <row r="8" spans="1:9" s="21" customFormat="1" x14ac:dyDescent="0.25">
      <c r="A8" s="18" t="s">
        <v>635</v>
      </c>
      <c r="B8" s="19" t="s">
        <v>78</v>
      </c>
      <c r="C8" s="19"/>
      <c r="D8" s="19" t="s">
        <v>52</v>
      </c>
      <c r="E8" s="20" t="s">
        <v>79</v>
      </c>
      <c r="F8" s="20" t="s">
        <v>80</v>
      </c>
      <c r="G8" s="20" t="s">
        <v>81</v>
      </c>
      <c r="H8" s="20" t="s">
        <v>82</v>
      </c>
      <c r="I8" s="20" t="s">
        <v>57</v>
      </c>
    </row>
    <row r="9" spans="1:9" s="21" customFormat="1" x14ac:dyDescent="0.25">
      <c r="A9" s="18" t="s">
        <v>635</v>
      </c>
      <c r="B9" s="19" t="s">
        <v>83</v>
      </c>
      <c r="C9" s="19"/>
      <c r="D9" s="19" t="s">
        <v>45</v>
      </c>
      <c r="E9" s="20" t="s">
        <v>84</v>
      </c>
      <c r="F9" s="20" t="s">
        <v>85</v>
      </c>
      <c r="G9" s="20" t="s">
        <v>86</v>
      </c>
      <c r="H9" s="20" t="s">
        <v>87</v>
      </c>
      <c r="I9" s="20" t="s">
        <v>88</v>
      </c>
    </row>
    <row r="10" spans="1:9" s="21" customFormat="1" x14ac:dyDescent="0.25">
      <c r="A10" s="18" t="s">
        <v>635</v>
      </c>
      <c r="B10" s="19" t="s">
        <v>89</v>
      </c>
      <c r="C10" s="19"/>
      <c r="D10" s="19" t="s">
        <v>45</v>
      </c>
      <c r="E10" s="20" t="s">
        <v>90</v>
      </c>
      <c r="F10" s="20" t="s">
        <v>91</v>
      </c>
      <c r="G10" s="20" t="s">
        <v>92</v>
      </c>
      <c r="H10" s="20" t="s">
        <v>93</v>
      </c>
      <c r="I10" s="20" t="s">
        <v>94</v>
      </c>
    </row>
    <row r="11" spans="1:9" s="21" customFormat="1" x14ac:dyDescent="0.25">
      <c r="A11" s="18" t="s">
        <v>635</v>
      </c>
      <c r="B11" s="19" t="s">
        <v>95</v>
      </c>
      <c r="C11" s="19"/>
      <c r="D11" s="19" t="s">
        <v>52</v>
      </c>
      <c r="E11" s="20" t="s">
        <v>96</v>
      </c>
      <c r="F11" s="20" t="s">
        <v>97</v>
      </c>
      <c r="G11" s="20" t="s">
        <v>98</v>
      </c>
      <c r="H11" s="20" t="s">
        <v>99</v>
      </c>
      <c r="I11" s="20" t="s">
        <v>57</v>
      </c>
    </row>
    <row r="12" spans="1:9" s="21" customFormat="1" x14ac:dyDescent="0.25">
      <c r="A12" s="18" t="s">
        <v>635</v>
      </c>
      <c r="B12" s="19" t="s">
        <v>100</v>
      </c>
      <c r="C12" s="19"/>
      <c r="D12" s="19" t="s">
        <v>52</v>
      </c>
      <c r="E12" s="20" t="s">
        <v>101</v>
      </c>
      <c r="F12" s="20" t="s">
        <v>102</v>
      </c>
      <c r="G12" s="20" t="s">
        <v>103</v>
      </c>
      <c r="H12" s="20" t="s">
        <v>104</v>
      </c>
      <c r="I12" s="20" t="s">
        <v>105</v>
      </c>
    </row>
    <row r="13" spans="1:9" s="21" customFormat="1" x14ac:dyDescent="0.25">
      <c r="A13" s="18" t="s">
        <v>635</v>
      </c>
      <c r="B13" s="19" t="s">
        <v>106</v>
      </c>
      <c r="C13" s="19"/>
      <c r="D13" s="19" t="s">
        <v>45</v>
      </c>
      <c r="E13" s="20" t="s">
        <v>107</v>
      </c>
      <c r="F13" s="20" t="s">
        <v>108</v>
      </c>
      <c r="G13" s="20" t="s">
        <v>109</v>
      </c>
      <c r="H13" s="20" t="s">
        <v>110</v>
      </c>
      <c r="I13" s="20" t="s">
        <v>111</v>
      </c>
    </row>
    <row r="14" spans="1:9" s="21" customFormat="1" x14ac:dyDescent="0.25">
      <c r="A14" s="18" t="s">
        <v>635</v>
      </c>
      <c r="B14" s="19" t="s">
        <v>3807</v>
      </c>
      <c r="C14" s="19"/>
      <c r="D14" s="19" t="s">
        <v>52</v>
      </c>
      <c r="E14" s="20" t="s">
        <v>3666</v>
      </c>
      <c r="F14" s="20" t="s">
        <v>3701</v>
      </c>
      <c r="G14" s="20" t="s">
        <v>3702</v>
      </c>
      <c r="H14" s="20" t="s">
        <v>3703</v>
      </c>
      <c r="I14" s="20" t="s">
        <v>57</v>
      </c>
    </row>
    <row r="15" spans="1:9" s="21" customFormat="1" x14ac:dyDescent="0.25">
      <c r="A15" s="18" t="s">
        <v>635</v>
      </c>
      <c r="B15" s="19" t="s">
        <v>112</v>
      </c>
      <c r="C15" s="19" t="s">
        <v>113</v>
      </c>
      <c r="D15" s="19" t="s">
        <v>45</v>
      </c>
      <c r="E15" s="20" t="s">
        <v>114</v>
      </c>
      <c r="F15" s="20" t="s">
        <v>115</v>
      </c>
      <c r="G15" s="20" t="s">
        <v>116</v>
      </c>
      <c r="H15" s="20" t="s">
        <v>117</v>
      </c>
      <c r="I15" s="20" t="s">
        <v>118</v>
      </c>
    </row>
    <row r="16" spans="1:9" s="21" customFormat="1" x14ac:dyDescent="0.25">
      <c r="A16" s="18" t="s">
        <v>635</v>
      </c>
      <c r="B16" s="19" t="s">
        <v>119</v>
      </c>
      <c r="C16" s="19"/>
      <c r="D16" s="19" t="s">
        <v>45</v>
      </c>
      <c r="E16" s="20" t="s">
        <v>120</v>
      </c>
      <c r="F16" s="20" t="s">
        <v>121</v>
      </c>
      <c r="G16" s="20" t="s">
        <v>122</v>
      </c>
      <c r="H16" s="20" t="s">
        <v>123</v>
      </c>
      <c r="I16" s="20" t="s">
        <v>111</v>
      </c>
    </row>
    <row r="17" spans="1:9" s="21" customFormat="1" x14ac:dyDescent="0.25">
      <c r="A17" s="18" t="s">
        <v>635</v>
      </c>
      <c r="B17" s="19" t="s">
        <v>124</v>
      </c>
      <c r="C17" s="19"/>
      <c r="D17" s="19" t="s">
        <v>52</v>
      </c>
      <c r="E17" s="20" t="s">
        <v>125</v>
      </c>
      <c r="F17" s="20" t="s">
        <v>126</v>
      </c>
      <c r="G17" s="20" t="s">
        <v>127</v>
      </c>
      <c r="H17" s="20" t="s">
        <v>128</v>
      </c>
      <c r="I17" s="20" t="s">
        <v>57</v>
      </c>
    </row>
    <row r="18" spans="1:9" s="21" customFormat="1" x14ac:dyDescent="0.25">
      <c r="A18" s="18" t="s">
        <v>635</v>
      </c>
      <c r="B18" s="24" t="s">
        <v>129</v>
      </c>
      <c r="C18" s="24" t="s">
        <v>130</v>
      </c>
      <c r="D18" s="24" t="s">
        <v>45</v>
      </c>
      <c r="E18" s="20" t="s">
        <v>131</v>
      </c>
      <c r="F18" s="20" t="s">
        <v>132</v>
      </c>
      <c r="G18" s="20" t="s">
        <v>133</v>
      </c>
      <c r="H18" s="20" t="s">
        <v>134</v>
      </c>
      <c r="I18" s="20" t="s">
        <v>135</v>
      </c>
    </row>
    <row r="19" spans="1:9" s="21" customFormat="1" x14ac:dyDescent="0.25">
      <c r="A19" s="18" t="s">
        <v>635</v>
      </c>
      <c r="B19" s="25" t="s">
        <v>136</v>
      </c>
      <c r="C19" s="22" t="s">
        <v>137</v>
      </c>
      <c r="D19" s="22" t="s">
        <v>45</v>
      </c>
      <c r="E19" s="20" t="s">
        <v>138</v>
      </c>
      <c r="F19" s="20" t="s">
        <v>139</v>
      </c>
      <c r="G19" s="20" t="s">
        <v>140</v>
      </c>
      <c r="H19" s="20" t="s">
        <v>141</v>
      </c>
      <c r="I19" s="20" t="s">
        <v>142</v>
      </c>
    </row>
    <row r="20" spans="1:9" s="21" customFormat="1" x14ac:dyDescent="0.25">
      <c r="A20" s="18" t="s">
        <v>635</v>
      </c>
      <c r="B20" s="26" t="s">
        <v>136</v>
      </c>
      <c r="C20" s="27" t="s">
        <v>137</v>
      </c>
      <c r="D20" s="27" t="s">
        <v>45</v>
      </c>
      <c r="E20" s="20" t="s">
        <v>143</v>
      </c>
      <c r="F20" s="20" t="s">
        <v>144</v>
      </c>
      <c r="G20" s="20" t="s">
        <v>145</v>
      </c>
      <c r="H20" s="20" t="s">
        <v>146</v>
      </c>
      <c r="I20" s="20" t="s">
        <v>111</v>
      </c>
    </row>
    <row r="21" spans="1:9" s="21" customFormat="1" x14ac:dyDescent="0.25">
      <c r="A21" s="18" t="s">
        <v>635</v>
      </c>
      <c r="B21" s="27" t="s">
        <v>136</v>
      </c>
      <c r="C21" s="27" t="s">
        <v>137</v>
      </c>
      <c r="D21" s="27" t="s">
        <v>45</v>
      </c>
      <c r="E21" s="20" t="s">
        <v>147</v>
      </c>
      <c r="F21" s="20" t="s">
        <v>148</v>
      </c>
      <c r="G21" s="20" t="s">
        <v>149</v>
      </c>
      <c r="H21" s="20" t="s">
        <v>146</v>
      </c>
      <c r="I21" s="20" t="s">
        <v>111</v>
      </c>
    </row>
    <row r="22" spans="1:9" s="21" customFormat="1" x14ac:dyDescent="0.25">
      <c r="A22" s="18" t="s">
        <v>635</v>
      </c>
      <c r="B22" s="27" t="s">
        <v>136</v>
      </c>
      <c r="C22" s="27" t="s">
        <v>137</v>
      </c>
      <c r="D22" s="27" t="s">
        <v>45</v>
      </c>
      <c r="E22" s="20" t="s">
        <v>150</v>
      </c>
      <c r="F22" s="20" t="s">
        <v>151</v>
      </c>
      <c r="G22" s="20" t="s">
        <v>152</v>
      </c>
      <c r="H22" s="20" t="s">
        <v>153</v>
      </c>
      <c r="I22" s="20" t="s">
        <v>57</v>
      </c>
    </row>
    <row r="23" spans="1:9" s="21" customFormat="1" x14ac:dyDescent="0.25">
      <c r="A23" s="18" t="s">
        <v>635</v>
      </c>
      <c r="B23" s="23" t="s">
        <v>136</v>
      </c>
      <c r="C23" s="23" t="s">
        <v>137</v>
      </c>
      <c r="D23" s="23" t="s">
        <v>45</v>
      </c>
      <c r="E23" s="20" t="s">
        <v>154</v>
      </c>
      <c r="F23" s="20" t="s">
        <v>155</v>
      </c>
      <c r="G23" s="20" t="s">
        <v>156</v>
      </c>
      <c r="H23" s="20" t="s">
        <v>141</v>
      </c>
      <c r="I23" s="20" t="s">
        <v>142</v>
      </c>
    </row>
    <row r="24" spans="1:9" s="21" customFormat="1" x14ac:dyDescent="0.25">
      <c r="A24" s="18" t="s">
        <v>635</v>
      </c>
      <c r="B24" s="22" t="s">
        <v>157</v>
      </c>
      <c r="C24" s="22" t="s">
        <v>158</v>
      </c>
      <c r="D24" s="22" t="s">
        <v>52</v>
      </c>
      <c r="E24" s="20" t="s">
        <v>393</v>
      </c>
      <c r="F24" s="20" t="s">
        <v>394</v>
      </c>
      <c r="G24" s="20" t="s">
        <v>395</v>
      </c>
      <c r="H24" s="20" t="s">
        <v>396</v>
      </c>
      <c r="I24" s="20" t="s">
        <v>57</v>
      </c>
    </row>
    <row r="25" spans="1:9" s="21" customFormat="1" x14ac:dyDescent="0.25">
      <c r="A25" s="18" t="s">
        <v>635</v>
      </c>
      <c r="B25" s="28" t="s">
        <v>157</v>
      </c>
      <c r="C25" s="28" t="s">
        <v>158</v>
      </c>
      <c r="D25" s="28" t="s">
        <v>45</v>
      </c>
      <c r="E25" s="20" t="s">
        <v>159</v>
      </c>
      <c r="F25" s="20" t="s">
        <v>160</v>
      </c>
      <c r="G25" s="20" t="s">
        <v>161</v>
      </c>
      <c r="H25" s="20" t="s">
        <v>162</v>
      </c>
      <c r="I25" s="20" t="s">
        <v>57</v>
      </c>
    </row>
    <row r="26" spans="1:9" s="21" customFormat="1" x14ac:dyDescent="0.25">
      <c r="A26" s="18" t="s">
        <v>635</v>
      </c>
      <c r="B26" s="25" t="s">
        <v>167</v>
      </c>
      <c r="C26" s="25" t="s">
        <v>168</v>
      </c>
      <c r="D26" s="25" t="s">
        <v>45</v>
      </c>
      <c r="E26" s="20" t="s">
        <v>169</v>
      </c>
      <c r="F26" s="20" t="s">
        <v>170</v>
      </c>
      <c r="G26" s="20" t="s">
        <v>171</v>
      </c>
      <c r="H26" s="20" t="s">
        <v>172</v>
      </c>
      <c r="I26" s="20" t="s">
        <v>57</v>
      </c>
    </row>
    <row r="27" spans="1:9" s="21" customFormat="1" x14ac:dyDescent="0.25">
      <c r="A27" s="18" t="s">
        <v>635</v>
      </c>
      <c r="B27" s="28" t="s">
        <v>167</v>
      </c>
      <c r="C27" s="28" t="s">
        <v>168</v>
      </c>
      <c r="D27" s="28" t="s">
        <v>45</v>
      </c>
      <c r="E27" s="20" t="s">
        <v>3573</v>
      </c>
      <c r="F27" s="20" t="s">
        <v>3628</v>
      </c>
      <c r="G27" s="20" t="s">
        <v>3654</v>
      </c>
      <c r="H27" s="20" t="s">
        <v>3629</v>
      </c>
      <c r="I27" s="20" t="s">
        <v>57</v>
      </c>
    </row>
    <row r="28" spans="1:9" s="21" customFormat="1" x14ac:dyDescent="0.25">
      <c r="A28" s="18" t="s">
        <v>635</v>
      </c>
      <c r="B28" s="19" t="s">
        <v>173</v>
      </c>
      <c r="C28" s="19"/>
      <c r="D28" s="19" t="s">
        <v>45</v>
      </c>
      <c r="E28" s="20" t="s">
        <v>174</v>
      </c>
      <c r="F28" s="20" t="s">
        <v>175</v>
      </c>
      <c r="G28" s="20" t="s">
        <v>176</v>
      </c>
      <c r="H28" s="20" t="s">
        <v>177</v>
      </c>
      <c r="I28" s="20" t="s">
        <v>111</v>
      </c>
    </row>
    <row r="29" spans="1:9" s="21" customFormat="1" x14ac:dyDescent="0.25">
      <c r="A29" s="18" t="s">
        <v>635</v>
      </c>
      <c r="B29" s="22" t="s">
        <v>178</v>
      </c>
      <c r="C29" s="22" t="s">
        <v>179</v>
      </c>
      <c r="D29" s="22" t="s">
        <v>45</v>
      </c>
      <c r="E29" s="20" t="s">
        <v>180</v>
      </c>
      <c r="F29" s="20" t="s">
        <v>181</v>
      </c>
      <c r="G29" s="20" t="s">
        <v>182</v>
      </c>
      <c r="H29" s="20" t="s">
        <v>183</v>
      </c>
      <c r="I29" s="20" t="s">
        <v>184</v>
      </c>
    </row>
    <row r="30" spans="1:9" s="21" customFormat="1" x14ac:dyDescent="0.25">
      <c r="A30" s="18" t="s">
        <v>635</v>
      </c>
      <c r="B30" s="27" t="s">
        <v>178</v>
      </c>
      <c r="C30" s="27" t="s">
        <v>179</v>
      </c>
      <c r="D30" s="27" t="s">
        <v>45</v>
      </c>
      <c r="E30" s="20" t="s">
        <v>185</v>
      </c>
      <c r="F30" s="20" t="s">
        <v>186</v>
      </c>
      <c r="G30" s="20" t="s">
        <v>187</v>
      </c>
      <c r="H30" s="20" t="s">
        <v>188</v>
      </c>
      <c r="I30" s="20" t="s">
        <v>184</v>
      </c>
    </row>
    <row r="31" spans="1:9" s="21" customFormat="1" x14ac:dyDescent="0.25">
      <c r="A31" s="18" t="s">
        <v>635</v>
      </c>
      <c r="B31" s="28" t="s">
        <v>178</v>
      </c>
      <c r="C31" s="23"/>
      <c r="D31" s="23" t="s">
        <v>45</v>
      </c>
      <c r="E31" s="20" t="s">
        <v>189</v>
      </c>
      <c r="F31" s="20" t="s">
        <v>190</v>
      </c>
      <c r="G31" s="20" t="s">
        <v>191</v>
      </c>
      <c r="H31" s="20" t="s">
        <v>192</v>
      </c>
      <c r="I31" s="20" t="s">
        <v>193</v>
      </c>
    </row>
    <row r="32" spans="1:9" s="21" customFormat="1" x14ac:dyDescent="0.25">
      <c r="A32" s="18" t="s">
        <v>635</v>
      </c>
      <c r="B32" s="25" t="s">
        <v>194</v>
      </c>
      <c r="C32" s="22" t="s">
        <v>130</v>
      </c>
      <c r="D32" s="22" t="s">
        <v>45</v>
      </c>
      <c r="E32" s="20" t="s">
        <v>195</v>
      </c>
      <c r="F32" s="20" t="s">
        <v>47</v>
      </c>
      <c r="G32" s="20" t="s">
        <v>196</v>
      </c>
      <c r="H32" s="20" t="s">
        <v>197</v>
      </c>
      <c r="I32" s="20" t="s">
        <v>111</v>
      </c>
    </row>
    <row r="33" spans="1:9" s="21" customFormat="1" x14ac:dyDescent="0.25">
      <c r="A33" s="18" t="s">
        <v>635</v>
      </c>
      <c r="B33" s="23" t="s">
        <v>194</v>
      </c>
      <c r="C33" s="22" t="s">
        <v>130</v>
      </c>
      <c r="D33" s="23" t="s">
        <v>45</v>
      </c>
      <c r="E33" s="20" t="s">
        <v>198</v>
      </c>
      <c r="F33" s="20" t="s">
        <v>199</v>
      </c>
      <c r="G33" s="20" t="s">
        <v>200</v>
      </c>
      <c r="H33" s="20" t="s">
        <v>201</v>
      </c>
      <c r="I33" s="20" t="s">
        <v>111</v>
      </c>
    </row>
    <row r="34" spans="1:9" s="21" customFormat="1" x14ac:dyDescent="0.25">
      <c r="A34" s="18" t="s">
        <v>635</v>
      </c>
      <c r="B34" s="22" t="s">
        <v>202</v>
      </c>
      <c r="C34" s="22"/>
      <c r="D34" s="22" t="s">
        <v>52</v>
      </c>
      <c r="E34" s="20" t="s">
        <v>203</v>
      </c>
      <c r="F34" s="20" t="s">
        <v>204</v>
      </c>
      <c r="G34" s="20" t="s">
        <v>205</v>
      </c>
      <c r="H34" s="20" t="s">
        <v>206</v>
      </c>
      <c r="I34" s="20" t="s">
        <v>57</v>
      </c>
    </row>
    <row r="35" spans="1:9" s="21" customFormat="1" x14ac:dyDescent="0.25">
      <c r="A35" s="18" t="s">
        <v>635</v>
      </c>
      <c r="B35" s="26" t="s">
        <v>202</v>
      </c>
      <c r="C35" s="27"/>
      <c r="D35" s="27" t="s">
        <v>52</v>
      </c>
      <c r="E35" s="20" t="s">
        <v>207</v>
      </c>
      <c r="F35" s="20" t="s">
        <v>208</v>
      </c>
      <c r="G35" s="20" t="s">
        <v>209</v>
      </c>
      <c r="H35" s="20" t="s">
        <v>210</v>
      </c>
      <c r="I35" s="20" t="s">
        <v>57</v>
      </c>
    </row>
    <row r="36" spans="1:9" s="21" customFormat="1" x14ac:dyDescent="0.25">
      <c r="A36" s="18" t="s">
        <v>635</v>
      </c>
      <c r="B36" s="23" t="s">
        <v>202</v>
      </c>
      <c r="C36" s="23"/>
      <c r="D36" s="23" t="s">
        <v>45</v>
      </c>
      <c r="E36" s="20" t="s">
        <v>211</v>
      </c>
      <c r="F36" s="20" t="s">
        <v>212</v>
      </c>
      <c r="G36" s="20" t="s">
        <v>213</v>
      </c>
      <c r="H36" s="20" t="s">
        <v>214</v>
      </c>
      <c r="I36" s="20" t="s">
        <v>57</v>
      </c>
    </row>
    <row r="37" spans="1:9" s="21" customFormat="1" x14ac:dyDescent="0.25">
      <c r="A37" s="18" t="s">
        <v>635</v>
      </c>
      <c r="B37" s="19" t="s">
        <v>215</v>
      </c>
      <c r="C37" s="19"/>
      <c r="D37" s="19" t="s">
        <v>45</v>
      </c>
      <c r="E37" s="20" t="s">
        <v>216</v>
      </c>
      <c r="F37" s="20" t="s">
        <v>217</v>
      </c>
      <c r="G37" s="20" t="s">
        <v>218</v>
      </c>
      <c r="H37" s="20" t="s">
        <v>219</v>
      </c>
      <c r="I37" s="20" t="s">
        <v>94</v>
      </c>
    </row>
    <row r="38" spans="1:9" s="21" customFormat="1" x14ac:dyDescent="0.25">
      <c r="A38" s="18" t="s">
        <v>635</v>
      </c>
      <c r="B38" s="28" t="s">
        <v>220</v>
      </c>
      <c r="C38" s="23"/>
      <c r="D38" s="23" t="s">
        <v>45</v>
      </c>
      <c r="E38" s="20" t="s">
        <v>221</v>
      </c>
      <c r="F38" s="20" t="s">
        <v>222</v>
      </c>
      <c r="G38" s="20" t="s">
        <v>223</v>
      </c>
      <c r="H38" s="20" t="s">
        <v>224</v>
      </c>
      <c r="I38" s="20" t="s">
        <v>57</v>
      </c>
    </row>
    <row r="39" spans="1:9" s="21" customFormat="1" x14ac:dyDescent="0.25">
      <c r="A39" s="18" t="s">
        <v>635</v>
      </c>
      <c r="B39" s="19" t="s">
        <v>225</v>
      </c>
      <c r="C39" s="19"/>
      <c r="D39" s="19" t="s">
        <v>52</v>
      </c>
      <c r="E39" s="20" t="s">
        <v>226</v>
      </c>
      <c r="F39" s="20" t="s">
        <v>227</v>
      </c>
      <c r="G39" s="20" t="s">
        <v>228</v>
      </c>
      <c r="H39" s="20" t="s">
        <v>229</v>
      </c>
      <c r="I39" s="20" t="s">
        <v>57</v>
      </c>
    </row>
    <row r="40" spans="1:9" s="21" customFormat="1" x14ac:dyDescent="0.25">
      <c r="A40" s="18" t="s">
        <v>635</v>
      </c>
      <c r="B40" s="24" t="s">
        <v>230</v>
      </c>
      <c r="C40" s="24"/>
      <c r="D40" s="24" t="s">
        <v>45</v>
      </c>
      <c r="E40" s="20" t="s">
        <v>231</v>
      </c>
      <c r="F40" s="20" t="s">
        <v>232</v>
      </c>
      <c r="G40" s="20" t="s">
        <v>233</v>
      </c>
      <c r="H40" s="20" t="s">
        <v>234</v>
      </c>
      <c r="I40" s="20" t="s">
        <v>57</v>
      </c>
    </row>
    <row r="41" spans="1:9" s="21" customFormat="1" x14ac:dyDescent="0.25">
      <c r="A41" s="18" t="s">
        <v>635</v>
      </c>
      <c r="B41" s="19" t="s">
        <v>235</v>
      </c>
      <c r="C41" s="19"/>
      <c r="D41" s="19" t="s">
        <v>45</v>
      </c>
      <c r="E41" s="20" t="s">
        <v>236</v>
      </c>
      <c r="F41" s="20" t="s">
        <v>237</v>
      </c>
      <c r="G41" s="20" t="s">
        <v>238</v>
      </c>
      <c r="H41" s="20" t="s">
        <v>239</v>
      </c>
      <c r="I41" s="20" t="s">
        <v>111</v>
      </c>
    </row>
    <row r="42" spans="1:9" s="21" customFormat="1" x14ac:dyDescent="0.25">
      <c r="A42" s="18" t="s">
        <v>635</v>
      </c>
      <c r="B42" s="19" t="s">
        <v>720</v>
      </c>
      <c r="C42" s="19"/>
      <c r="D42" s="19" t="s">
        <v>45</v>
      </c>
      <c r="E42" s="20" t="s">
        <v>240</v>
      </c>
      <c r="F42" s="20" t="s">
        <v>241</v>
      </c>
      <c r="G42" s="20" t="s">
        <v>242</v>
      </c>
      <c r="H42" s="20" t="s">
        <v>243</v>
      </c>
      <c r="I42" s="20" t="s">
        <v>193</v>
      </c>
    </row>
    <row r="43" spans="1:9" s="21" customFormat="1" x14ac:dyDescent="0.25">
      <c r="A43" s="18" t="s">
        <v>635</v>
      </c>
      <c r="B43" s="25" t="s">
        <v>244</v>
      </c>
      <c r="C43" s="22"/>
      <c r="D43" s="22" t="s">
        <v>52</v>
      </c>
      <c r="E43" s="20" t="s">
        <v>245</v>
      </c>
      <c r="F43" s="20" t="s">
        <v>246</v>
      </c>
      <c r="G43" s="20" t="s">
        <v>247</v>
      </c>
      <c r="H43" s="20" t="s">
        <v>248</v>
      </c>
      <c r="I43" s="20" t="s">
        <v>57</v>
      </c>
    </row>
    <row r="44" spans="1:9" s="21" customFormat="1" x14ac:dyDescent="0.25">
      <c r="A44" s="18" t="s">
        <v>635</v>
      </c>
      <c r="B44" s="28" t="s">
        <v>244</v>
      </c>
      <c r="C44" s="23"/>
      <c r="D44" s="23" t="s">
        <v>52</v>
      </c>
      <c r="E44" s="20" t="s">
        <v>249</v>
      </c>
      <c r="F44" s="20" t="s">
        <v>250</v>
      </c>
      <c r="G44" s="20" t="s">
        <v>251</v>
      </c>
      <c r="H44" s="20" t="s">
        <v>252</v>
      </c>
      <c r="I44" s="20" t="s">
        <v>57</v>
      </c>
    </row>
    <row r="45" spans="1:9" s="21" customFormat="1" x14ac:dyDescent="0.25">
      <c r="A45" s="18" t="s">
        <v>635</v>
      </c>
      <c r="B45" s="19" t="s">
        <v>253</v>
      </c>
      <c r="C45" s="19" t="s">
        <v>254</v>
      </c>
      <c r="D45" s="19" t="s">
        <v>45</v>
      </c>
      <c r="E45" s="20" t="s">
        <v>255</v>
      </c>
      <c r="F45" s="20" t="s">
        <v>256</v>
      </c>
      <c r="G45" s="20" t="s">
        <v>257</v>
      </c>
      <c r="H45" s="20" t="s">
        <v>258</v>
      </c>
      <c r="I45" s="20" t="s">
        <v>57</v>
      </c>
    </row>
    <row r="46" spans="1:9" s="21" customFormat="1" x14ac:dyDescent="0.25">
      <c r="A46" s="18" t="s">
        <v>635</v>
      </c>
      <c r="B46" s="25" t="s">
        <v>259</v>
      </c>
      <c r="C46" s="22"/>
      <c r="D46" s="22" t="s">
        <v>52</v>
      </c>
      <c r="E46" s="20" t="s">
        <v>260</v>
      </c>
      <c r="F46" s="20" t="s">
        <v>261</v>
      </c>
      <c r="G46" s="20" t="s">
        <v>262</v>
      </c>
      <c r="H46" s="20" t="s">
        <v>263</v>
      </c>
      <c r="I46" s="20" t="s">
        <v>57</v>
      </c>
    </row>
    <row r="47" spans="1:9" s="21" customFormat="1" x14ac:dyDescent="0.25">
      <c r="A47" s="18" t="s">
        <v>635</v>
      </c>
      <c r="B47" s="28" t="s">
        <v>259</v>
      </c>
      <c r="C47" s="23"/>
      <c r="D47" s="23" t="s">
        <v>52</v>
      </c>
      <c r="E47" s="20" t="s">
        <v>264</v>
      </c>
      <c r="F47" s="20" t="s">
        <v>265</v>
      </c>
      <c r="G47" s="20" t="s">
        <v>266</v>
      </c>
      <c r="H47" s="20" t="s">
        <v>267</v>
      </c>
      <c r="I47" s="20" t="s">
        <v>57</v>
      </c>
    </row>
    <row r="48" spans="1:9" s="21" customFormat="1" x14ac:dyDescent="0.25">
      <c r="A48" s="18" t="s">
        <v>635</v>
      </c>
      <c r="B48" s="19" t="s">
        <v>268</v>
      </c>
      <c r="C48" s="19"/>
      <c r="D48" s="19" t="s">
        <v>45</v>
      </c>
      <c r="E48" s="20" t="s">
        <v>269</v>
      </c>
      <c r="F48" s="20" t="s">
        <v>270</v>
      </c>
      <c r="G48" s="20" t="s">
        <v>271</v>
      </c>
      <c r="H48" s="20" t="s">
        <v>272</v>
      </c>
      <c r="I48" s="20" t="s">
        <v>273</v>
      </c>
    </row>
    <row r="49" spans="1:9" s="21" customFormat="1" x14ac:dyDescent="0.25">
      <c r="A49" s="18" t="s">
        <v>635</v>
      </c>
      <c r="B49" s="19" t="s">
        <v>274</v>
      </c>
      <c r="C49" s="19"/>
      <c r="D49" s="19" t="s">
        <v>52</v>
      </c>
      <c r="E49" s="20" t="s">
        <v>275</v>
      </c>
      <c r="F49" s="20" t="s">
        <v>276</v>
      </c>
      <c r="G49" s="20" t="s">
        <v>277</v>
      </c>
      <c r="H49" s="20" t="s">
        <v>278</v>
      </c>
      <c r="I49" s="20" t="s">
        <v>88</v>
      </c>
    </row>
    <row r="50" spans="1:9" s="21" customFormat="1" x14ac:dyDescent="0.25">
      <c r="A50" s="18" t="s">
        <v>635</v>
      </c>
      <c r="B50" s="19" t="s">
        <v>279</v>
      </c>
      <c r="C50" s="19" t="s">
        <v>280</v>
      </c>
      <c r="D50" s="19" t="s">
        <v>45</v>
      </c>
      <c r="E50" s="20" t="s">
        <v>281</v>
      </c>
      <c r="F50" s="20" t="s">
        <v>282</v>
      </c>
      <c r="G50" s="20" t="s">
        <v>283</v>
      </c>
      <c r="H50" s="20" t="s">
        <v>284</v>
      </c>
      <c r="I50" s="20" t="s">
        <v>57</v>
      </c>
    </row>
    <row r="51" spans="1:9" s="21" customFormat="1" x14ac:dyDescent="0.25">
      <c r="A51" s="18" t="s">
        <v>635</v>
      </c>
      <c r="B51" s="25" t="s">
        <v>285</v>
      </c>
      <c r="C51" s="22"/>
      <c r="D51" s="22" t="s">
        <v>45</v>
      </c>
      <c r="E51" s="20" t="s">
        <v>286</v>
      </c>
      <c r="F51" s="20" t="s">
        <v>287</v>
      </c>
      <c r="G51" s="20" t="s">
        <v>288</v>
      </c>
      <c r="H51" s="20" t="s">
        <v>289</v>
      </c>
      <c r="I51" s="20" t="s">
        <v>111</v>
      </c>
    </row>
    <row r="52" spans="1:9" s="21" customFormat="1" x14ac:dyDescent="0.25">
      <c r="A52" s="18" t="s">
        <v>635</v>
      </c>
      <c r="B52" s="28" t="s">
        <v>285</v>
      </c>
      <c r="C52" s="23"/>
      <c r="D52" s="23" t="s">
        <v>45</v>
      </c>
      <c r="E52" s="20" t="s">
        <v>290</v>
      </c>
      <c r="F52" s="20" t="s">
        <v>291</v>
      </c>
      <c r="G52" s="20" t="s">
        <v>292</v>
      </c>
      <c r="H52" s="20" t="s">
        <v>293</v>
      </c>
      <c r="I52" s="20" t="s">
        <v>184</v>
      </c>
    </row>
    <row r="53" spans="1:9" s="21" customFormat="1" x14ac:dyDescent="0.25">
      <c r="A53" s="18" t="s">
        <v>635</v>
      </c>
      <c r="B53" s="19" t="s">
        <v>294</v>
      </c>
      <c r="C53" s="19"/>
      <c r="D53" s="19" t="s">
        <v>52</v>
      </c>
      <c r="E53" s="20" t="s">
        <v>295</v>
      </c>
      <c r="F53" s="20" t="s">
        <v>296</v>
      </c>
      <c r="G53" s="20" t="s">
        <v>297</v>
      </c>
      <c r="H53" s="20" t="s">
        <v>298</v>
      </c>
      <c r="I53" s="20" t="s">
        <v>111</v>
      </c>
    </row>
    <row r="54" spans="1:9" s="21" customFormat="1" x14ac:dyDescent="0.25">
      <c r="A54" s="18" t="s">
        <v>635</v>
      </c>
      <c r="B54" s="19" t="s">
        <v>299</v>
      </c>
      <c r="C54" s="19"/>
      <c r="D54" s="19" t="s">
        <v>45</v>
      </c>
      <c r="E54" s="20" t="s">
        <v>300</v>
      </c>
      <c r="F54" s="20" t="s">
        <v>301</v>
      </c>
      <c r="G54" s="20" t="s">
        <v>302</v>
      </c>
      <c r="H54" s="20" t="s">
        <v>303</v>
      </c>
      <c r="I54" s="20" t="s">
        <v>193</v>
      </c>
    </row>
    <row r="55" spans="1:9" s="21" customFormat="1" x14ac:dyDescent="0.25">
      <c r="A55" s="18" t="s">
        <v>635</v>
      </c>
      <c r="B55" s="25" t="s">
        <v>304</v>
      </c>
      <c r="C55" s="25"/>
      <c r="D55" s="25" t="s">
        <v>52</v>
      </c>
      <c r="E55" s="20" t="s">
        <v>305</v>
      </c>
      <c r="F55" s="20" t="s">
        <v>306</v>
      </c>
      <c r="G55" s="20" t="s">
        <v>307</v>
      </c>
      <c r="H55" s="20" t="s">
        <v>308</v>
      </c>
      <c r="I55" s="20" t="s">
        <v>57</v>
      </c>
    </row>
    <row r="56" spans="1:9" s="21" customFormat="1" x14ac:dyDescent="0.25">
      <c r="A56" s="18" t="s">
        <v>635</v>
      </c>
      <c r="B56" s="28" t="s">
        <v>304</v>
      </c>
      <c r="C56" s="28"/>
      <c r="D56" s="28" t="s">
        <v>52</v>
      </c>
      <c r="E56" s="20" t="s">
        <v>3581</v>
      </c>
      <c r="F56" s="20" t="s">
        <v>3633</v>
      </c>
      <c r="G56" s="20" t="s">
        <v>3655</v>
      </c>
      <c r="H56" s="20" t="s">
        <v>3634</v>
      </c>
      <c r="I56" s="20" t="s">
        <v>57</v>
      </c>
    </row>
    <row r="57" spans="1:9" s="21" customFormat="1" x14ac:dyDescent="0.25">
      <c r="A57" s="18" t="s">
        <v>635</v>
      </c>
      <c r="B57" s="22" t="s">
        <v>309</v>
      </c>
      <c r="C57" s="22" t="s">
        <v>310</v>
      </c>
      <c r="D57" s="22" t="s">
        <v>52</v>
      </c>
      <c r="E57" s="20" t="s">
        <v>311</v>
      </c>
      <c r="F57" s="20" t="s">
        <v>312</v>
      </c>
      <c r="G57" s="20" t="s">
        <v>313</v>
      </c>
      <c r="H57" s="20" t="s">
        <v>314</v>
      </c>
      <c r="I57" s="20" t="s">
        <v>94</v>
      </c>
    </row>
    <row r="58" spans="1:9" s="21" customFormat="1" x14ac:dyDescent="0.25">
      <c r="A58" s="18" t="s">
        <v>635</v>
      </c>
      <c r="B58" s="23" t="s">
        <v>309</v>
      </c>
      <c r="C58" s="23" t="s">
        <v>310</v>
      </c>
      <c r="D58" s="22" t="s">
        <v>52</v>
      </c>
      <c r="E58" s="20" t="s">
        <v>315</v>
      </c>
      <c r="F58" s="20" t="s">
        <v>316</v>
      </c>
      <c r="G58" s="20" t="s">
        <v>317</v>
      </c>
      <c r="H58" s="20" t="s">
        <v>314</v>
      </c>
      <c r="I58" s="20" t="s">
        <v>57</v>
      </c>
    </row>
    <row r="59" spans="1:9" s="21" customFormat="1" x14ac:dyDescent="0.25">
      <c r="A59" s="18" t="s">
        <v>635</v>
      </c>
      <c r="B59" s="22" t="s">
        <v>318</v>
      </c>
      <c r="C59" s="22"/>
      <c r="D59" s="22" t="s">
        <v>45</v>
      </c>
      <c r="E59" s="20" t="s">
        <v>319</v>
      </c>
      <c r="F59" s="20" t="s">
        <v>320</v>
      </c>
      <c r="G59" s="20" t="s">
        <v>321</v>
      </c>
      <c r="H59" s="20" t="s">
        <v>322</v>
      </c>
      <c r="I59" s="20" t="s">
        <v>111</v>
      </c>
    </row>
    <row r="60" spans="1:9" s="21" customFormat="1" x14ac:dyDescent="0.25">
      <c r="A60" s="18" t="s">
        <v>635</v>
      </c>
      <c r="B60" s="26" t="s">
        <v>318</v>
      </c>
      <c r="C60" s="27"/>
      <c r="D60" s="22" t="s">
        <v>45</v>
      </c>
      <c r="E60" s="20" t="s">
        <v>323</v>
      </c>
      <c r="F60" s="20" t="s">
        <v>324</v>
      </c>
      <c r="G60" s="20" t="s">
        <v>325</v>
      </c>
      <c r="H60" s="20" t="s">
        <v>326</v>
      </c>
      <c r="I60" s="20" t="s">
        <v>111</v>
      </c>
    </row>
    <row r="61" spans="1:9" s="21" customFormat="1" x14ac:dyDescent="0.25">
      <c r="A61" s="18" t="s">
        <v>635</v>
      </c>
      <c r="B61" s="28" t="s">
        <v>318</v>
      </c>
      <c r="C61" s="23"/>
      <c r="D61" s="22" t="s">
        <v>45</v>
      </c>
      <c r="E61" s="20" t="s">
        <v>327</v>
      </c>
      <c r="F61" s="20" t="s">
        <v>328</v>
      </c>
      <c r="G61" s="20" t="s">
        <v>329</v>
      </c>
      <c r="H61" s="20" t="s">
        <v>330</v>
      </c>
      <c r="I61" s="20" t="s">
        <v>111</v>
      </c>
    </row>
    <row r="62" spans="1:9" s="21" customFormat="1" x14ac:dyDescent="0.25">
      <c r="A62" s="18" t="s">
        <v>635</v>
      </c>
      <c r="B62" s="25" t="s">
        <v>784</v>
      </c>
      <c r="C62" s="25"/>
      <c r="D62" s="19" t="s">
        <v>45</v>
      </c>
      <c r="E62" s="20" t="s">
        <v>331</v>
      </c>
      <c r="F62" s="20" t="s">
        <v>332</v>
      </c>
      <c r="G62" s="20" t="s">
        <v>333</v>
      </c>
      <c r="H62" s="20" t="s">
        <v>334</v>
      </c>
      <c r="I62" s="20" t="s">
        <v>193</v>
      </c>
    </row>
    <row r="63" spans="1:9" s="21" customFormat="1" x14ac:dyDescent="0.25">
      <c r="A63" s="18" t="s">
        <v>635</v>
      </c>
      <c r="B63" s="28" t="s">
        <v>784</v>
      </c>
      <c r="C63" s="28"/>
      <c r="D63" s="19" t="s">
        <v>45</v>
      </c>
      <c r="E63" s="20" t="s">
        <v>335</v>
      </c>
      <c r="F63" s="20" t="s">
        <v>336</v>
      </c>
      <c r="G63" s="20" t="s">
        <v>337</v>
      </c>
      <c r="H63" s="20" t="s">
        <v>338</v>
      </c>
      <c r="I63" s="20" t="s">
        <v>193</v>
      </c>
    </row>
    <row r="64" spans="1:9" s="21" customFormat="1" x14ac:dyDescent="0.25">
      <c r="A64" s="18" t="s">
        <v>635</v>
      </c>
      <c r="B64" s="26" t="s">
        <v>339</v>
      </c>
      <c r="C64" s="27" t="s">
        <v>340</v>
      </c>
      <c r="D64" s="27" t="s">
        <v>45</v>
      </c>
      <c r="E64" s="20" t="s">
        <v>341</v>
      </c>
      <c r="F64" s="20" t="s">
        <v>342</v>
      </c>
      <c r="G64" s="20" t="s">
        <v>343</v>
      </c>
      <c r="H64" s="20" t="s">
        <v>344</v>
      </c>
      <c r="I64" s="20" t="s">
        <v>57</v>
      </c>
    </row>
    <row r="65" spans="1:9" s="21" customFormat="1" x14ac:dyDescent="0.25">
      <c r="A65" s="18" t="s">
        <v>635</v>
      </c>
      <c r="B65" s="27" t="s">
        <v>339</v>
      </c>
      <c r="C65" s="27" t="s">
        <v>340</v>
      </c>
      <c r="D65" s="27" t="s">
        <v>45</v>
      </c>
      <c r="E65" s="20" t="s">
        <v>345</v>
      </c>
      <c r="F65" s="20" t="s">
        <v>346</v>
      </c>
      <c r="G65" s="20" t="s">
        <v>347</v>
      </c>
      <c r="H65" s="20" t="s">
        <v>348</v>
      </c>
      <c r="I65" s="20" t="s">
        <v>57</v>
      </c>
    </row>
    <row r="66" spans="1:9" s="21" customFormat="1" x14ac:dyDescent="0.25">
      <c r="A66" s="18" t="s">
        <v>635</v>
      </c>
      <c r="B66" s="27" t="s">
        <v>339</v>
      </c>
      <c r="C66" s="27" t="s">
        <v>340</v>
      </c>
      <c r="D66" s="27" t="s">
        <v>45</v>
      </c>
      <c r="E66" s="20" t="s">
        <v>349</v>
      </c>
      <c r="F66" s="20" t="s">
        <v>350</v>
      </c>
      <c r="G66" s="20" t="s">
        <v>351</v>
      </c>
      <c r="H66" s="20" t="s">
        <v>352</v>
      </c>
      <c r="I66" s="20" t="s">
        <v>57</v>
      </c>
    </row>
    <row r="67" spans="1:9" s="21" customFormat="1" x14ac:dyDescent="0.25">
      <c r="A67" s="18" t="s">
        <v>635</v>
      </c>
      <c r="B67" s="27" t="s">
        <v>339</v>
      </c>
      <c r="C67" s="27" t="s">
        <v>340</v>
      </c>
      <c r="D67" s="27" t="s">
        <v>45</v>
      </c>
      <c r="E67" s="20" t="s">
        <v>3683</v>
      </c>
      <c r="F67" s="20" t="s">
        <v>3714</v>
      </c>
      <c r="G67" s="20" t="s">
        <v>3715</v>
      </c>
      <c r="H67" s="20" t="s">
        <v>3716</v>
      </c>
      <c r="I67" s="20" t="s">
        <v>57</v>
      </c>
    </row>
    <row r="68" spans="1:9" s="21" customFormat="1" x14ac:dyDescent="0.25">
      <c r="A68" s="18" t="s">
        <v>635</v>
      </c>
      <c r="B68" s="22" t="s">
        <v>353</v>
      </c>
      <c r="C68" s="22"/>
      <c r="D68" s="22" t="s">
        <v>45</v>
      </c>
      <c r="E68" s="20" t="s">
        <v>354</v>
      </c>
      <c r="F68" s="20" t="s">
        <v>355</v>
      </c>
      <c r="G68" s="20" t="s">
        <v>356</v>
      </c>
      <c r="H68" s="20" t="s">
        <v>357</v>
      </c>
      <c r="I68" s="20" t="s">
        <v>94</v>
      </c>
    </row>
    <row r="69" spans="1:9" s="21" customFormat="1" x14ac:dyDescent="0.25">
      <c r="A69" s="18" t="s">
        <v>635</v>
      </c>
      <c r="B69" s="23" t="s">
        <v>353</v>
      </c>
      <c r="C69" s="23"/>
      <c r="D69" s="23" t="s">
        <v>45</v>
      </c>
      <c r="E69" s="20" t="s">
        <v>358</v>
      </c>
      <c r="F69" s="20" t="s">
        <v>359</v>
      </c>
      <c r="G69" s="20" t="s">
        <v>360</v>
      </c>
      <c r="H69" s="20" t="s">
        <v>357</v>
      </c>
      <c r="I69" s="20" t="s">
        <v>94</v>
      </c>
    </row>
    <row r="70" spans="1:9" s="21" customFormat="1" x14ac:dyDescent="0.25">
      <c r="A70" s="18" t="s">
        <v>635</v>
      </c>
      <c r="B70" s="22" t="s">
        <v>361</v>
      </c>
      <c r="C70" s="22"/>
      <c r="D70" s="22" t="s">
        <v>52</v>
      </c>
      <c r="E70" s="20" t="s">
        <v>362</v>
      </c>
      <c r="F70" s="20" t="s">
        <v>363</v>
      </c>
      <c r="G70" s="20" t="s">
        <v>364</v>
      </c>
      <c r="H70" s="20" t="s">
        <v>365</v>
      </c>
      <c r="I70" s="20" t="s">
        <v>57</v>
      </c>
    </row>
    <row r="71" spans="1:9" s="21" customFormat="1" x14ac:dyDescent="0.25">
      <c r="A71" s="18" t="s">
        <v>635</v>
      </c>
      <c r="B71" s="23" t="s">
        <v>361</v>
      </c>
      <c r="C71" s="23"/>
      <c r="D71" s="23" t="s">
        <v>52</v>
      </c>
      <c r="E71" s="20" t="s">
        <v>366</v>
      </c>
      <c r="F71" s="20" t="s">
        <v>367</v>
      </c>
      <c r="G71" s="20" t="s">
        <v>368</v>
      </c>
      <c r="H71" s="20" t="s">
        <v>369</v>
      </c>
      <c r="I71" s="20" t="s">
        <v>57</v>
      </c>
    </row>
    <row r="72" spans="1:9" s="21" customFormat="1" x14ac:dyDescent="0.25">
      <c r="A72" s="18" t="s">
        <v>635</v>
      </c>
      <c r="B72" s="24" t="s">
        <v>370</v>
      </c>
      <c r="C72" s="24"/>
      <c r="D72" s="24" t="s">
        <v>45</v>
      </c>
      <c r="E72" s="20" t="s">
        <v>371</v>
      </c>
      <c r="F72" s="20" t="s">
        <v>372</v>
      </c>
      <c r="G72" s="20" t="s">
        <v>373</v>
      </c>
      <c r="H72" s="20" t="s">
        <v>374</v>
      </c>
      <c r="I72" s="20" t="s">
        <v>111</v>
      </c>
    </row>
    <row r="73" spans="1:9" s="21" customFormat="1" x14ac:dyDescent="0.25">
      <c r="A73" s="18" t="s">
        <v>635</v>
      </c>
      <c r="B73" s="19" t="s">
        <v>375</v>
      </c>
      <c r="C73" s="19"/>
      <c r="D73" s="19" t="s">
        <v>52</v>
      </c>
      <c r="E73" s="20" t="s">
        <v>376</v>
      </c>
      <c r="F73" s="20" t="s">
        <v>377</v>
      </c>
      <c r="G73" s="20" t="s">
        <v>378</v>
      </c>
      <c r="H73" s="20" t="s">
        <v>379</v>
      </c>
      <c r="I73" s="20" t="s">
        <v>111</v>
      </c>
    </row>
    <row r="74" spans="1:9" s="21" customFormat="1" x14ac:dyDescent="0.25">
      <c r="A74" s="18" t="s">
        <v>635</v>
      </c>
      <c r="B74" s="22" t="s">
        <v>380</v>
      </c>
      <c r="C74" s="22" t="s">
        <v>158</v>
      </c>
      <c r="D74" s="24" t="s">
        <v>45</v>
      </c>
      <c r="E74" s="20" t="s">
        <v>381</v>
      </c>
      <c r="F74" s="20" t="s">
        <v>382</v>
      </c>
      <c r="G74" s="20" t="s">
        <v>383</v>
      </c>
      <c r="H74" s="20" t="s">
        <v>384</v>
      </c>
      <c r="I74" s="20" t="s">
        <v>57</v>
      </c>
    </row>
    <row r="75" spans="1:9" s="21" customFormat="1" x14ac:dyDescent="0.25">
      <c r="A75" s="18" t="s">
        <v>635</v>
      </c>
      <c r="B75" s="26" t="s">
        <v>380</v>
      </c>
      <c r="C75" s="27" t="s">
        <v>158</v>
      </c>
      <c r="D75" s="19" t="s">
        <v>45</v>
      </c>
      <c r="E75" s="20" t="s">
        <v>163</v>
      </c>
      <c r="F75" s="20" t="s">
        <v>164</v>
      </c>
      <c r="G75" s="20" t="s">
        <v>165</v>
      </c>
      <c r="H75" s="20" t="s">
        <v>166</v>
      </c>
      <c r="I75" s="20" t="s">
        <v>57</v>
      </c>
    </row>
    <row r="76" spans="1:9" s="21" customFormat="1" x14ac:dyDescent="0.25">
      <c r="A76" s="18" t="s">
        <v>635</v>
      </c>
      <c r="B76" s="27" t="s">
        <v>380</v>
      </c>
      <c r="C76" s="27" t="s">
        <v>158</v>
      </c>
      <c r="D76" s="24" t="s">
        <v>45</v>
      </c>
      <c r="E76" s="20" t="s">
        <v>385</v>
      </c>
      <c r="F76" s="20" t="s">
        <v>386</v>
      </c>
      <c r="G76" s="20" t="s">
        <v>387</v>
      </c>
      <c r="H76" s="20" t="s">
        <v>388</v>
      </c>
      <c r="I76" s="20" t="s">
        <v>57</v>
      </c>
    </row>
    <row r="77" spans="1:9" s="21" customFormat="1" x14ac:dyDescent="0.25">
      <c r="A77" s="18" t="s">
        <v>635</v>
      </c>
      <c r="B77" s="26" t="s">
        <v>380</v>
      </c>
      <c r="C77" s="27" t="s">
        <v>158</v>
      </c>
      <c r="D77" s="19" t="s">
        <v>45</v>
      </c>
      <c r="E77" s="20" t="s">
        <v>389</v>
      </c>
      <c r="F77" s="20" t="s">
        <v>390</v>
      </c>
      <c r="G77" s="20" t="s">
        <v>391</v>
      </c>
      <c r="H77" s="20" t="s">
        <v>392</v>
      </c>
      <c r="I77" s="20" t="s">
        <v>57</v>
      </c>
    </row>
    <row r="78" spans="1:9" s="21" customFormat="1" x14ac:dyDescent="0.25">
      <c r="A78" s="18" t="s">
        <v>635</v>
      </c>
      <c r="B78" s="27" t="s">
        <v>380</v>
      </c>
      <c r="C78" s="27" t="s">
        <v>158</v>
      </c>
      <c r="D78" s="24" t="s">
        <v>52</v>
      </c>
      <c r="E78" s="20" t="s">
        <v>411</v>
      </c>
      <c r="F78" s="20" t="s">
        <v>412</v>
      </c>
      <c r="G78" s="20" t="s">
        <v>413</v>
      </c>
      <c r="H78" s="20" t="s">
        <v>414</v>
      </c>
      <c r="I78" s="20" t="s">
        <v>57</v>
      </c>
    </row>
    <row r="79" spans="1:9" s="21" customFormat="1" x14ac:dyDescent="0.25">
      <c r="A79" s="18" t="s">
        <v>635</v>
      </c>
      <c r="B79" s="27" t="s">
        <v>380</v>
      </c>
      <c r="C79" s="27" t="s">
        <v>158</v>
      </c>
      <c r="D79" s="24" t="s">
        <v>52</v>
      </c>
      <c r="E79" s="20" t="s">
        <v>397</v>
      </c>
      <c r="F79" s="20" t="s">
        <v>398</v>
      </c>
      <c r="G79" s="20" t="s">
        <v>399</v>
      </c>
      <c r="H79" s="20" t="s">
        <v>400</v>
      </c>
      <c r="I79" s="20" t="s">
        <v>57</v>
      </c>
    </row>
    <row r="80" spans="1:9" s="21" customFormat="1" x14ac:dyDescent="0.25">
      <c r="A80" s="18" t="s">
        <v>635</v>
      </c>
      <c r="B80" s="27" t="s">
        <v>380</v>
      </c>
      <c r="C80" s="27" t="s">
        <v>158</v>
      </c>
      <c r="D80" s="24" t="s">
        <v>52</v>
      </c>
      <c r="E80" s="20" t="s">
        <v>405</v>
      </c>
      <c r="F80" s="20" t="s">
        <v>406</v>
      </c>
      <c r="G80" s="20" t="s">
        <v>407</v>
      </c>
      <c r="H80" s="20" t="s">
        <v>404</v>
      </c>
      <c r="I80" s="20" t="s">
        <v>57</v>
      </c>
    </row>
    <row r="81" spans="1:9" s="21" customFormat="1" x14ac:dyDescent="0.25">
      <c r="A81" s="18" t="s">
        <v>635</v>
      </c>
      <c r="B81" s="27" t="s">
        <v>380</v>
      </c>
      <c r="C81" s="27" t="s">
        <v>158</v>
      </c>
      <c r="D81" s="24" t="s">
        <v>52</v>
      </c>
      <c r="E81" s="20" t="s">
        <v>401</v>
      </c>
      <c r="F81" s="20" t="s">
        <v>402</v>
      </c>
      <c r="G81" s="20" t="s">
        <v>403</v>
      </c>
      <c r="H81" s="20" t="s">
        <v>404</v>
      </c>
      <c r="I81" s="20" t="s">
        <v>57</v>
      </c>
    </row>
    <row r="82" spans="1:9" s="21" customFormat="1" x14ac:dyDescent="0.25">
      <c r="A82" s="18" t="s">
        <v>635</v>
      </c>
      <c r="B82" s="27" t="s">
        <v>380</v>
      </c>
      <c r="C82" s="27" t="s">
        <v>158</v>
      </c>
      <c r="D82" s="24" t="s">
        <v>52</v>
      </c>
      <c r="E82" s="20" t="s">
        <v>408</v>
      </c>
      <c r="F82" s="20" t="s">
        <v>409</v>
      </c>
      <c r="G82" s="20" t="s">
        <v>410</v>
      </c>
      <c r="H82" s="20" t="s">
        <v>404</v>
      </c>
      <c r="I82" s="20" t="s">
        <v>57</v>
      </c>
    </row>
    <row r="83" spans="1:9" s="21" customFormat="1" x14ac:dyDescent="0.25">
      <c r="A83" s="18" t="s">
        <v>635</v>
      </c>
      <c r="B83" s="23" t="s">
        <v>380</v>
      </c>
      <c r="C83" s="23" t="s">
        <v>158</v>
      </c>
      <c r="D83" s="24" t="s">
        <v>45</v>
      </c>
      <c r="E83" s="20" t="s">
        <v>415</v>
      </c>
      <c r="F83" s="20" t="s">
        <v>416</v>
      </c>
      <c r="G83" s="20" t="s">
        <v>417</v>
      </c>
      <c r="H83" s="20" t="s">
        <v>418</v>
      </c>
      <c r="I83" s="20" t="s">
        <v>57</v>
      </c>
    </row>
    <row r="84" spans="1:9" s="21" customFormat="1" x14ac:dyDescent="0.25">
      <c r="A84" s="18" t="s">
        <v>635</v>
      </c>
      <c r="B84" s="19" t="s">
        <v>419</v>
      </c>
      <c r="C84" s="19"/>
      <c r="D84" s="19" t="s">
        <v>45</v>
      </c>
      <c r="E84" s="20" t="s">
        <v>420</v>
      </c>
      <c r="F84" s="20" t="s">
        <v>421</v>
      </c>
      <c r="G84" s="20" t="s">
        <v>422</v>
      </c>
      <c r="H84" s="20" t="s">
        <v>423</v>
      </c>
      <c r="I84" s="20" t="s">
        <v>193</v>
      </c>
    </row>
    <row r="85" spans="1:9" s="21" customFormat="1" x14ac:dyDescent="0.25">
      <c r="A85" s="18" t="s">
        <v>635</v>
      </c>
      <c r="B85" s="19" t="s">
        <v>424</v>
      </c>
      <c r="C85" s="19" t="s">
        <v>425</v>
      </c>
      <c r="D85" s="19" t="s">
        <v>52</v>
      </c>
      <c r="E85" s="20" t="s">
        <v>426</v>
      </c>
      <c r="F85" s="20" t="s">
        <v>427</v>
      </c>
      <c r="G85" s="20" t="s">
        <v>428</v>
      </c>
      <c r="H85" s="20" t="s">
        <v>429</v>
      </c>
      <c r="I85" s="20" t="s">
        <v>57</v>
      </c>
    </row>
    <row r="86" spans="1:9" s="21" customFormat="1" x14ac:dyDescent="0.25">
      <c r="A86" s="18" t="s">
        <v>635</v>
      </c>
      <c r="B86" s="19" t="s">
        <v>430</v>
      </c>
      <c r="C86" s="19"/>
      <c r="D86" s="19" t="s">
        <v>52</v>
      </c>
      <c r="E86" s="20" t="s">
        <v>431</v>
      </c>
      <c r="F86" s="20" t="s">
        <v>432</v>
      </c>
      <c r="G86" s="20" t="s">
        <v>433</v>
      </c>
      <c r="H86" s="20" t="s">
        <v>434</v>
      </c>
      <c r="I86" s="20" t="s">
        <v>57</v>
      </c>
    </row>
    <row r="87" spans="1:9" s="21" customFormat="1" x14ac:dyDescent="0.25">
      <c r="A87" s="18" t="s">
        <v>635</v>
      </c>
      <c r="B87" s="19" t="s">
        <v>435</v>
      </c>
      <c r="C87" s="19"/>
      <c r="D87" s="19" t="s">
        <v>45</v>
      </c>
      <c r="E87" s="20" t="s">
        <v>436</v>
      </c>
      <c r="F87" s="20" t="s">
        <v>437</v>
      </c>
      <c r="G87" s="20" t="s">
        <v>438</v>
      </c>
      <c r="H87" s="20" t="s">
        <v>439</v>
      </c>
      <c r="I87" s="20" t="s">
        <v>111</v>
      </c>
    </row>
    <row r="88" spans="1:9" s="21" customFormat="1" x14ac:dyDescent="0.25">
      <c r="A88" s="18" t="s">
        <v>635</v>
      </c>
      <c r="B88" s="19" t="s">
        <v>440</v>
      </c>
      <c r="C88" s="19"/>
      <c r="D88" s="19" t="s">
        <v>45</v>
      </c>
      <c r="E88" s="20" t="s">
        <v>441</v>
      </c>
      <c r="F88" s="20" t="s">
        <v>442</v>
      </c>
      <c r="G88" s="20" t="s">
        <v>443</v>
      </c>
      <c r="H88" s="20" t="s">
        <v>444</v>
      </c>
      <c r="I88" s="20" t="s">
        <v>57</v>
      </c>
    </row>
    <row r="89" spans="1:9" s="21" customFormat="1" x14ac:dyDescent="0.25">
      <c r="A89" s="18" t="s">
        <v>635</v>
      </c>
      <c r="B89" s="19" t="s">
        <v>445</v>
      </c>
      <c r="C89" s="19"/>
      <c r="D89" s="19" t="s">
        <v>45</v>
      </c>
      <c r="E89" s="20" t="s">
        <v>446</v>
      </c>
      <c r="F89" s="20" t="s">
        <v>447</v>
      </c>
      <c r="G89" s="20" t="s">
        <v>448</v>
      </c>
      <c r="H89" s="20" t="s">
        <v>449</v>
      </c>
      <c r="I89" s="20" t="s">
        <v>88</v>
      </c>
    </row>
    <row r="90" spans="1:9" s="21" customFormat="1" x14ac:dyDescent="0.25">
      <c r="A90" s="18" t="s">
        <v>635</v>
      </c>
      <c r="B90" s="19" t="s">
        <v>450</v>
      </c>
      <c r="C90" s="19" t="s">
        <v>451</v>
      </c>
      <c r="D90" s="19" t="s">
        <v>45</v>
      </c>
      <c r="E90" s="20" t="s">
        <v>452</v>
      </c>
      <c r="F90" s="20" t="s">
        <v>453</v>
      </c>
      <c r="G90" s="20" t="s">
        <v>454</v>
      </c>
      <c r="H90" s="20" t="s">
        <v>455</v>
      </c>
      <c r="I90" s="20" t="s">
        <v>88</v>
      </c>
    </row>
    <row r="91" spans="1:9" s="21" customFormat="1" x14ac:dyDescent="0.25">
      <c r="A91" s="18" t="s">
        <v>635</v>
      </c>
      <c r="B91" s="22" t="s">
        <v>456</v>
      </c>
      <c r="C91" s="22"/>
      <c r="D91" s="24" t="s">
        <v>45</v>
      </c>
      <c r="E91" s="20" t="s">
        <v>457</v>
      </c>
      <c r="F91" s="20" t="s">
        <v>458</v>
      </c>
      <c r="G91" s="20" t="s">
        <v>459</v>
      </c>
      <c r="H91" s="20" t="s">
        <v>460</v>
      </c>
      <c r="I91" s="20" t="s">
        <v>111</v>
      </c>
    </row>
    <row r="92" spans="1:9" s="21" customFormat="1" x14ac:dyDescent="0.25">
      <c r="A92" s="18" t="s">
        <v>635</v>
      </c>
      <c r="B92" s="27" t="s">
        <v>456</v>
      </c>
      <c r="C92" s="27"/>
      <c r="D92" s="24" t="s">
        <v>45</v>
      </c>
      <c r="E92" s="20" t="s">
        <v>461</v>
      </c>
      <c r="F92" s="20" t="s">
        <v>462</v>
      </c>
      <c r="G92" s="20" t="s">
        <v>463</v>
      </c>
      <c r="H92" s="20" t="s">
        <v>464</v>
      </c>
      <c r="I92" s="20" t="s">
        <v>57</v>
      </c>
    </row>
    <row r="93" spans="1:9" s="21" customFormat="1" x14ac:dyDescent="0.25">
      <c r="A93" s="18" t="s">
        <v>635</v>
      </c>
      <c r="B93" s="23" t="s">
        <v>456</v>
      </c>
      <c r="C93" s="23"/>
      <c r="D93" s="24" t="s">
        <v>45</v>
      </c>
      <c r="E93" s="20" t="s">
        <v>465</v>
      </c>
      <c r="F93" s="20" t="s">
        <v>466</v>
      </c>
      <c r="G93" s="20" t="s">
        <v>467</v>
      </c>
      <c r="H93" s="20" t="s">
        <v>468</v>
      </c>
      <c r="I93" s="20" t="s">
        <v>57</v>
      </c>
    </row>
    <row r="94" spans="1:9" s="21" customFormat="1" x14ac:dyDescent="0.25">
      <c r="A94" s="18" t="s">
        <v>635</v>
      </c>
      <c r="B94" s="24" t="s">
        <v>469</v>
      </c>
      <c r="C94" s="24" t="s">
        <v>470</v>
      </c>
      <c r="D94" s="24" t="s">
        <v>45</v>
      </c>
      <c r="E94" s="20" t="s">
        <v>471</v>
      </c>
      <c r="F94" s="20" t="s">
        <v>472</v>
      </c>
      <c r="G94" s="20" t="s">
        <v>473</v>
      </c>
      <c r="H94" s="20" t="s">
        <v>474</v>
      </c>
      <c r="I94" s="20" t="s">
        <v>135</v>
      </c>
    </row>
    <row r="95" spans="1:9" s="21" customFormat="1" x14ac:dyDescent="0.25">
      <c r="A95" s="18" t="s">
        <v>635</v>
      </c>
      <c r="B95" s="24" t="s">
        <v>475</v>
      </c>
      <c r="C95" s="24"/>
      <c r="D95" s="24" t="s">
        <v>45</v>
      </c>
      <c r="E95" s="20" t="s">
        <v>476</v>
      </c>
      <c r="F95" s="20" t="s">
        <v>477</v>
      </c>
      <c r="G95" s="20" t="s">
        <v>478</v>
      </c>
      <c r="H95" s="20" t="s">
        <v>479</v>
      </c>
      <c r="I95" s="20" t="s">
        <v>77</v>
      </c>
    </row>
    <row r="96" spans="1:9" s="21" customFormat="1" x14ac:dyDescent="0.25">
      <c r="A96" s="18" t="s">
        <v>635</v>
      </c>
      <c r="B96" s="24" t="s">
        <v>480</v>
      </c>
      <c r="C96" s="24" t="s">
        <v>481</v>
      </c>
      <c r="D96" s="24" t="s">
        <v>45</v>
      </c>
      <c r="E96" s="20" t="s">
        <v>482</v>
      </c>
      <c r="F96" s="20" t="s">
        <v>483</v>
      </c>
      <c r="G96" s="20" t="s">
        <v>484</v>
      </c>
      <c r="H96" s="20" t="s">
        <v>485</v>
      </c>
      <c r="I96" s="20" t="s">
        <v>135</v>
      </c>
    </row>
    <row r="97" spans="1:9" s="21" customFormat="1" x14ac:dyDescent="0.25">
      <c r="A97" s="18" t="s">
        <v>635</v>
      </c>
      <c r="B97" s="25" t="s">
        <v>486</v>
      </c>
      <c r="C97" s="25"/>
      <c r="D97" s="19" t="s">
        <v>52</v>
      </c>
      <c r="E97" s="20" t="s">
        <v>487</v>
      </c>
      <c r="F97" s="20" t="s">
        <v>488</v>
      </c>
      <c r="G97" s="20" t="s">
        <v>489</v>
      </c>
      <c r="H97" s="20" t="s">
        <v>490</v>
      </c>
      <c r="I97" s="20" t="s">
        <v>111</v>
      </c>
    </row>
    <row r="98" spans="1:9" s="21" customFormat="1" x14ac:dyDescent="0.25">
      <c r="A98" s="18" t="s">
        <v>635</v>
      </c>
      <c r="B98" s="28" t="s">
        <v>486</v>
      </c>
      <c r="C98" s="28"/>
      <c r="D98" s="19" t="s">
        <v>52</v>
      </c>
      <c r="E98" s="20" t="s">
        <v>491</v>
      </c>
      <c r="F98" s="20" t="s">
        <v>492</v>
      </c>
      <c r="G98" s="20" t="s">
        <v>493</v>
      </c>
      <c r="H98" s="20" t="s">
        <v>494</v>
      </c>
      <c r="I98" s="20" t="s">
        <v>111</v>
      </c>
    </row>
    <row r="99" spans="1:9" s="21" customFormat="1" x14ac:dyDescent="0.25">
      <c r="A99" s="18" t="s">
        <v>635</v>
      </c>
      <c r="B99" s="19" t="s">
        <v>495</v>
      </c>
      <c r="C99" s="19"/>
      <c r="D99" s="19" t="s">
        <v>52</v>
      </c>
      <c r="E99" s="20" t="s">
        <v>496</v>
      </c>
      <c r="F99" s="20" t="s">
        <v>497</v>
      </c>
      <c r="G99" s="20" t="s">
        <v>498</v>
      </c>
      <c r="H99" s="20" t="s">
        <v>499</v>
      </c>
      <c r="I99" s="20" t="s">
        <v>57</v>
      </c>
    </row>
    <row r="100" spans="1:9" s="21" customFormat="1" x14ac:dyDescent="0.25">
      <c r="A100" s="18" t="s">
        <v>635</v>
      </c>
      <c r="B100" s="19" t="s">
        <v>500</v>
      </c>
      <c r="C100" s="19"/>
      <c r="D100" s="19" t="s">
        <v>52</v>
      </c>
      <c r="E100" s="20" t="s">
        <v>501</v>
      </c>
      <c r="F100" s="20" t="s">
        <v>502</v>
      </c>
      <c r="G100" s="20" t="s">
        <v>503</v>
      </c>
      <c r="H100" s="20" t="s">
        <v>504</v>
      </c>
      <c r="I100" s="20" t="s">
        <v>88</v>
      </c>
    </row>
    <row r="101" spans="1:9" s="21" customFormat="1" x14ac:dyDescent="0.25">
      <c r="A101" s="18" t="s">
        <v>635</v>
      </c>
      <c r="B101" s="19" t="s">
        <v>505</v>
      </c>
      <c r="C101" s="19"/>
      <c r="D101" s="19" t="s">
        <v>45</v>
      </c>
      <c r="E101" s="20" t="s">
        <v>506</v>
      </c>
      <c r="F101" s="20" t="s">
        <v>507</v>
      </c>
      <c r="G101" s="20" t="s">
        <v>508</v>
      </c>
      <c r="H101" s="20" t="s">
        <v>509</v>
      </c>
      <c r="I101" s="20" t="s">
        <v>193</v>
      </c>
    </row>
    <row r="102" spans="1:9" s="21" customFormat="1" x14ac:dyDescent="0.25">
      <c r="A102" s="18" t="s">
        <v>635</v>
      </c>
      <c r="B102" s="19" t="s">
        <v>510</v>
      </c>
      <c r="C102" s="19" t="s">
        <v>511</v>
      </c>
      <c r="D102" s="19" t="s">
        <v>45</v>
      </c>
      <c r="E102" s="20" t="s">
        <v>512</v>
      </c>
      <c r="F102" s="20" t="s">
        <v>513</v>
      </c>
      <c r="G102" s="20" t="s">
        <v>514</v>
      </c>
      <c r="H102" s="20" t="s">
        <v>515</v>
      </c>
      <c r="I102" s="20" t="s">
        <v>57</v>
      </c>
    </row>
    <row r="103" spans="1:9" s="21" customFormat="1" x14ac:dyDescent="0.25">
      <c r="A103" s="18" t="s">
        <v>635</v>
      </c>
      <c r="B103" s="19" t="s">
        <v>510</v>
      </c>
      <c r="C103" s="19" t="s">
        <v>511</v>
      </c>
      <c r="D103" s="19" t="s">
        <v>45</v>
      </c>
      <c r="E103" s="20" t="s">
        <v>516</v>
      </c>
      <c r="F103" s="20" t="s">
        <v>517</v>
      </c>
      <c r="G103" s="20" t="s">
        <v>518</v>
      </c>
      <c r="H103" s="20" t="s">
        <v>519</v>
      </c>
      <c r="I103" s="20" t="s">
        <v>520</v>
      </c>
    </row>
    <row r="104" spans="1:9" s="21" customFormat="1" x14ac:dyDescent="0.25">
      <c r="A104" s="18" t="s">
        <v>635</v>
      </c>
      <c r="B104" s="25" t="s">
        <v>521</v>
      </c>
      <c r="C104" s="25"/>
      <c r="D104" s="19" t="s">
        <v>52</v>
      </c>
      <c r="E104" s="20" t="s">
        <v>522</v>
      </c>
      <c r="F104" s="20" t="s">
        <v>523</v>
      </c>
      <c r="G104" s="20" t="s">
        <v>524</v>
      </c>
      <c r="H104" s="20" t="s">
        <v>525</v>
      </c>
      <c r="I104" s="20" t="s">
        <v>526</v>
      </c>
    </row>
    <row r="105" spans="1:9" s="21" customFormat="1" x14ac:dyDescent="0.25">
      <c r="A105" s="18" t="s">
        <v>635</v>
      </c>
      <c r="B105" s="22" t="s">
        <v>527</v>
      </c>
      <c r="C105" s="22" t="s">
        <v>528</v>
      </c>
      <c r="D105" s="24" t="s">
        <v>52</v>
      </c>
      <c r="E105" s="20" t="s">
        <v>533</v>
      </c>
      <c r="F105" s="20" t="s">
        <v>534</v>
      </c>
      <c r="G105" s="20" t="s">
        <v>535</v>
      </c>
      <c r="H105" s="20" t="s">
        <v>536</v>
      </c>
      <c r="I105" s="20" t="s">
        <v>57</v>
      </c>
    </row>
    <row r="106" spans="1:9" s="21" customFormat="1" x14ac:dyDescent="0.25">
      <c r="A106" s="18" t="s">
        <v>635</v>
      </c>
      <c r="B106" s="23" t="s">
        <v>527</v>
      </c>
      <c r="C106" s="23" t="s">
        <v>528</v>
      </c>
      <c r="D106" s="24" t="s">
        <v>52</v>
      </c>
      <c r="E106" s="20" t="s">
        <v>529</v>
      </c>
      <c r="F106" s="20" t="s">
        <v>530</v>
      </c>
      <c r="G106" s="20" t="s">
        <v>531</v>
      </c>
      <c r="H106" s="20" t="s">
        <v>532</v>
      </c>
      <c r="I106" s="20" t="s">
        <v>57</v>
      </c>
    </row>
    <row r="107" spans="1:9" s="21" customFormat="1" x14ac:dyDescent="0.25">
      <c r="A107" s="18" t="s">
        <v>635</v>
      </c>
      <c r="B107" s="24" t="s">
        <v>537</v>
      </c>
      <c r="C107" s="24" t="s">
        <v>158</v>
      </c>
      <c r="D107" s="24" t="s">
        <v>45</v>
      </c>
      <c r="E107" s="20" t="s">
        <v>538</v>
      </c>
      <c r="F107" s="20" t="s">
        <v>539</v>
      </c>
      <c r="G107" s="20" t="s">
        <v>540</v>
      </c>
      <c r="H107" s="20" t="s">
        <v>541</v>
      </c>
      <c r="I107" s="20" t="s">
        <v>57</v>
      </c>
    </row>
    <row r="108" spans="1:9" s="21" customFormat="1" x14ac:dyDescent="0.25">
      <c r="A108" s="18" t="s">
        <v>635</v>
      </c>
      <c r="B108" s="22" t="s">
        <v>542</v>
      </c>
      <c r="C108" s="22"/>
      <c r="D108" s="24" t="s">
        <v>45</v>
      </c>
      <c r="E108" s="20" t="s">
        <v>543</v>
      </c>
      <c r="F108" s="20" t="s">
        <v>544</v>
      </c>
      <c r="G108" s="20" t="s">
        <v>545</v>
      </c>
      <c r="H108" s="20" t="s">
        <v>546</v>
      </c>
      <c r="I108" s="20" t="s">
        <v>547</v>
      </c>
    </row>
    <row r="109" spans="1:9" s="21" customFormat="1" x14ac:dyDescent="0.25">
      <c r="A109" s="18" t="s">
        <v>635</v>
      </c>
      <c r="B109" s="28" t="s">
        <v>542</v>
      </c>
      <c r="C109" s="28"/>
      <c r="D109" s="19" t="s">
        <v>45</v>
      </c>
      <c r="E109" s="20" t="s">
        <v>548</v>
      </c>
      <c r="F109" s="20" t="s">
        <v>549</v>
      </c>
      <c r="G109" s="20" t="s">
        <v>550</v>
      </c>
      <c r="H109" s="20" t="s">
        <v>551</v>
      </c>
      <c r="I109" s="20" t="s">
        <v>111</v>
      </c>
    </row>
    <row r="110" spans="1:9" s="21" customFormat="1" x14ac:dyDescent="0.25">
      <c r="A110" s="18" t="s">
        <v>635</v>
      </c>
      <c r="B110" s="19" t="s">
        <v>552</v>
      </c>
      <c r="C110" s="19"/>
      <c r="D110" s="19" t="s">
        <v>52</v>
      </c>
      <c r="E110" s="20" t="s">
        <v>553</v>
      </c>
      <c r="F110" s="20" t="s">
        <v>554</v>
      </c>
      <c r="G110" s="20" t="s">
        <v>555</v>
      </c>
      <c r="H110" s="20" t="s">
        <v>556</v>
      </c>
      <c r="I110" s="20" t="s">
        <v>57</v>
      </c>
    </row>
    <row r="111" spans="1:9" s="21" customFormat="1" x14ac:dyDescent="0.25">
      <c r="A111" s="18" t="s">
        <v>635</v>
      </c>
      <c r="B111" s="25" t="s">
        <v>557</v>
      </c>
      <c r="C111" s="25"/>
      <c r="D111" s="19" t="s">
        <v>45</v>
      </c>
      <c r="E111" s="20" t="s">
        <v>558</v>
      </c>
      <c r="F111" s="20" t="s">
        <v>559</v>
      </c>
      <c r="G111" s="20" t="s">
        <v>560</v>
      </c>
      <c r="H111" s="20" t="s">
        <v>561</v>
      </c>
      <c r="I111" s="20" t="s">
        <v>94</v>
      </c>
    </row>
    <row r="112" spans="1:9" s="21" customFormat="1" x14ac:dyDescent="0.25">
      <c r="A112" s="18" t="s">
        <v>635</v>
      </c>
      <c r="B112" s="22" t="s">
        <v>562</v>
      </c>
      <c r="C112" s="22"/>
      <c r="D112" s="24" t="s">
        <v>45</v>
      </c>
      <c r="E112" s="20" t="s">
        <v>563</v>
      </c>
      <c r="F112" s="20" t="s">
        <v>564</v>
      </c>
      <c r="G112" s="20" t="s">
        <v>565</v>
      </c>
      <c r="H112" s="20" t="s">
        <v>566</v>
      </c>
      <c r="I112" s="20" t="s">
        <v>111</v>
      </c>
    </row>
    <row r="113" spans="1:12" s="21" customFormat="1" x14ac:dyDescent="0.25">
      <c r="A113" s="18" t="s">
        <v>635</v>
      </c>
      <c r="B113" s="27" t="s">
        <v>562</v>
      </c>
      <c r="C113" s="27"/>
      <c r="D113" s="24" t="s">
        <v>45</v>
      </c>
      <c r="E113" s="20" t="s">
        <v>567</v>
      </c>
      <c r="F113" s="20" t="s">
        <v>568</v>
      </c>
      <c r="G113" s="20" t="s">
        <v>569</v>
      </c>
      <c r="H113" s="20" t="s">
        <v>566</v>
      </c>
      <c r="I113" s="20" t="s">
        <v>111</v>
      </c>
    </row>
    <row r="114" spans="1:12" s="21" customFormat="1" x14ac:dyDescent="0.25">
      <c r="A114" s="18" t="s">
        <v>635</v>
      </c>
      <c r="B114" s="23" t="s">
        <v>562</v>
      </c>
      <c r="C114" s="23"/>
      <c r="D114" s="24" t="s">
        <v>45</v>
      </c>
      <c r="E114" s="20" t="s">
        <v>570</v>
      </c>
      <c r="F114" s="20" t="s">
        <v>571</v>
      </c>
      <c r="G114" s="20" t="s">
        <v>572</v>
      </c>
      <c r="H114" s="20" t="s">
        <v>566</v>
      </c>
      <c r="I114" s="20" t="s">
        <v>111</v>
      </c>
    </row>
    <row r="115" spans="1:12" s="21" customFormat="1" x14ac:dyDescent="0.25">
      <c r="A115" s="18" t="s">
        <v>635</v>
      </c>
      <c r="B115" s="23" t="s">
        <v>573</v>
      </c>
      <c r="C115" s="23"/>
      <c r="D115" s="24" t="s">
        <v>52</v>
      </c>
      <c r="E115" s="20" t="s">
        <v>574</v>
      </c>
      <c r="F115" s="20" t="s">
        <v>575</v>
      </c>
      <c r="G115" s="20" t="s">
        <v>576</v>
      </c>
      <c r="H115" s="20" t="s">
        <v>577</v>
      </c>
      <c r="I115" s="20" t="s">
        <v>57</v>
      </c>
    </row>
    <row r="116" spans="1:12" s="21" customFormat="1" x14ac:dyDescent="0.25">
      <c r="A116" s="18" t="s">
        <v>635</v>
      </c>
      <c r="B116" s="24" t="s">
        <v>578</v>
      </c>
      <c r="C116" s="24"/>
      <c r="D116" s="24" t="s">
        <v>52</v>
      </c>
      <c r="E116" s="20" t="s">
        <v>579</v>
      </c>
      <c r="F116" s="20" t="s">
        <v>580</v>
      </c>
      <c r="G116" s="20" t="s">
        <v>581</v>
      </c>
      <c r="H116" s="20" t="s">
        <v>582</v>
      </c>
      <c r="I116" s="20" t="s">
        <v>57</v>
      </c>
    </row>
    <row r="117" spans="1:12" s="21" customFormat="1" x14ac:dyDescent="0.25">
      <c r="A117" s="18" t="s">
        <v>635</v>
      </c>
      <c r="B117" s="24" t="s">
        <v>583</v>
      </c>
      <c r="C117" s="24"/>
      <c r="D117" s="24" t="s">
        <v>45</v>
      </c>
      <c r="E117" s="20" t="s">
        <v>584</v>
      </c>
      <c r="F117" s="20" t="s">
        <v>585</v>
      </c>
      <c r="G117" s="20" t="s">
        <v>586</v>
      </c>
      <c r="H117" s="20" t="s">
        <v>587</v>
      </c>
      <c r="I117" s="20" t="s">
        <v>193</v>
      </c>
    </row>
    <row r="118" spans="1:12" s="21" customFormat="1" x14ac:dyDescent="0.25">
      <c r="A118" s="18" t="s">
        <v>635</v>
      </c>
      <c r="B118" s="25" t="s">
        <v>588</v>
      </c>
      <c r="C118" s="25"/>
      <c r="D118" s="25" t="s">
        <v>45</v>
      </c>
      <c r="E118" s="20" t="s">
        <v>589</v>
      </c>
      <c r="F118" s="20" t="s">
        <v>590</v>
      </c>
      <c r="G118" s="20" t="s">
        <v>591</v>
      </c>
      <c r="H118" s="20" t="s">
        <v>592</v>
      </c>
      <c r="I118" s="20" t="s">
        <v>57</v>
      </c>
    </row>
    <row r="119" spans="1:12" s="21" customFormat="1" x14ac:dyDescent="0.25">
      <c r="A119" s="18" t="s">
        <v>635</v>
      </c>
      <c r="B119" s="28" t="s">
        <v>588</v>
      </c>
      <c r="C119" s="28"/>
      <c r="D119" s="28" t="s">
        <v>45</v>
      </c>
      <c r="E119" s="20" t="s">
        <v>593</v>
      </c>
      <c r="F119" s="20" t="s">
        <v>594</v>
      </c>
      <c r="G119" s="20" t="s">
        <v>595</v>
      </c>
      <c r="H119" s="20" t="s">
        <v>596</v>
      </c>
      <c r="I119" s="20" t="s">
        <v>57</v>
      </c>
    </row>
    <row r="120" spans="1:12" s="21" customFormat="1" x14ac:dyDescent="0.25">
      <c r="A120" s="18" t="s">
        <v>635</v>
      </c>
      <c r="B120" s="19" t="s">
        <v>597</v>
      </c>
      <c r="C120" s="19"/>
      <c r="D120" s="19" t="s">
        <v>45</v>
      </c>
      <c r="E120" s="20" t="s">
        <v>598</v>
      </c>
      <c r="F120" s="20" t="s">
        <v>599</v>
      </c>
      <c r="G120" s="20" t="s">
        <v>600</v>
      </c>
      <c r="H120" s="20" t="s">
        <v>601</v>
      </c>
      <c r="I120" s="20" t="s">
        <v>57</v>
      </c>
    </row>
    <row r="121" spans="1:12" s="21" customFormat="1" x14ac:dyDescent="0.25">
      <c r="A121" s="18" t="s">
        <v>635</v>
      </c>
      <c r="B121" s="19" t="s">
        <v>602</v>
      </c>
      <c r="C121" s="19"/>
      <c r="D121" s="19" t="s">
        <v>52</v>
      </c>
      <c r="E121" s="20" t="s">
        <v>603</v>
      </c>
      <c r="F121" s="20" t="s">
        <v>604</v>
      </c>
      <c r="G121" s="20" t="s">
        <v>605</v>
      </c>
      <c r="H121" s="20" t="s">
        <v>606</v>
      </c>
      <c r="I121" s="20" t="s">
        <v>607</v>
      </c>
    </row>
    <row r="122" spans="1:12" s="21" customFormat="1" x14ac:dyDescent="0.25">
      <c r="A122" s="18" t="s">
        <v>635</v>
      </c>
      <c r="B122" s="19" t="s">
        <v>608</v>
      </c>
      <c r="C122" s="19"/>
      <c r="D122" s="19" t="s">
        <v>52</v>
      </c>
      <c r="E122" s="20" t="s">
        <v>609</v>
      </c>
      <c r="F122" s="20" t="s">
        <v>610</v>
      </c>
      <c r="G122" s="20" t="s">
        <v>611</v>
      </c>
      <c r="H122" s="20" t="s">
        <v>612</v>
      </c>
      <c r="I122" s="20" t="s">
        <v>57</v>
      </c>
    </row>
    <row r="123" spans="1:12" s="21" customFormat="1" x14ac:dyDescent="0.25">
      <c r="A123" s="18" t="s">
        <v>635</v>
      </c>
      <c r="B123" s="25" t="s">
        <v>613</v>
      </c>
      <c r="C123" s="25"/>
      <c r="D123" s="19" t="s">
        <v>45</v>
      </c>
      <c r="E123" s="20" t="s">
        <v>614</v>
      </c>
      <c r="F123" s="20" t="s">
        <v>615</v>
      </c>
      <c r="G123" s="20" t="s">
        <v>616</v>
      </c>
      <c r="H123" s="20" t="s">
        <v>617</v>
      </c>
      <c r="I123" s="20" t="s">
        <v>88</v>
      </c>
    </row>
    <row r="124" spans="1:12" s="21" customFormat="1" x14ac:dyDescent="0.25">
      <c r="A124" s="18" t="s">
        <v>635</v>
      </c>
      <c r="B124" s="28" t="s">
        <v>613</v>
      </c>
      <c r="C124" s="28"/>
      <c r="D124" s="19" t="s">
        <v>52</v>
      </c>
      <c r="E124" s="20" t="s">
        <v>618</v>
      </c>
      <c r="F124" s="20" t="s">
        <v>619</v>
      </c>
      <c r="G124" s="20" t="s">
        <v>620</v>
      </c>
      <c r="H124" s="20" t="s">
        <v>621</v>
      </c>
      <c r="I124" s="20" t="s">
        <v>57</v>
      </c>
    </row>
    <row r="125" spans="1:12" s="21" customFormat="1" x14ac:dyDescent="0.25">
      <c r="A125" s="18" t="s">
        <v>635</v>
      </c>
      <c r="B125" s="27" t="s">
        <v>622</v>
      </c>
      <c r="C125" s="27" t="s">
        <v>528</v>
      </c>
      <c r="D125" s="24" t="s">
        <v>52</v>
      </c>
      <c r="E125" s="20" t="s">
        <v>623</v>
      </c>
      <c r="F125" s="20" t="s">
        <v>624</v>
      </c>
      <c r="G125" s="20" t="s">
        <v>625</v>
      </c>
      <c r="H125" s="20" t="s">
        <v>626</v>
      </c>
      <c r="I125" s="20" t="s">
        <v>135</v>
      </c>
    </row>
    <row r="126" spans="1:12" s="21" customFormat="1" x14ac:dyDescent="0.25">
      <c r="A126" s="18" t="s">
        <v>635</v>
      </c>
      <c r="B126" s="23" t="s">
        <v>622</v>
      </c>
      <c r="C126" s="23" t="s">
        <v>528</v>
      </c>
      <c r="D126" s="24" t="s">
        <v>52</v>
      </c>
      <c r="E126" s="20" t="s">
        <v>627</v>
      </c>
      <c r="F126" s="20" t="s">
        <v>628</v>
      </c>
      <c r="G126" s="20" t="s">
        <v>629</v>
      </c>
      <c r="H126" s="20" t="s">
        <v>630</v>
      </c>
      <c r="I126" s="20" t="s">
        <v>57</v>
      </c>
    </row>
    <row r="127" spans="1:12" s="35" customFormat="1" x14ac:dyDescent="0.25">
      <c r="A127" s="29" t="s">
        <v>636</v>
      </c>
      <c r="B127" s="30" t="s">
        <v>709</v>
      </c>
      <c r="C127" s="30"/>
      <c r="D127" s="30" t="s">
        <v>45</v>
      </c>
      <c r="E127" s="31" t="s">
        <v>637</v>
      </c>
      <c r="F127" s="31" t="s">
        <v>638</v>
      </c>
      <c r="G127" s="32" t="s">
        <v>2769</v>
      </c>
      <c r="H127" s="31" t="s">
        <v>639</v>
      </c>
      <c r="I127" s="31" t="s">
        <v>640</v>
      </c>
      <c r="J127" s="33"/>
      <c r="K127" s="33"/>
      <c r="L127" s="34"/>
    </row>
    <row r="128" spans="1:12" s="35" customFormat="1" x14ac:dyDescent="0.25">
      <c r="A128" s="29" t="s">
        <v>636</v>
      </c>
      <c r="B128" s="30" t="s">
        <v>710</v>
      </c>
      <c r="C128" s="30"/>
      <c r="D128" s="30" t="s">
        <v>45</v>
      </c>
      <c r="E128" s="31" t="s">
        <v>641</v>
      </c>
      <c r="F128" s="31" t="s">
        <v>642</v>
      </c>
      <c r="G128" s="32" t="s">
        <v>2772</v>
      </c>
      <c r="H128" s="31" t="s">
        <v>643</v>
      </c>
      <c r="I128" s="31" t="s">
        <v>193</v>
      </c>
      <c r="J128" s="33"/>
      <c r="K128" s="33"/>
      <c r="L128" s="34"/>
    </row>
    <row r="129" spans="1:12" s="35" customFormat="1" x14ac:dyDescent="0.25">
      <c r="A129" s="29" t="s">
        <v>636</v>
      </c>
      <c r="B129" s="30" t="s">
        <v>711</v>
      </c>
      <c r="C129" s="30"/>
      <c r="D129" s="30" t="s">
        <v>45</v>
      </c>
      <c r="E129" s="31" t="s">
        <v>644</v>
      </c>
      <c r="F129" s="31" t="s">
        <v>645</v>
      </c>
      <c r="G129" s="32" t="s">
        <v>2776</v>
      </c>
      <c r="H129" s="31" t="s">
        <v>646</v>
      </c>
      <c r="I129" s="31" t="s">
        <v>111</v>
      </c>
      <c r="J129" s="33"/>
      <c r="K129" s="33"/>
      <c r="L129" s="34"/>
    </row>
    <row r="130" spans="1:12" s="35" customFormat="1" x14ac:dyDescent="0.25">
      <c r="A130" s="29" t="s">
        <v>636</v>
      </c>
      <c r="B130" s="30" t="s">
        <v>712</v>
      </c>
      <c r="C130" s="30"/>
      <c r="D130" s="30" t="s">
        <v>45</v>
      </c>
      <c r="E130" s="31" t="s">
        <v>647</v>
      </c>
      <c r="F130" s="31" t="s">
        <v>648</v>
      </c>
      <c r="G130" s="32" t="s">
        <v>2780</v>
      </c>
      <c r="H130" s="31" t="s">
        <v>649</v>
      </c>
      <c r="I130" s="31" t="s">
        <v>57</v>
      </c>
      <c r="J130" s="33"/>
      <c r="K130" s="33"/>
      <c r="L130" s="34"/>
    </row>
    <row r="131" spans="1:12" s="35" customFormat="1" x14ac:dyDescent="0.25">
      <c r="A131" s="29" t="s">
        <v>636</v>
      </c>
      <c r="B131" s="30" t="s">
        <v>713</v>
      </c>
      <c r="C131" s="30"/>
      <c r="D131" s="30" t="s">
        <v>45</v>
      </c>
      <c r="E131" s="31" t="s">
        <v>650</v>
      </c>
      <c r="F131" s="31" t="s">
        <v>651</v>
      </c>
      <c r="G131" s="32" t="s">
        <v>2784</v>
      </c>
      <c r="H131" s="31" t="s">
        <v>652</v>
      </c>
      <c r="I131" s="31" t="s">
        <v>193</v>
      </c>
      <c r="J131" s="33"/>
      <c r="K131" s="33"/>
      <c r="L131" s="34"/>
    </row>
    <row r="132" spans="1:12" s="35" customFormat="1" x14ac:dyDescent="0.25">
      <c r="A132" s="29" t="s">
        <v>636</v>
      </c>
      <c r="B132" s="30" t="s">
        <v>714</v>
      </c>
      <c r="C132" s="30"/>
      <c r="D132" s="30" t="s">
        <v>45</v>
      </c>
      <c r="E132" s="31" t="s">
        <v>653</v>
      </c>
      <c r="F132" s="31" t="s">
        <v>654</v>
      </c>
      <c r="G132" s="32" t="s">
        <v>2787</v>
      </c>
      <c r="H132" s="31" t="s">
        <v>655</v>
      </c>
      <c r="I132" s="31" t="s">
        <v>135</v>
      </c>
      <c r="J132" s="33"/>
      <c r="K132" s="33"/>
      <c r="L132" s="34"/>
    </row>
    <row r="133" spans="1:12" s="35" customFormat="1" x14ac:dyDescent="0.25">
      <c r="A133" s="29" t="s">
        <v>636</v>
      </c>
      <c r="B133" s="30" t="s">
        <v>715</v>
      </c>
      <c r="C133" s="30"/>
      <c r="D133" s="30" t="s">
        <v>45</v>
      </c>
      <c r="E133" s="31" t="s">
        <v>656</v>
      </c>
      <c r="F133" s="31" t="s">
        <v>657</v>
      </c>
      <c r="G133" s="32" t="s">
        <v>2791</v>
      </c>
      <c r="H133" s="31" t="s">
        <v>658</v>
      </c>
      <c r="I133" s="31" t="s">
        <v>57</v>
      </c>
      <c r="J133" s="33"/>
      <c r="K133" s="33"/>
      <c r="L133" s="34"/>
    </row>
    <row r="134" spans="1:12" s="35" customFormat="1" x14ac:dyDescent="0.25">
      <c r="A134" s="29" t="s">
        <v>636</v>
      </c>
      <c r="B134" s="30" t="s">
        <v>716</v>
      </c>
      <c r="C134" s="30"/>
      <c r="D134" s="30" t="s">
        <v>45</v>
      </c>
      <c r="E134" s="31" t="s">
        <v>659</v>
      </c>
      <c r="F134" s="31" t="s">
        <v>660</v>
      </c>
      <c r="G134" s="32" t="s">
        <v>2795</v>
      </c>
      <c r="H134" s="31" t="s">
        <v>661</v>
      </c>
      <c r="I134" s="31" t="s">
        <v>142</v>
      </c>
      <c r="J134" s="33"/>
      <c r="K134" s="33"/>
      <c r="L134" s="34"/>
    </row>
    <row r="135" spans="1:12" s="35" customFormat="1" x14ac:dyDescent="0.25">
      <c r="A135" s="29" t="s">
        <v>636</v>
      </c>
      <c r="B135" s="30" t="s">
        <v>717</v>
      </c>
      <c r="C135" s="30"/>
      <c r="D135" s="30" t="s">
        <v>45</v>
      </c>
      <c r="E135" s="31" t="s">
        <v>662</v>
      </c>
      <c r="F135" s="31" t="s">
        <v>663</v>
      </c>
      <c r="G135" s="32" t="s">
        <v>2796</v>
      </c>
      <c r="H135" s="31" t="s">
        <v>664</v>
      </c>
      <c r="I135" s="31" t="s">
        <v>665</v>
      </c>
      <c r="J135" s="33"/>
      <c r="K135" s="33"/>
      <c r="L135" s="34"/>
    </row>
    <row r="136" spans="1:12" s="35" customFormat="1" x14ac:dyDescent="0.25">
      <c r="A136" s="29" t="s">
        <v>636</v>
      </c>
      <c r="B136" s="30" t="s">
        <v>718</v>
      </c>
      <c r="C136" s="30"/>
      <c r="D136" s="30" t="s">
        <v>45</v>
      </c>
      <c r="E136" s="31" t="s">
        <v>666</v>
      </c>
      <c r="F136" s="31" t="s">
        <v>667</v>
      </c>
      <c r="G136" s="32" t="s">
        <v>2799</v>
      </c>
      <c r="H136" s="31" t="s">
        <v>668</v>
      </c>
      <c r="I136" s="31" t="s">
        <v>135</v>
      </c>
      <c r="J136" s="33"/>
      <c r="K136" s="33"/>
      <c r="L136" s="34"/>
    </row>
    <row r="137" spans="1:12" s="35" customFormat="1" x14ac:dyDescent="0.25">
      <c r="A137" s="29" t="s">
        <v>636</v>
      </c>
      <c r="B137" s="30" t="s">
        <v>719</v>
      </c>
      <c r="C137" s="30"/>
      <c r="D137" s="30" t="s">
        <v>45</v>
      </c>
      <c r="E137" s="31" t="s">
        <v>669</v>
      </c>
      <c r="F137" s="31" t="s">
        <v>670</v>
      </c>
      <c r="G137" s="32" t="s">
        <v>2802</v>
      </c>
      <c r="H137" s="31" t="s">
        <v>671</v>
      </c>
      <c r="I137" s="31" t="s">
        <v>57</v>
      </c>
      <c r="J137" s="33"/>
      <c r="K137" s="33"/>
      <c r="L137" s="34"/>
    </row>
    <row r="138" spans="1:12" s="35" customFormat="1" x14ac:dyDescent="0.25">
      <c r="A138" s="29" t="s">
        <v>636</v>
      </c>
      <c r="B138" s="30" t="s">
        <v>720</v>
      </c>
      <c r="C138" s="30"/>
      <c r="D138" s="30" t="s">
        <v>45</v>
      </c>
      <c r="E138" s="31" t="s">
        <v>672</v>
      </c>
      <c r="F138" s="31" t="s">
        <v>673</v>
      </c>
      <c r="G138" s="32" t="s">
        <v>2804</v>
      </c>
      <c r="H138" s="31" t="s">
        <v>674</v>
      </c>
      <c r="I138" s="31" t="s">
        <v>193</v>
      </c>
      <c r="J138" s="33"/>
      <c r="K138" s="33"/>
      <c r="L138" s="34"/>
    </row>
    <row r="139" spans="1:12" s="35" customFormat="1" x14ac:dyDescent="0.25">
      <c r="A139" s="29" t="s">
        <v>636</v>
      </c>
      <c r="B139" s="30" t="s">
        <v>721</v>
      </c>
      <c r="C139" s="30"/>
      <c r="D139" s="30" t="s">
        <v>45</v>
      </c>
      <c r="E139" s="31" t="s">
        <v>675</v>
      </c>
      <c r="F139" s="31" t="s">
        <v>676</v>
      </c>
      <c r="G139" s="32" t="s">
        <v>2806</v>
      </c>
      <c r="H139" s="31" t="s">
        <v>677</v>
      </c>
      <c r="I139" s="31" t="s">
        <v>193</v>
      </c>
      <c r="J139" s="33"/>
      <c r="K139" s="33"/>
      <c r="L139" s="34"/>
    </row>
    <row r="140" spans="1:12" s="35" customFormat="1" x14ac:dyDescent="0.25">
      <c r="A140" s="29" t="s">
        <v>636</v>
      </c>
      <c r="B140" s="30" t="s">
        <v>419</v>
      </c>
      <c r="C140" s="30"/>
      <c r="D140" s="30" t="s">
        <v>45</v>
      </c>
      <c r="E140" s="31" t="s">
        <v>678</v>
      </c>
      <c r="F140" s="31" t="s">
        <v>679</v>
      </c>
      <c r="G140" s="32" t="s">
        <v>2810</v>
      </c>
      <c r="H140" s="31" t="s">
        <v>680</v>
      </c>
      <c r="I140" s="31" t="s">
        <v>193</v>
      </c>
      <c r="J140" s="33"/>
      <c r="K140" s="33"/>
      <c r="L140" s="34"/>
    </row>
    <row r="141" spans="1:12" s="35" customFormat="1" x14ac:dyDescent="0.25">
      <c r="A141" s="29" t="s">
        <v>636</v>
      </c>
      <c r="B141" s="30" t="s">
        <v>722</v>
      </c>
      <c r="C141" s="30"/>
      <c r="D141" s="30" t="s">
        <v>45</v>
      </c>
      <c r="E141" s="31" t="s">
        <v>681</v>
      </c>
      <c r="F141" s="31" t="s">
        <v>682</v>
      </c>
      <c r="G141" s="32" t="s">
        <v>2813</v>
      </c>
      <c r="H141" s="31" t="s">
        <v>683</v>
      </c>
      <c r="I141" s="31" t="s">
        <v>111</v>
      </c>
      <c r="J141" s="33"/>
      <c r="K141" s="33"/>
      <c r="L141" s="34"/>
    </row>
    <row r="142" spans="1:12" s="35" customFormat="1" x14ac:dyDescent="0.25">
      <c r="A142" s="29" t="s">
        <v>636</v>
      </c>
      <c r="B142" s="30" t="s">
        <v>723</v>
      </c>
      <c r="C142" s="30"/>
      <c r="D142" s="30" t="s">
        <v>45</v>
      </c>
      <c r="E142" s="31" t="s">
        <v>684</v>
      </c>
      <c r="F142" s="31" t="s">
        <v>685</v>
      </c>
      <c r="G142" s="32" t="s">
        <v>2817</v>
      </c>
      <c r="H142" s="31" t="s">
        <v>686</v>
      </c>
      <c r="I142" s="31" t="s">
        <v>77</v>
      </c>
      <c r="J142" s="33"/>
      <c r="K142" s="33"/>
      <c r="L142" s="34"/>
    </row>
    <row r="143" spans="1:12" s="35" customFormat="1" x14ac:dyDescent="0.25">
      <c r="A143" s="29" t="s">
        <v>636</v>
      </c>
      <c r="B143" s="30" t="s">
        <v>724</v>
      </c>
      <c r="C143" s="30"/>
      <c r="D143" s="30" t="s">
        <v>45</v>
      </c>
      <c r="E143" s="31" t="s">
        <v>687</v>
      </c>
      <c r="F143" s="31" t="s">
        <v>688</v>
      </c>
      <c r="G143" s="32" t="s">
        <v>2820</v>
      </c>
      <c r="H143" s="31" t="s">
        <v>689</v>
      </c>
      <c r="I143" s="31" t="s">
        <v>111</v>
      </c>
      <c r="J143" s="33"/>
      <c r="K143" s="33"/>
      <c r="L143" s="34"/>
    </row>
    <row r="144" spans="1:12" s="35" customFormat="1" x14ac:dyDescent="0.25">
      <c r="A144" s="29" t="s">
        <v>636</v>
      </c>
      <c r="B144" s="30" t="s">
        <v>725</v>
      </c>
      <c r="C144" s="30"/>
      <c r="D144" s="30" t="s">
        <v>45</v>
      </c>
      <c r="E144" s="31" t="s">
        <v>690</v>
      </c>
      <c r="F144" s="31" t="s">
        <v>691</v>
      </c>
      <c r="G144" s="32" t="s">
        <v>2823</v>
      </c>
      <c r="H144" s="31" t="s">
        <v>692</v>
      </c>
      <c r="I144" s="31" t="s">
        <v>111</v>
      </c>
      <c r="J144" s="33"/>
      <c r="K144" s="33"/>
      <c r="L144" s="34"/>
    </row>
    <row r="145" spans="1:12" s="35" customFormat="1" x14ac:dyDescent="0.25">
      <c r="A145" s="29" t="s">
        <v>636</v>
      </c>
      <c r="B145" s="30" t="s">
        <v>505</v>
      </c>
      <c r="C145" s="30"/>
      <c r="D145" s="30" t="s">
        <v>45</v>
      </c>
      <c r="E145" s="31" t="s">
        <v>693</v>
      </c>
      <c r="F145" s="31" t="s">
        <v>694</v>
      </c>
      <c r="G145" s="32" t="s">
        <v>2825</v>
      </c>
      <c r="H145" s="31" t="s">
        <v>695</v>
      </c>
      <c r="I145" s="31" t="s">
        <v>193</v>
      </c>
      <c r="J145" s="33"/>
      <c r="K145" s="33"/>
      <c r="L145" s="34"/>
    </row>
    <row r="146" spans="1:12" s="35" customFormat="1" x14ac:dyDescent="0.25">
      <c r="A146" s="29" t="s">
        <v>636</v>
      </c>
      <c r="B146" s="30" t="s">
        <v>726</v>
      </c>
      <c r="C146" s="30"/>
      <c r="D146" s="30" t="s">
        <v>45</v>
      </c>
      <c r="E146" s="31" t="s">
        <v>696</v>
      </c>
      <c r="F146" s="31" t="s">
        <v>697</v>
      </c>
      <c r="G146" s="32" t="s">
        <v>2827</v>
      </c>
      <c r="H146" s="31" t="s">
        <v>698</v>
      </c>
      <c r="I146" s="31" t="s">
        <v>699</v>
      </c>
      <c r="J146" s="33"/>
      <c r="K146" s="33"/>
      <c r="L146" s="34"/>
    </row>
    <row r="147" spans="1:12" s="35" customFormat="1" x14ac:dyDescent="0.25">
      <c r="A147" s="29" t="s">
        <v>636</v>
      </c>
      <c r="B147" s="30" t="s">
        <v>235</v>
      </c>
      <c r="C147" s="30"/>
      <c r="D147" s="30" t="s">
        <v>45</v>
      </c>
      <c r="E147" s="31" t="s">
        <v>700</v>
      </c>
      <c r="F147" s="31" t="s">
        <v>701</v>
      </c>
      <c r="G147" s="32" t="s">
        <v>2831</v>
      </c>
      <c r="H147" s="31" t="s">
        <v>702</v>
      </c>
      <c r="I147" s="31" t="s">
        <v>111</v>
      </c>
      <c r="J147" s="33"/>
      <c r="K147" s="33"/>
      <c r="L147" s="34"/>
    </row>
    <row r="148" spans="1:12" s="35" customFormat="1" x14ac:dyDescent="0.25">
      <c r="A148" s="29" t="s">
        <v>636</v>
      </c>
      <c r="B148" s="30" t="s">
        <v>727</v>
      </c>
      <c r="C148" s="30"/>
      <c r="D148" s="30" t="s">
        <v>45</v>
      </c>
      <c r="E148" s="31" t="s">
        <v>703</v>
      </c>
      <c r="F148" s="31" t="s">
        <v>704</v>
      </c>
      <c r="G148" s="32" t="s">
        <v>2834</v>
      </c>
      <c r="H148" s="31" t="s">
        <v>705</v>
      </c>
      <c r="I148" s="31" t="s">
        <v>94</v>
      </c>
      <c r="J148" s="33"/>
      <c r="K148" s="33"/>
      <c r="L148" s="34"/>
    </row>
    <row r="149" spans="1:12" s="35" customFormat="1" x14ac:dyDescent="0.25">
      <c r="A149" s="29" t="s">
        <v>636</v>
      </c>
      <c r="B149" s="30" t="s">
        <v>728</v>
      </c>
      <c r="C149" s="30"/>
      <c r="D149" s="30" t="s">
        <v>45</v>
      </c>
      <c r="E149" s="31" t="s">
        <v>706</v>
      </c>
      <c r="F149" s="31" t="s">
        <v>707</v>
      </c>
      <c r="G149" s="32" t="s">
        <v>2837</v>
      </c>
      <c r="H149" s="31" t="s">
        <v>708</v>
      </c>
      <c r="I149" s="31" t="s">
        <v>135</v>
      </c>
      <c r="J149" s="33"/>
      <c r="K149" s="33"/>
      <c r="L149" s="34"/>
    </row>
    <row r="150" spans="1:12" s="42" customFormat="1" x14ac:dyDescent="0.25">
      <c r="A150" s="36" t="s">
        <v>729</v>
      </c>
      <c r="B150" s="37" t="s">
        <v>783</v>
      </c>
      <c r="C150" s="37"/>
      <c r="D150" s="37" t="s">
        <v>45</v>
      </c>
      <c r="E150" s="38" t="s">
        <v>730</v>
      </c>
      <c r="F150" s="38" t="s">
        <v>731</v>
      </c>
      <c r="G150" s="39" t="s">
        <v>2947</v>
      </c>
      <c r="H150" s="38" t="s">
        <v>732</v>
      </c>
      <c r="I150" s="38" t="s">
        <v>733</v>
      </c>
      <c r="J150" s="40"/>
      <c r="K150" s="40"/>
      <c r="L150" s="41"/>
    </row>
    <row r="151" spans="1:12" s="42" customFormat="1" x14ac:dyDescent="0.25">
      <c r="A151" s="36" t="s">
        <v>729</v>
      </c>
      <c r="B151" s="37" t="s">
        <v>710</v>
      </c>
      <c r="C151" s="37"/>
      <c r="D151" s="37" t="s">
        <v>45</v>
      </c>
      <c r="E151" s="38" t="s">
        <v>734</v>
      </c>
      <c r="F151" s="38" t="s">
        <v>735</v>
      </c>
      <c r="G151" s="39" t="s">
        <v>2950</v>
      </c>
      <c r="H151" s="38" t="s">
        <v>736</v>
      </c>
      <c r="I151" s="38" t="s">
        <v>193</v>
      </c>
      <c r="J151" s="40"/>
      <c r="K151" s="40"/>
      <c r="L151" s="41"/>
    </row>
    <row r="152" spans="1:12" s="42" customFormat="1" x14ac:dyDescent="0.25">
      <c r="A152" s="36" t="s">
        <v>729</v>
      </c>
      <c r="B152" s="37" t="s">
        <v>136</v>
      </c>
      <c r="C152" s="37" t="s">
        <v>137</v>
      </c>
      <c r="D152" s="37" t="s">
        <v>45</v>
      </c>
      <c r="E152" s="38" t="s">
        <v>737</v>
      </c>
      <c r="F152" s="38" t="s">
        <v>738</v>
      </c>
      <c r="G152" s="39" t="s">
        <v>2953</v>
      </c>
      <c r="H152" s="38" t="s">
        <v>153</v>
      </c>
      <c r="I152" s="38" t="s">
        <v>57</v>
      </c>
      <c r="J152" s="40"/>
      <c r="K152" s="40"/>
      <c r="L152" s="41"/>
    </row>
    <row r="153" spans="1:12" s="42" customFormat="1" x14ac:dyDescent="0.25">
      <c r="A153" s="36" t="s">
        <v>729</v>
      </c>
      <c r="B153" s="37" t="s">
        <v>787</v>
      </c>
      <c r="C153" s="37" t="s">
        <v>158</v>
      </c>
      <c r="D153" s="37" t="s">
        <v>45</v>
      </c>
      <c r="E153" s="38" t="s">
        <v>739</v>
      </c>
      <c r="F153" s="38" t="s">
        <v>740</v>
      </c>
      <c r="G153" s="39" t="s">
        <v>2955</v>
      </c>
      <c r="H153" s="38" t="s">
        <v>741</v>
      </c>
      <c r="I153" s="38" t="s">
        <v>57</v>
      </c>
      <c r="J153" s="40"/>
      <c r="K153" s="40"/>
      <c r="L153" s="41"/>
    </row>
    <row r="154" spans="1:12" s="42" customFormat="1" x14ac:dyDescent="0.25">
      <c r="A154" s="36" t="s">
        <v>729</v>
      </c>
      <c r="B154" s="37" t="s">
        <v>136</v>
      </c>
      <c r="C154" s="37" t="s">
        <v>137</v>
      </c>
      <c r="D154" s="37" t="s">
        <v>45</v>
      </c>
      <c r="E154" s="38" t="s">
        <v>742</v>
      </c>
      <c r="F154" s="38" t="s">
        <v>743</v>
      </c>
      <c r="G154" s="39" t="s">
        <v>2958</v>
      </c>
      <c r="H154" s="38" t="s">
        <v>153</v>
      </c>
      <c r="I154" s="38" t="s">
        <v>57</v>
      </c>
      <c r="J154" s="40"/>
      <c r="K154" s="40"/>
      <c r="L154" s="41"/>
    </row>
    <row r="155" spans="1:12" s="42" customFormat="1" x14ac:dyDescent="0.25">
      <c r="A155" s="36" t="s">
        <v>729</v>
      </c>
      <c r="B155" s="37" t="s">
        <v>787</v>
      </c>
      <c r="C155" s="37" t="s">
        <v>158</v>
      </c>
      <c r="D155" s="37" t="s">
        <v>45</v>
      </c>
      <c r="E155" s="38" t="s">
        <v>744</v>
      </c>
      <c r="F155" s="38" t="s">
        <v>745</v>
      </c>
      <c r="G155" s="39" t="s">
        <v>2960</v>
      </c>
      <c r="H155" s="38" t="s">
        <v>746</v>
      </c>
      <c r="I155" s="38" t="s">
        <v>111</v>
      </c>
      <c r="J155" s="40"/>
      <c r="K155" s="40"/>
      <c r="L155" s="41"/>
    </row>
    <row r="156" spans="1:12" s="42" customFormat="1" x14ac:dyDescent="0.25">
      <c r="A156" s="36" t="s">
        <v>729</v>
      </c>
      <c r="B156" s="37" t="s">
        <v>178</v>
      </c>
      <c r="C156" s="37" t="s">
        <v>179</v>
      </c>
      <c r="D156" s="37" t="s">
        <v>45</v>
      </c>
      <c r="E156" s="38" t="s">
        <v>747</v>
      </c>
      <c r="F156" s="38" t="s">
        <v>748</v>
      </c>
      <c r="G156" s="39" t="s">
        <v>2964</v>
      </c>
      <c r="H156" s="38" t="s">
        <v>749</v>
      </c>
      <c r="I156" s="38" t="s">
        <v>184</v>
      </c>
      <c r="J156" s="40"/>
      <c r="K156" s="40"/>
      <c r="L156" s="41"/>
    </row>
    <row r="157" spans="1:12" s="42" customFormat="1" x14ac:dyDescent="0.25">
      <c r="A157" s="36" t="s">
        <v>729</v>
      </c>
      <c r="B157" s="37" t="s">
        <v>194</v>
      </c>
      <c r="C157" s="37"/>
      <c r="D157" s="37" t="s">
        <v>45</v>
      </c>
      <c r="E157" s="38" t="s">
        <v>750</v>
      </c>
      <c r="F157" s="38" t="s">
        <v>751</v>
      </c>
      <c r="G157" s="39" t="s">
        <v>2966</v>
      </c>
      <c r="H157" s="38" t="s">
        <v>752</v>
      </c>
      <c r="I157" s="38" t="s">
        <v>111</v>
      </c>
      <c r="J157" s="40"/>
      <c r="K157" s="40"/>
      <c r="L157" s="41"/>
    </row>
    <row r="158" spans="1:12" s="42" customFormat="1" x14ac:dyDescent="0.25">
      <c r="A158" s="36" t="s">
        <v>729</v>
      </c>
      <c r="B158" s="37" t="s">
        <v>202</v>
      </c>
      <c r="C158" s="37"/>
      <c r="D158" s="37" t="s">
        <v>52</v>
      </c>
      <c r="E158" s="38" t="s">
        <v>753</v>
      </c>
      <c r="F158" s="38" t="s">
        <v>754</v>
      </c>
      <c r="G158" s="39" t="s">
        <v>2967</v>
      </c>
      <c r="H158" s="38" t="s">
        <v>755</v>
      </c>
      <c r="I158" s="38" t="s">
        <v>57</v>
      </c>
      <c r="J158" s="40"/>
      <c r="K158" s="40"/>
      <c r="L158" s="41"/>
    </row>
    <row r="159" spans="1:12" s="42" customFormat="1" x14ac:dyDescent="0.25">
      <c r="A159" s="36" t="s">
        <v>729</v>
      </c>
      <c r="B159" s="37" t="s">
        <v>339</v>
      </c>
      <c r="C159" s="37" t="s">
        <v>340</v>
      </c>
      <c r="D159" s="37" t="s">
        <v>45</v>
      </c>
      <c r="E159" s="38" t="s">
        <v>756</v>
      </c>
      <c r="F159" s="38" t="s">
        <v>757</v>
      </c>
      <c r="G159" s="39" t="s">
        <v>2968</v>
      </c>
      <c r="H159" s="38" t="s">
        <v>758</v>
      </c>
      <c r="I159" s="38" t="s">
        <v>57</v>
      </c>
      <c r="J159" s="40"/>
      <c r="K159" s="40"/>
      <c r="L159" s="41"/>
    </row>
    <row r="160" spans="1:12" s="42" customFormat="1" x14ac:dyDescent="0.25">
      <c r="A160" s="36" t="s">
        <v>729</v>
      </c>
      <c r="B160" s="37" t="s">
        <v>309</v>
      </c>
      <c r="C160" s="37" t="s">
        <v>310</v>
      </c>
      <c r="D160" s="37" t="s">
        <v>52</v>
      </c>
      <c r="E160" s="38" t="s">
        <v>759</v>
      </c>
      <c r="F160" s="38" t="s">
        <v>760</v>
      </c>
      <c r="G160" s="39" t="s">
        <v>2971</v>
      </c>
      <c r="H160" s="38" t="s">
        <v>314</v>
      </c>
      <c r="I160" s="38" t="s">
        <v>94</v>
      </c>
      <c r="J160" s="40"/>
      <c r="K160" s="40"/>
      <c r="L160" s="41"/>
    </row>
    <row r="161" spans="1:12" s="42" customFormat="1" x14ac:dyDescent="0.25">
      <c r="A161" s="36" t="s">
        <v>729</v>
      </c>
      <c r="B161" s="37" t="s">
        <v>309</v>
      </c>
      <c r="C161" s="37" t="s">
        <v>310</v>
      </c>
      <c r="D161" s="37" t="s">
        <v>52</v>
      </c>
      <c r="E161" s="38" t="s">
        <v>761</v>
      </c>
      <c r="F161" s="38" t="s">
        <v>762</v>
      </c>
      <c r="G161" s="39" t="s">
        <v>2973</v>
      </c>
      <c r="H161" s="38" t="s">
        <v>314</v>
      </c>
      <c r="I161" s="38" t="s">
        <v>94</v>
      </c>
      <c r="J161" s="40"/>
      <c r="K161" s="40"/>
      <c r="L161" s="41"/>
    </row>
    <row r="162" spans="1:12" s="42" customFormat="1" x14ac:dyDescent="0.25">
      <c r="A162" s="36" t="s">
        <v>729</v>
      </c>
      <c r="B162" s="37" t="s">
        <v>318</v>
      </c>
      <c r="C162" s="37"/>
      <c r="D162" s="37" t="s">
        <v>45</v>
      </c>
      <c r="E162" s="38" t="s">
        <v>763</v>
      </c>
      <c r="F162" s="38" t="s">
        <v>764</v>
      </c>
      <c r="G162" s="39" t="s">
        <v>2975</v>
      </c>
      <c r="H162" s="38" t="s">
        <v>765</v>
      </c>
      <c r="I162" s="38" t="s">
        <v>111</v>
      </c>
      <c r="J162" s="40"/>
      <c r="K162" s="40"/>
      <c r="L162" s="41"/>
    </row>
    <row r="163" spans="1:12" s="42" customFormat="1" x14ac:dyDescent="0.25">
      <c r="A163" s="36" t="s">
        <v>729</v>
      </c>
      <c r="B163" s="37" t="s">
        <v>784</v>
      </c>
      <c r="C163" s="37"/>
      <c r="D163" s="37" t="s">
        <v>45</v>
      </c>
      <c r="E163" s="38" t="s">
        <v>766</v>
      </c>
      <c r="F163" s="38" t="s">
        <v>767</v>
      </c>
      <c r="G163" s="39" t="s">
        <v>2976</v>
      </c>
      <c r="H163" s="38" t="s">
        <v>768</v>
      </c>
      <c r="I163" s="38" t="s">
        <v>193</v>
      </c>
      <c r="J163" s="40"/>
      <c r="K163" s="40"/>
      <c r="L163" s="41"/>
    </row>
    <row r="164" spans="1:12" s="42" customFormat="1" x14ac:dyDescent="0.25">
      <c r="A164" s="36" t="s">
        <v>729</v>
      </c>
      <c r="B164" s="37" t="s">
        <v>785</v>
      </c>
      <c r="C164" s="37"/>
      <c r="D164" s="37" t="s">
        <v>45</v>
      </c>
      <c r="E164" s="38" t="s">
        <v>769</v>
      </c>
      <c r="F164" s="38" t="s">
        <v>770</v>
      </c>
      <c r="G164" s="39" t="s">
        <v>2978</v>
      </c>
      <c r="H164" s="38" t="s">
        <v>771</v>
      </c>
      <c r="I164" s="38" t="s">
        <v>57</v>
      </c>
      <c r="J164" s="40"/>
      <c r="K164" s="40"/>
      <c r="L164" s="41"/>
    </row>
    <row r="165" spans="1:12" s="42" customFormat="1" x14ac:dyDescent="0.25">
      <c r="A165" s="36" t="s">
        <v>729</v>
      </c>
      <c r="B165" s="37" t="s">
        <v>786</v>
      </c>
      <c r="C165" s="37"/>
      <c r="D165" s="37" t="s">
        <v>52</v>
      </c>
      <c r="E165" s="38" t="s">
        <v>772</v>
      </c>
      <c r="F165" s="38" t="s">
        <v>773</v>
      </c>
      <c r="G165" s="39" t="s">
        <v>2982</v>
      </c>
      <c r="H165" s="38" t="s">
        <v>774</v>
      </c>
      <c r="I165" s="38" t="s">
        <v>57</v>
      </c>
      <c r="J165" s="40"/>
      <c r="K165" s="40"/>
      <c r="L165" s="41"/>
    </row>
    <row r="166" spans="1:12" s="42" customFormat="1" x14ac:dyDescent="0.25">
      <c r="A166" s="36" t="s">
        <v>729</v>
      </c>
      <c r="B166" s="37" t="s">
        <v>456</v>
      </c>
      <c r="C166" s="37"/>
      <c r="D166" s="37" t="s">
        <v>45</v>
      </c>
      <c r="E166" s="38" t="s">
        <v>775</v>
      </c>
      <c r="F166" s="38" t="s">
        <v>47</v>
      </c>
      <c r="G166" s="39" t="s">
        <v>2983</v>
      </c>
      <c r="H166" s="38" t="s">
        <v>776</v>
      </c>
      <c r="I166" s="38" t="s">
        <v>57</v>
      </c>
      <c r="J166" s="40"/>
      <c r="K166" s="40"/>
      <c r="L166" s="41"/>
    </row>
    <row r="167" spans="1:12" s="42" customFormat="1" x14ac:dyDescent="0.25">
      <c r="A167" s="36" t="s">
        <v>729</v>
      </c>
      <c r="B167" s="37" t="s">
        <v>527</v>
      </c>
      <c r="C167" s="37" t="s">
        <v>528</v>
      </c>
      <c r="D167" s="37" t="s">
        <v>52</v>
      </c>
      <c r="E167" s="38" t="s">
        <v>777</v>
      </c>
      <c r="F167" s="38" t="s">
        <v>778</v>
      </c>
      <c r="G167" s="39" t="s">
        <v>2984</v>
      </c>
      <c r="H167" s="38" t="s">
        <v>779</v>
      </c>
      <c r="I167" s="38" t="s">
        <v>57</v>
      </c>
      <c r="J167" s="40"/>
      <c r="K167" s="40"/>
      <c r="L167" s="41"/>
    </row>
    <row r="168" spans="1:12" s="42" customFormat="1" x14ac:dyDescent="0.25">
      <c r="A168" s="36" t="s">
        <v>729</v>
      </c>
      <c r="B168" s="37" t="s">
        <v>622</v>
      </c>
      <c r="C168" s="37" t="s">
        <v>528</v>
      </c>
      <c r="D168" s="37" t="s">
        <v>52</v>
      </c>
      <c r="E168" s="38" t="s">
        <v>3464</v>
      </c>
      <c r="F168" s="38" t="s">
        <v>3469</v>
      </c>
      <c r="G168" s="39" t="s">
        <v>3482</v>
      </c>
      <c r="H168" s="38" t="s">
        <v>3470</v>
      </c>
      <c r="I168" s="38" t="s">
        <v>57</v>
      </c>
      <c r="J168" s="40"/>
      <c r="K168" s="40"/>
      <c r="L168" s="41"/>
    </row>
    <row r="169" spans="1:12" s="42" customFormat="1" x14ac:dyDescent="0.25">
      <c r="A169" s="36" t="s">
        <v>729</v>
      </c>
      <c r="B169" s="37" t="s">
        <v>562</v>
      </c>
      <c r="C169" s="37"/>
      <c r="D169" s="37" t="s">
        <v>45</v>
      </c>
      <c r="E169" s="38" t="s">
        <v>780</v>
      </c>
      <c r="F169" s="38" t="s">
        <v>781</v>
      </c>
      <c r="G169" s="39" t="s">
        <v>2986</v>
      </c>
      <c r="H169" s="38" t="s">
        <v>782</v>
      </c>
      <c r="I169" s="38" t="s">
        <v>111</v>
      </c>
      <c r="J169" s="40"/>
      <c r="K169" s="40"/>
      <c r="L169" s="41"/>
    </row>
    <row r="170" spans="1:12" s="76" customFormat="1" x14ac:dyDescent="0.25">
      <c r="A170" s="77" t="s">
        <v>3075</v>
      </c>
      <c r="B170" s="78" t="s">
        <v>3076</v>
      </c>
      <c r="C170" s="78"/>
      <c r="D170" s="78" t="s">
        <v>45</v>
      </c>
      <c r="E170" s="78" t="s">
        <v>3079</v>
      </c>
      <c r="F170" s="78"/>
      <c r="G170" s="78" t="s">
        <v>3095</v>
      </c>
      <c r="H170" s="78" t="s">
        <v>3111</v>
      </c>
      <c r="I170" s="78" t="s">
        <v>111</v>
      </c>
    </row>
    <row r="171" spans="1:12" s="76" customFormat="1" x14ac:dyDescent="0.25">
      <c r="A171" s="77" t="s">
        <v>3075</v>
      </c>
      <c r="B171" s="78" t="s">
        <v>562</v>
      </c>
      <c r="C171" s="78"/>
      <c r="D171" s="78" t="s">
        <v>45</v>
      </c>
      <c r="E171" s="78" t="s">
        <v>3080</v>
      </c>
      <c r="F171" s="78"/>
      <c r="G171" s="78" t="s">
        <v>3096</v>
      </c>
      <c r="H171" s="78"/>
      <c r="I171" s="78"/>
    </row>
    <row r="172" spans="1:12" s="76" customFormat="1" x14ac:dyDescent="0.25">
      <c r="A172" s="77" t="s">
        <v>3075</v>
      </c>
      <c r="B172" s="78" t="s">
        <v>136</v>
      </c>
      <c r="C172" s="78" t="s">
        <v>137</v>
      </c>
      <c r="D172" s="78" t="s">
        <v>45</v>
      </c>
      <c r="E172" s="78" t="s">
        <v>3081</v>
      </c>
      <c r="F172" s="78"/>
      <c r="G172" s="78" t="s">
        <v>3097</v>
      </c>
      <c r="H172" s="78"/>
      <c r="I172" s="78"/>
    </row>
    <row r="173" spans="1:12" s="76" customFormat="1" x14ac:dyDescent="0.25">
      <c r="A173" s="77" t="s">
        <v>3075</v>
      </c>
      <c r="B173" s="78" t="s">
        <v>339</v>
      </c>
      <c r="C173" s="78" t="s">
        <v>340</v>
      </c>
      <c r="D173" s="78" t="s">
        <v>45</v>
      </c>
      <c r="E173" s="78" t="s">
        <v>3082</v>
      </c>
      <c r="F173" s="78"/>
      <c r="G173" s="78" t="s">
        <v>3098</v>
      </c>
      <c r="H173" s="78"/>
      <c r="I173" s="78"/>
    </row>
    <row r="174" spans="1:12" s="76" customFormat="1" x14ac:dyDescent="0.25">
      <c r="A174" s="77" t="s">
        <v>3075</v>
      </c>
      <c r="B174" s="78" t="s">
        <v>3077</v>
      </c>
      <c r="C174" s="78"/>
      <c r="D174" s="78" t="s">
        <v>45</v>
      </c>
      <c r="E174" s="78" t="s">
        <v>3083</v>
      </c>
      <c r="F174" s="78"/>
      <c r="G174" s="78" t="s">
        <v>3099</v>
      </c>
      <c r="H174" s="78"/>
      <c r="I174" s="78"/>
    </row>
    <row r="175" spans="1:12" s="76" customFormat="1" x14ac:dyDescent="0.25">
      <c r="A175" s="77" t="s">
        <v>3075</v>
      </c>
      <c r="B175" s="78" t="s">
        <v>613</v>
      </c>
      <c r="C175" s="78"/>
      <c r="D175" s="78" t="s">
        <v>52</v>
      </c>
      <c r="E175" s="78" t="s">
        <v>3084</v>
      </c>
      <c r="F175" s="78"/>
      <c r="G175" s="78" t="s">
        <v>3100</v>
      </c>
      <c r="H175" s="78"/>
      <c r="I175" s="78"/>
    </row>
    <row r="176" spans="1:12" s="76" customFormat="1" x14ac:dyDescent="0.25">
      <c r="A176" s="77" t="s">
        <v>3075</v>
      </c>
      <c r="B176" s="78" t="s">
        <v>78</v>
      </c>
      <c r="C176" s="78"/>
      <c r="D176" s="78" t="s">
        <v>52</v>
      </c>
      <c r="E176" s="78" t="s">
        <v>3085</v>
      </c>
      <c r="F176" s="78"/>
      <c r="G176" s="78" t="s">
        <v>3101</v>
      </c>
      <c r="H176" s="78"/>
      <c r="I176" s="78"/>
    </row>
    <row r="177" spans="1:9" s="76" customFormat="1" x14ac:dyDescent="0.25">
      <c r="A177" s="77" t="s">
        <v>3075</v>
      </c>
      <c r="B177" s="78" t="s">
        <v>456</v>
      </c>
      <c r="C177" s="78"/>
      <c r="D177" s="78" t="s">
        <v>45</v>
      </c>
      <c r="E177" s="78" t="s">
        <v>3086</v>
      </c>
      <c r="F177" s="78"/>
      <c r="G177" s="78" t="s">
        <v>3102</v>
      </c>
      <c r="H177" s="78"/>
      <c r="I177" s="78"/>
    </row>
    <row r="178" spans="1:9" s="76" customFormat="1" x14ac:dyDescent="0.25">
      <c r="A178" s="77" t="s">
        <v>3075</v>
      </c>
      <c r="B178" s="78" t="s">
        <v>588</v>
      </c>
      <c r="C178" s="78"/>
      <c r="D178" s="78" t="s">
        <v>45</v>
      </c>
      <c r="E178" s="78" t="s">
        <v>3087</v>
      </c>
      <c r="F178" s="78"/>
      <c r="G178" s="78" t="s">
        <v>3103</v>
      </c>
      <c r="H178" s="78"/>
      <c r="I178" s="78"/>
    </row>
    <row r="179" spans="1:9" s="76" customFormat="1" x14ac:dyDescent="0.25">
      <c r="A179" s="77" t="s">
        <v>3075</v>
      </c>
      <c r="B179" s="78" t="s">
        <v>339</v>
      </c>
      <c r="C179" s="78" t="s">
        <v>340</v>
      </c>
      <c r="D179" s="78" t="s">
        <v>45</v>
      </c>
      <c r="E179" s="78" t="s">
        <v>3088</v>
      </c>
      <c r="F179" s="78"/>
      <c r="G179" s="78" t="s">
        <v>3104</v>
      </c>
      <c r="H179" s="78"/>
      <c r="I179" s="78"/>
    </row>
    <row r="180" spans="1:9" s="76" customFormat="1" x14ac:dyDescent="0.25">
      <c r="A180" s="77" t="s">
        <v>3075</v>
      </c>
      <c r="B180" s="78" t="s">
        <v>309</v>
      </c>
      <c r="C180" s="78" t="s">
        <v>310</v>
      </c>
      <c r="D180" s="78" t="s">
        <v>52</v>
      </c>
      <c r="E180" s="78" t="s">
        <v>3089</v>
      </c>
      <c r="F180" s="78"/>
      <c r="G180" s="78" t="s">
        <v>3105</v>
      </c>
      <c r="H180" s="78"/>
      <c r="I180" s="78"/>
    </row>
    <row r="181" spans="1:9" s="76" customFormat="1" x14ac:dyDescent="0.25">
      <c r="A181" s="77" t="s">
        <v>3075</v>
      </c>
      <c r="B181" s="78" t="s">
        <v>562</v>
      </c>
      <c r="C181" s="78"/>
      <c r="D181" s="78" t="s">
        <v>45</v>
      </c>
      <c r="E181" s="78" t="s">
        <v>3090</v>
      </c>
      <c r="F181" s="78"/>
      <c r="G181" s="78" t="s">
        <v>3106</v>
      </c>
      <c r="H181" s="78"/>
      <c r="I181" s="78"/>
    </row>
    <row r="182" spans="1:9" s="76" customFormat="1" x14ac:dyDescent="0.25">
      <c r="A182" s="77" t="s">
        <v>3075</v>
      </c>
      <c r="B182" s="78" t="s">
        <v>136</v>
      </c>
      <c r="C182" s="78" t="s">
        <v>137</v>
      </c>
      <c r="D182" s="78" t="s">
        <v>45</v>
      </c>
      <c r="E182" s="78" t="s">
        <v>3091</v>
      </c>
      <c r="F182" s="78"/>
      <c r="G182" s="78" t="s">
        <v>3107</v>
      </c>
      <c r="H182" s="78"/>
      <c r="I182" s="78"/>
    </row>
    <row r="183" spans="1:9" s="76" customFormat="1" x14ac:dyDescent="0.25">
      <c r="A183" s="77" t="s">
        <v>3075</v>
      </c>
      <c r="B183" s="78" t="s">
        <v>562</v>
      </c>
      <c r="C183" s="78"/>
      <c r="D183" s="78" t="s">
        <v>45</v>
      </c>
      <c r="E183" s="78" t="s">
        <v>3092</v>
      </c>
      <c r="F183" s="78"/>
      <c r="G183" s="78" t="s">
        <v>3108</v>
      </c>
      <c r="H183" s="78"/>
      <c r="I183" s="78"/>
    </row>
    <row r="184" spans="1:9" s="76" customFormat="1" x14ac:dyDescent="0.25">
      <c r="A184" s="77" t="s">
        <v>3075</v>
      </c>
      <c r="B184" s="78" t="s">
        <v>3078</v>
      </c>
      <c r="C184" s="78"/>
      <c r="D184" s="78" t="s">
        <v>45</v>
      </c>
      <c r="E184" s="78" t="s">
        <v>3093</v>
      </c>
      <c r="F184" s="78"/>
      <c r="G184" s="78" t="s">
        <v>3109</v>
      </c>
      <c r="H184" s="78"/>
      <c r="I184" s="78"/>
    </row>
    <row r="185" spans="1:9" s="76" customFormat="1" x14ac:dyDescent="0.25">
      <c r="A185" s="77" t="s">
        <v>3075</v>
      </c>
      <c r="B185" s="78" t="s">
        <v>178</v>
      </c>
      <c r="C185" s="78" t="s">
        <v>179</v>
      </c>
      <c r="D185" s="78" t="s">
        <v>45</v>
      </c>
      <c r="E185" s="78" t="s">
        <v>3094</v>
      </c>
      <c r="F185" s="78"/>
      <c r="G185" s="78" t="s">
        <v>3110</v>
      </c>
      <c r="H185" s="78"/>
      <c r="I185" s="78"/>
    </row>
  </sheetData>
  <sortState ref="B8:I128">
    <sortCondition ref="B8:B128"/>
    <sortCondition ref="E8:E12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1"/>
  </sheetPr>
  <dimension ref="A1:I16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79" bestFit="1" customWidth="1"/>
    <col min="2" max="2" width="8.85546875" bestFit="1" customWidth="1"/>
    <col min="3" max="3" width="44.5703125" bestFit="1" customWidth="1"/>
    <col min="4" max="4" width="7.28515625" bestFit="1" customWidth="1"/>
    <col min="5" max="5" width="17.5703125" bestFit="1" customWidth="1"/>
    <col min="6" max="6" width="17.5703125" style="95" customWidth="1"/>
    <col min="7" max="7" width="22" style="90" bestFit="1" customWidth="1"/>
    <col min="8" max="9" width="29.85546875" style="90" bestFit="1" customWidth="1"/>
  </cols>
  <sheetData>
    <row r="1" spans="1:9" x14ac:dyDescent="0.25">
      <c r="A1" s="85" t="s">
        <v>3116</v>
      </c>
      <c r="B1" s="85" t="s">
        <v>3112</v>
      </c>
      <c r="C1" s="85" t="s">
        <v>3113</v>
      </c>
      <c r="D1" s="85" t="s">
        <v>3483</v>
      </c>
      <c r="E1" s="85" t="s">
        <v>3428</v>
      </c>
      <c r="F1" s="85" t="s">
        <v>3810</v>
      </c>
      <c r="G1" s="85" t="s">
        <v>3429</v>
      </c>
      <c r="H1" s="91" t="s">
        <v>3430</v>
      </c>
      <c r="I1" s="91" t="s">
        <v>3431</v>
      </c>
    </row>
    <row r="2" spans="1:9" s="21" customFormat="1" x14ac:dyDescent="0.25">
      <c r="A2" s="86" t="s">
        <v>3075</v>
      </c>
      <c r="B2" s="86" t="s">
        <v>3075</v>
      </c>
      <c r="C2" s="86" t="s">
        <v>3075</v>
      </c>
      <c r="D2" s="86" t="s">
        <v>3483</v>
      </c>
      <c r="E2" s="86" t="s">
        <v>3825</v>
      </c>
      <c r="F2" s="86" t="s">
        <v>3825</v>
      </c>
      <c r="G2" s="86" t="s">
        <v>3825</v>
      </c>
      <c r="H2" s="92" t="s">
        <v>3825</v>
      </c>
      <c r="I2" s="92"/>
    </row>
    <row r="3" spans="1:9" s="21" customFormat="1" x14ac:dyDescent="0.25">
      <c r="A3" s="86" t="s">
        <v>3114</v>
      </c>
      <c r="B3" s="86" t="s">
        <v>3114</v>
      </c>
      <c r="C3" s="86" t="s">
        <v>3114</v>
      </c>
      <c r="D3" s="86" t="s">
        <v>3483</v>
      </c>
      <c r="E3" s="86" t="s">
        <v>3824</v>
      </c>
      <c r="F3" s="86" t="s">
        <v>3824</v>
      </c>
      <c r="G3" s="86" t="s">
        <v>3114</v>
      </c>
      <c r="H3" s="92" t="s">
        <v>3114</v>
      </c>
      <c r="I3" s="92"/>
    </row>
    <row r="4" spans="1:9" s="21" customFormat="1" x14ac:dyDescent="0.25">
      <c r="A4" s="86" t="s">
        <v>3150</v>
      </c>
      <c r="B4" s="86" t="s">
        <v>3115</v>
      </c>
      <c r="C4" s="86" t="s">
        <v>3150</v>
      </c>
      <c r="D4" s="86" t="s">
        <v>3483</v>
      </c>
      <c r="E4" s="86" t="s">
        <v>3824</v>
      </c>
      <c r="F4" s="86" t="s">
        <v>3824</v>
      </c>
      <c r="G4" s="86" t="s">
        <v>3150</v>
      </c>
      <c r="H4" s="92" t="s">
        <v>3150</v>
      </c>
      <c r="I4" s="92"/>
    </row>
    <row r="5" spans="1:9" s="21" customFormat="1" x14ac:dyDescent="0.25">
      <c r="A5" s="86" t="s">
        <v>729</v>
      </c>
      <c r="B5" s="86" t="s">
        <v>3484</v>
      </c>
      <c r="C5" s="86" t="s">
        <v>729</v>
      </c>
      <c r="D5" s="86" t="s">
        <v>3483</v>
      </c>
      <c r="E5" s="86" t="s">
        <v>729</v>
      </c>
      <c r="F5" s="86" t="s">
        <v>729</v>
      </c>
      <c r="G5" s="86" t="s">
        <v>729</v>
      </c>
      <c r="H5" s="92" t="s">
        <v>729</v>
      </c>
      <c r="I5" s="92"/>
    </row>
    <row r="6" spans="1:9" s="42" customFormat="1" x14ac:dyDescent="0.25">
      <c r="A6" s="87" t="s">
        <v>3117</v>
      </c>
      <c r="B6" s="87" t="s">
        <v>3118</v>
      </c>
      <c r="C6" s="87" t="s">
        <v>3134</v>
      </c>
      <c r="D6" s="87" t="s">
        <v>3483</v>
      </c>
      <c r="E6" s="87" t="s">
        <v>3432</v>
      </c>
      <c r="F6" s="87" t="s">
        <v>3432</v>
      </c>
      <c r="G6" s="87" t="s">
        <v>3434</v>
      </c>
      <c r="H6" s="93"/>
      <c r="I6" s="93"/>
    </row>
    <row r="7" spans="1:9" s="42" customFormat="1" x14ac:dyDescent="0.25">
      <c r="A7" s="87" t="s">
        <v>3117</v>
      </c>
      <c r="B7" s="87" t="s">
        <v>3119</v>
      </c>
      <c r="C7" s="87" t="s">
        <v>3135</v>
      </c>
      <c r="D7" s="87" t="s">
        <v>3483</v>
      </c>
      <c r="E7" s="87" t="s">
        <v>3432</v>
      </c>
      <c r="F7" s="87" t="s">
        <v>3432</v>
      </c>
      <c r="G7" s="87" t="s">
        <v>3435</v>
      </c>
      <c r="H7" s="93"/>
      <c r="I7" s="93"/>
    </row>
    <row r="8" spans="1:9" s="42" customFormat="1" x14ac:dyDescent="0.25">
      <c r="A8" s="87" t="s">
        <v>3117</v>
      </c>
      <c r="B8" s="87" t="s">
        <v>3120</v>
      </c>
      <c r="C8" s="87" t="s">
        <v>3136</v>
      </c>
      <c r="D8" s="87" t="s">
        <v>3483</v>
      </c>
      <c r="E8" s="87" t="s">
        <v>3432</v>
      </c>
      <c r="F8" s="87" t="s">
        <v>3432</v>
      </c>
      <c r="G8" s="87" t="s">
        <v>3436</v>
      </c>
      <c r="H8" s="93"/>
      <c r="I8" s="93"/>
    </row>
    <row r="9" spans="1:9" s="42" customFormat="1" x14ac:dyDescent="0.25">
      <c r="A9" s="87" t="s">
        <v>3117</v>
      </c>
      <c r="B9" s="87" t="s">
        <v>3121</v>
      </c>
      <c r="C9" s="87" t="s">
        <v>3137</v>
      </c>
      <c r="D9" s="87" t="s">
        <v>3483</v>
      </c>
      <c r="E9" s="87" t="s">
        <v>3432</v>
      </c>
      <c r="F9" s="87" t="s">
        <v>3432</v>
      </c>
      <c r="G9" s="87" t="s">
        <v>3437</v>
      </c>
      <c r="H9" s="93"/>
      <c r="I9" s="93"/>
    </row>
    <row r="10" spans="1:9" s="42" customFormat="1" x14ac:dyDescent="0.25">
      <c r="A10" s="87" t="s">
        <v>3117</v>
      </c>
      <c r="B10" s="87" t="s">
        <v>3122</v>
      </c>
      <c r="C10" s="87" t="s">
        <v>3138</v>
      </c>
      <c r="D10" s="87" t="s">
        <v>3483</v>
      </c>
      <c r="E10" s="87" t="s">
        <v>3432</v>
      </c>
      <c r="F10" s="87" t="s">
        <v>3432</v>
      </c>
      <c r="G10" s="87" t="s">
        <v>3438</v>
      </c>
      <c r="H10" s="93"/>
      <c r="I10" s="93"/>
    </row>
    <row r="11" spans="1:9" s="42" customFormat="1" x14ac:dyDescent="0.25">
      <c r="A11" s="87" t="s">
        <v>3117</v>
      </c>
      <c r="B11" s="87" t="s">
        <v>3123</v>
      </c>
      <c r="C11" s="87" t="s">
        <v>3139</v>
      </c>
      <c r="D11" s="87" t="s">
        <v>3483</v>
      </c>
      <c r="E11" s="87" t="s">
        <v>3432</v>
      </c>
      <c r="F11" s="87" t="s">
        <v>3432</v>
      </c>
      <c r="G11" s="87" t="s">
        <v>3439</v>
      </c>
      <c r="H11" s="93"/>
      <c r="I11" s="93"/>
    </row>
    <row r="12" spans="1:9" s="42" customFormat="1" x14ac:dyDescent="0.25">
      <c r="A12" s="87" t="s">
        <v>3117</v>
      </c>
      <c r="B12" s="87" t="s">
        <v>3124</v>
      </c>
      <c r="C12" s="87" t="s">
        <v>3140</v>
      </c>
      <c r="D12" s="87" t="s">
        <v>3483</v>
      </c>
      <c r="E12" s="87" t="s">
        <v>3432</v>
      </c>
      <c r="F12" s="87" t="s">
        <v>3432</v>
      </c>
      <c r="G12" s="87" t="s">
        <v>3440</v>
      </c>
      <c r="H12" s="93"/>
      <c r="I12" s="93"/>
    </row>
    <row r="13" spans="1:9" s="42" customFormat="1" x14ac:dyDescent="0.25">
      <c r="A13" s="87" t="s">
        <v>3117</v>
      </c>
      <c r="B13" s="87" t="s">
        <v>3125</v>
      </c>
      <c r="C13" s="87" t="s">
        <v>3141</v>
      </c>
      <c r="D13" s="87" t="s">
        <v>3483</v>
      </c>
      <c r="E13" s="87" t="s">
        <v>3432</v>
      </c>
      <c r="F13" s="87" t="s">
        <v>3432</v>
      </c>
      <c r="G13" s="87" t="s">
        <v>3441</v>
      </c>
      <c r="H13" s="93"/>
      <c r="I13" s="93"/>
    </row>
    <row r="14" spans="1:9" s="42" customFormat="1" x14ac:dyDescent="0.25">
      <c r="A14" s="87" t="s">
        <v>3117</v>
      </c>
      <c r="B14" s="87" t="s">
        <v>3126</v>
      </c>
      <c r="C14" s="87" t="s">
        <v>3142</v>
      </c>
      <c r="D14" s="87" t="s">
        <v>3483</v>
      </c>
      <c r="E14" s="87" t="s">
        <v>3433</v>
      </c>
      <c r="F14" s="87" t="s">
        <v>3433</v>
      </c>
      <c r="G14" s="87" t="s">
        <v>3811</v>
      </c>
      <c r="H14" s="93"/>
      <c r="I14" s="93"/>
    </row>
    <row r="15" spans="1:9" s="42" customFormat="1" x14ac:dyDescent="0.25">
      <c r="A15" s="87" t="s">
        <v>3117</v>
      </c>
      <c r="B15" s="87" t="s">
        <v>3127</v>
      </c>
      <c r="C15" s="87" t="s">
        <v>3143</v>
      </c>
      <c r="D15" s="87" t="s">
        <v>3483</v>
      </c>
      <c r="E15" s="87" t="s">
        <v>3432</v>
      </c>
      <c r="F15" s="87" t="s">
        <v>3432</v>
      </c>
      <c r="G15" s="87" t="s">
        <v>3442</v>
      </c>
      <c r="H15" s="93"/>
      <c r="I15" s="93"/>
    </row>
    <row r="16" spans="1:9" s="42" customFormat="1" x14ac:dyDescent="0.25">
      <c r="A16" s="87" t="s">
        <v>3117</v>
      </c>
      <c r="B16" s="87" t="s">
        <v>3128</v>
      </c>
      <c r="C16" s="87" t="s">
        <v>3144</v>
      </c>
      <c r="D16" s="87" t="s">
        <v>3483</v>
      </c>
      <c r="E16" s="87" t="s">
        <v>3432</v>
      </c>
      <c r="F16" s="87" t="s">
        <v>3432</v>
      </c>
      <c r="G16" s="87" t="s">
        <v>3443</v>
      </c>
      <c r="H16" s="93"/>
      <c r="I16" s="93"/>
    </row>
    <row r="17" spans="1:9" s="42" customFormat="1" x14ac:dyDescent="0.25">
      <c r="A17" s="87" t="s">
        <v>3117</v>
      </c>
      <c r="B17" s="87" t="s">
        <v>3129</v>
      </c>
      <c r="C17" s="87" t="s">
        <v>3145</v>
      </c>
      <c r="D17" s="87" t="s">
        <v>3483</v>
      </c>
      <c r="E17" s="87" t="s">
        <v>3432</v>
      </c>
      <c r="F17" s="87" t="s">
        <v>3432</v>
      </c>
      <c r="G17" s="87" t="s">
        <v>3444</v>
      </c>
      <c r="H17" s="93"/>
      <c r="I17" s="93"/>
    </row>
    <row r="18" spans="1:9" s="42" customFormat="1" x14ac:dyDescent="0.25">
      <c r="A18" s="87" t="s">
        <v>3117</v>
      </c>
      <c r="B18" s="87" t="s">
        <v>3130</v>
      </c>
      <c r="C18" s="87" t="s">
        <v>3146</v>
      </c>
      <c r="D18" s="87" t="s">
        <v>3483</v>
      </c>
      <c r="E18" s="87" t="s">
        <v>3433</v>
      </c>
      <c r="F18" s="87" t="s">
        <v>3433</v>
      </c>
      <c r="G18" s="87" t="s">
        <v>3812</v>
      </c>
      <c r="H18" s="93"/>
      <c r="I18" s="93"/>
    </row>
    <row r="19" spans="1:9" s="42" customFormat="1" x14ac:dyDescent="0.25">
      <c r="A19" s="87" t="s">
        <v>3117</v>
      </c>
      <c r="B19" s="87" t="s">
        <v>3131</v>
      </c>
      <c r="C19" s="87" t="s">
        <v>3147</v>
      </c>
      <c r="D19" s="87" t="s">
        <v>3483</v>
      </c>
      <c r="E19" s="87" t="s">
        <v>3432</v>
      </c>
      <c r="F19" s="87" t="s">
        <v>3432</v>
      </c>
      <c r="G19" s="87" t="s">
        <v>3445</v>
      </c>
      <c r="H19" s="93"/>
      <c r="I19" s="93"/>
    </row>
    <row r="20" spans="1:9" s="42" customFormat="1" x14ac:dyDescent="0.25">
      <c r="A20" s="87" t="s">
        <v>3117</v>
      </c>
      <c r="B20" s="87" t="s">
        <v>3132</v>
      </c>
      <c r="C20" s="87" t="s">
        <v>3148</v>
      </c>
      <c r="D20" s="87" t="s">
        <v>3483</v>
      </c>
      <c r="E20" s="87" t="s">
        <v>3432</v>
      </c>
      <c r="F20" s="87" t="s">
        <v>3432</v>
      </c>
      <c r="G20" s="87" t="s">
        <v>3446</v>
      </c>
      <c r="H20" s="93"/>
      <c r="I20" s="93"/>
    </row>
    <row r="21" spans="1:9" s="42" customFormat="1" x14ac:dyDescent="0.25">
      <c r="A21" s="87" t="s">
        <v>3117</v>
      </c>
      <c r="B21" s="87" t="s">
        <v>3133</v>
      </c>
      <c r="C21" s="87" t="s">
        <v>3149</v>
      </c>
      <c r="D21" s="87" t="s">
        <v>3483</v>
      </c>
      <c r="E21" s="87" t="s">
        <v>3432</v>
      </c>
      <c r="F21" s="87" t="s">
        <v>3432</v>
      </c>
      <c r="G21" s="87" t="s">
        <v>3447</v>
      </c>
      <c r="H21" s="93"/>
      <c r="I21" s="93"/>
    </row>
    <row r="22" spans="1:9" s="35" customFormat="1" x14ac:dyDescent="0.25">
      <c r="A22" s="88" t="s">
        <v>635</v>
      </c>
      <c r="B22" s="88" t="s">
        <v>3151</v>
      </c>
      <c r="C22" s="88" t="s">
        <v>3291</v>
      </c>
      <c r="D22" s="88" t="s">
        <v>3485</v>
      </c>
      <c r="E22" s="88" t="s">
        <v>3432</v>
      </c>
      <c r="F22" s="88" t="s">
        <v>3432</v>
      </c>
      <c r="G22" s="89" t="s">
        <v>3434</v>
      </c>
      <c r="H22" s="94" t="s">
        <v>3486</v>
      </c>
      <c r="I22" s="94"/>
    </row>
    <row r="23" spans="1:9" s="35" customFormat="1" x14ac:dyDescent="0.25">
      <c r="A23" s="88" t="s">
        <v>635</v>
      </c>
      <c r="B23" s="88" t="s">
        <v>3152</v>
      </c>
      <c r="C23" s="88" t="s">
        <v>3292</v>
      </c>
      <c r="D23" s="88" t="s">
        <v>3483</v>
      </c>
      <c r="E23" s="88" t="s">
        <v>3432</v>
      </c>
      <c r="F23" s="88" t="s">
        <v>3432</v>
      </c>
      <c r="G23" s="89" t="s">
        <v>3434</v>
      </c>
      <c r="H23" s="94" t="s">
        <v>3487</v>
      </c>
      <c r="I23" s="94"/>
    </row>
    <row r="24" spans="1:9" s="35" customFormat="1" x14ac:dyDescent="0.25">
      <c r="A24" s="88" t="s">
        <v>635</v>
      </c>
      <c r="B24" s="88" t="s">
        <v>3153</v>
      </c>
      <c r="C24" s="88" t="s">
        <v>3293</v>
      </c>
      <c r="D24" s="88" t="s">
        <v>3485</v>
      </c>
      <c r="E24" s="88" t="s">
        <v>3432</v>
      </c>
      <c r="F24" s="88" t="s">
        <v>3432</v>
      </c>
      <c r="G24" s="89" t="s">
        <v>3434</v>
      </c>
      <c r="H24" s="94" t="s">
        <v>3488</v>
      </c>
      <c r="I24" s="94"/>
    </row>
    <row r="25" spans="1:9" s="35" customFormat="1" x14ac:dyDescent="0.25">
      <c r="A25" s="88" t="s">
        <v>635</v>
      </c>
      <c r="B25" s="88" t="s">
        <v>3154</v>
      </c>
      <c r="C25" s="88" t="s">
        <v>3294</v>
      </c>
      <c r="D25" s="88" t="s">
        <v>3483</v>
      </c>
      <c r="E25" s="88" t="s">
        <v>3432</v>
      </c>
      <c r="F25" s="88" t="s">
        <v>3432</v>
      </c>
      <c r="G25" s="89" t="s">
        <v>3434</v>
      </c>
      <c r="H25" s="94" t="s">
        <v>3489</v>
      </c>
      <c r="I25" s="94"/>
    </row>
    <row r="26" spans="1:9" s="35" customFormat="1" x14ac:dyDescent="0.25">
      <c r="A26" s="88" t="s">
        <v>635</v>
      </c>
      <c r="B26" s="88" t="s">
        <v>3155</v>
      </c>
      <c r="C26" s="88" t="s">
        <v>3295</v>
      </c>
      <c r="D26" s="88" t="s">
        <v>3483</v>
      </c>
      <c r="E26" s="88" t="s">
        <v>3432</v>
      </c>
      <c r="F26" s="88" t="s">
        <v>3432</v>
      </c>
      <c r="G26" s="89" t="s">
        <v>3434</v>
      </c>
      <c r="H26" s="94" t="s">
        <v>3490</v>
      </c>
      <c r="I26" s="94"/>
    </row>
    <row r="27" spans="1:9" s="35" customFormat="1" x14ac:dyDescent="0.25">
      <c r="A27" s="88" t="s">
        <v>635</v>
      </c>
      <c r="B27" s="88" t="s">
        <v>3156</v>
      </c>
      <c r="C27" s="88" t="s">
        <v>3296</v>
      </c>
      <c r="D27" s="88" t="s">
        <v>3483</v>
      </c>
      <c r="E27" s="88" t="s">
        <v>3432</v>
      </c>
      <c r="F27" s="88" t="s">
        <v>3432</v>
      </c>
      <c r="G27" s="89" t="s">
        <v>3434</v>
      </c>
      <c r="H27" s="94" t="s">
        <v>3491</v>
      </c>
      <c r="I27" s="94"/>
    </row>
    <row r="28" spans="1:9" s="35" customFormat="1" x14ac:dyDescent="0.25">
      <c r="A28" s="88" t="s">
        <v>635</v>
      </c>
      <c r="B28" s="88" t="s">
        <v>3157</v>
      </c>
      <c r="C28" s="88" t="s">
        <v>3297</v>
      </c>
      <c r="D28" s="88" t="s">
        <v>3485</v>
      </c>
      <c r="E28" s="88" t="s">
        <v>3432</v>
      </c>
      <c r="F28" s="88" t="s">
        <v>3432</v>
      </c>
      <c r="G28" s="89" t="s">
        <v>3434</v>
      </c>
      <c r="H28" s="94" t="s">
        <v>3492</v>
      </c>
      <c r="I28" s="94"/>
    </row>
    <row r="29" spans="1:9" s="35" customFormat="1" x14ac:dyDescent="0.25">
      <c r="A29" s="88" t="s">
        <v>635</v>
      </c>
      <c r="B29" s="88" t="s">
        <v>3158</v>
      </c>
      <c r="C29" s="88" t="s">
        <v>3298</v>
      </c>
      <c r="D29" s="88" t="s">
        <v>3483</v>
      </c>
      <c r="E29" s="88" t="s">
        <v>3432</v>
      </c>
      <c r="F29" s="88" t="s">
        <v>3432</v>
      </c>
      <c r="G29" s="89" t="s">
        <v>3434</v>
      </c>
      <c r="H29" s="94" t="s">
        <v>3493</v>
      </c>
      <c r="I29" s="94"/>
    </row>
    <row r="30" spans="1:9" s="35" customFormat="1" x14ac:dyDescent="0.25">
      <c r="A30" s="88" t="s">
        <v>635</v>
      </c>
      <c r="B30" s="88" t="s">
        <v>3159</v>
      </c>
      <c r="C30" s="88" t="s">
        <v>3299</v>
      </c>
      <c r="D30" s="88" t="s">
        <v>3483</v>
      </c>
      <c r="E30" s="88" t="s">
        <v>3432</v>
      </c>
      <c r="F30" s="88" t="s">
        <v>3432</v>
      </c>
      <c r="G30" s="89" t="s">
        <v>3434</v>
      </c>
      <c r="H30" s="94" t="s">
        <v>3494</v>
      </c>
      <c r="I30" s="94"/>
    </row>
    <row r="31" spans="1:9" s="35" customFormat="1" x14ac:dyDescent="0.25">
      <c r="A31" s="88" t="s">
        <v>635</v>
      </c>
      <c r="B31" s="88" t="s">
        <v>3160</v>
      </c>
      <c r="C31" s="88" t="s">
        <v>3300</v>
      </c>
      <c r="D31" s="88" t="s">
        <v>3485</v>
      </c>
      <c r="E31" s="88" t="s">
        <v>3432</v>
      </c>
      <c r="F31" s="88" t="s">
        <v>3432</v>
      </c>
      <c r="G31" s="89" t="s">
        <v>3434</v>
      </c>
      <c r="H31" s="94" t="s">
        <v>3494</v>
      </c>
      <c r="I31" s="94"/>
    </row>
    <row r="32" spans="1:9" s="35" customFormat="1" x14ac:dyDescent="0.25">
      <c r="A32" s="88" t="s">
        <v>635</v>
      </c>
      <c r="B32" s="88" t="s">
        <v>3161</v>
      </c>
      <c r="C32" s="88" t="s">
        <v>3301</v>
      </c>
      <c r="D32" s="88" t="s">
        <v>3485</v>
      </c>
      <c r="E32" s="88" t="s">
        <v>3432</v>
      </c>
      <c r="F32" s="88" t="s">
        <v>3432</v>
      </c>
      <c r="G32" s="89" t="s">
        <v>3434</v>
      </c>
      <c r="H32" s="94" t="s">
        <v>3495</v>
      </c>
      <c r="I32" s="94"/>
    </row>
    <row r="33" spans="1:9" s="35" customFormat="1" x14ac:dyDescent="0.25">
      <c r="A33" s="88" t="s">
        <v>635</v>
      </c>
      <c r="B33" s="88" t="s">
        <v>3162</v>
      </c>
      <c r="C33" s="88" t="s">
        <v>3302</v>
      </c>
      <c r="D33" s="88" t="s">
        <v>3483</v>
      </c>
      <c r="E33" s="88" t="s">
        <v>3432</v>
      </c>
      <c r="F33" s="88" t="s">
        <v>3432</v>
      </c>
      <c r="G33" s="89" t="s">
        <v>3434</v>
      </c>
      <c r="H33" s="94" t="s">
        <v>3496</v>
      </c>
      <c r="I33" s="94"/>
    </row>
    <row r="34" spans="1:9" s="35" customFormat="1" x14ac:dyDescent="0.25">
      <c r="A34" s="88" t="s">
        <v>635</v>
      </c>
      <c r="B34" s="88" t="s">
        <v>3163</v>
      </c>
      <c r="C34" s="88" t="s">
        <v>3303</v>
      </c>
      <c r="D34" s="88" t="s">
        <v>3483</v>
      </c>
      <c r="E34" s="88" t="s">
        <v>3432</v>
      </c>
      <c r="F34" s="88" t="s">
        <v>3432</v>
      </c>
      <c r="G34" s="89" t="s">
        <v>3434</v>
      </c>
      <c r="H34" s="94" t="s">
        <v>3497</v>
      </c>
      <c r="I34" s="94"/>
    </row>
    <row r="35" spans="1:9" s="35" customFormat="1" x14ac:dyDescent="0.25">
      <c r="A35" s="88" t="s">
        <v>635</v>
      </c>
      <c r="B35" s="88" t="s">
        <v>3164</v>
      </c>
      <c r="C35" s="88" t="s">
        <v>3304</v>
      </c>
      <c r="D35" s="88" t="s">
        <v>3483</v>
      </c>
      <c r="E35" s="88" t="s">
        <v>3432</v>
      </c>
      <c r="F35" s="88" t="s">
        <v>3432</v>
      </c>
      <c r="G35" s="89" t="s">
        <v>3434</v>
      </c>
      <c r="H35" s="94" t="s">
        <v>3498</v>
      </c>
      <c r="I35" s="94"/>
    </row>
    <row r="36" spans="1:9" s="35" customFormat="1" x14ac:dyDescent="0.25">
      <c r="A36" s="88" t="s">
        <v>635</v>
      </c>
      <c r="B36" s="88" t="s">
        <v>3165</v>
      </c>
      <c r="C36" s="88" t="s">
        <v>3305</v>
      </c>
      <c r="D36" s="88" t="s">
        <v>3485</v>
      </c>
      <c r="E36" s="88" t="s">
        <v>3432</v>
      </c>
      <c r="F36" s="88" t="s">
        <v>3432</v>
      </c>
      <c r="G36" s="89" t="s">
        <v>3434</v>
      </c>
      <c r="H36" s="94" t="s">
        <v>3497</v>
      </c>
      <c r="I36" s="94"/>
    </row>
    <row r="37" spans="1:9" s="35" customFormat="1" x14ac:dyDescent="0.25">
      <c r="A37" s="88" t="s">
        <v>635</v>
      </c>
      <c r="B37" s="88" t="s">
        <v>3166</v>
      </c>
      <c r="C37" s="88" t="s">
        <v>3306</v>
      </c>
      <c r="D37" s="88" t="s">
        <v>3483</v>
      </c>
      <c r="E37" s="88" t="s">
        <v>3432</v>
      </c>
      <c r="F37" s="88" t="s">
        <v>3432</v>
      </c>
      <c r="G37" s="89" t="s">
        <v>3434</v>
      </c>
      <c r="H37" s="94" t="s">
        <v>3499</v>
      </c>
      <c r="I37" s="94"/>
    </row>
    <row r="38" spans="1:9" s="35" customFormat="1" x14ac:dyDescent="0.25">
      <c r="A38" s="96" t="s">
        <v>635</v>
      </c>
      <c r="B38" s="96" t="s">
        <v>3167</v>
      </c>
      <c r="C38" s="96" t="s">
        <v>3307</v>
      </c>
      <c r="D38" s="96" t="s">
        <v>3483</v>
      </c>
      <c r="E38" s="96" t="s">
        <v>3432</v>
      </c>
      <c r="F38" s="96" t="s">
        <v>3432</v>
      </c>
      <c r="G38" s="97" t="s">
        <v>3434</v>
      </c>
      <c r="H38" s="98" t="s">
        <v>3500</v>
      </c>
      <c r="I38" s="98"/>
    </row>
    <row r="39" spans="1:9" s="35" customFormat="1" x14ac:dyDescent="0.25">
      <c r="A39" s="88" t="s">
        <v>635</v>
      </c>
      <c r="B39" s="88" t="s">
        <v>3168</v>
      </c>
      <c r="C39" s="88" t="s">
        <v>3308</v>
      </c>
      <c r="D39" s="88" t="s">
        <v>3483</v>
      </c>
      <c r="E39" s="88" t="s">
        <v>3432</v>
      </c>
      <c r="F39" s="88" t="s">
        <v>3432</v>
      </c>
      <c r="G39" s="89" t="s">
        <v>3435</v>
      </c>
      <c r="H39" s="94" t="s">
        <v>3501</v>
      </c>
      <c r="I39" s="94"/>
    </row>
    <row r="40" spans="1:9" s="35" customFormat="1" x14ac:dyDescent="0.25">
      <c r="A40" s="88" t="s">
        <v>635</v>
      </c>
      <c r="B40" s="88" t="s">
        <v>3169</v>
      </c>
      <c r="C40" s="88" t="s">
        <v>3309</v>
      </c>
      <c r="D40" s="88" t="s">
        <v>3483</v>
      </c>
      <c r="E40" s="88" t="s">
        <v>3432</v>
      </c>
      <c r="F40" s="88" t="s">
        <v>3432</v>
      </c>
      <c r="G40" s="89" t="s">
        <v>3435</v>
      </c>
      <c r="H40" s="94" t="s">
        <v>3502</v>
      </c>
      <c r="I40" s="94"/>
    </row>
    <row r="41" spans="1:9" s="35" customFormat="1" x14ac:dyDescent="0.25">
      <c r="A41" s="96" t="s">
        <v>635</v>
      </c>
      <c r="B41" s="96" t="s">
        <v>3170</v>
      </c>
      <c r="C41" s="96" t="s">
        <v>3310</v>
      </c>
      <c r="D41" s="96" t="s">
        <v>3483</v>
      </c>
      <c r="E41" s="96" t="s">
        <v>3432</v>
      </c>
      <c r="F41" s="96" t="s">
        <v>3432</v>
      </c>
      <c r="G41" s="97" t="s">
        <v>3435</v>
      </c>
      <c r="H41" s="98" t="s">
        <v>3503</v>
      </c>
      <c r="I41" s="98"/>
    </row>
    <row r="42" spans="1:9" s="35" customFormat="1" x14ac:dyDescent="0.25">
      <c r="A42" s="88" t="s">
        <v>635</v>
      </c>
      <c r="B42" s="88" t="s">
        <v>3171</v>
      </c>
      <c r="C42" s="88" t="s">
        <v>3311</v>
      </c>
      <c r="D42" s="88" t="s">
        <v>3483</v>
      </c>
      <c r="E42" s="88" t="s">
        <v>3432</v>
      </c>
      <c r="F42" s="88" t="s">
        <v>3432</v>
      </c>
      <c r="G42" s="89" t="s">
        <v>3436</v>
      </c>
      <c r="H42" s="94" t="s">
        <v>3504</v>
      </c>
      <c r="I42" s="94"/>
    </row>
    <row r="43" spans="1:9" s="35" customFormat="1" x14ac:dyDescent="0.25">
      <c r="A43" s="88" t="s">
        <v>635</v>
      </c>
      <c r="B43" s="88" t="s">
        <v>3172</v>
      </c>
      <c r="C43" s="88" t="s">
        <v>3312</v>
      </c>
      <c r="D43" s="88" t="s">
        <v>3483</v>
      </c>
      <c r="E43" s="88" t="s">
        <v>3432</v>
      </c>
      <c r="F43" s="88" t="s">
        <v>3432</v>
      </c>
      <c r="G43" s="89" t="s">
        <v>3436</v>
      </c>
      <c r="H43" s="94" t="s">
        <v>3505</v>
      </c>
      <c r="I43" s="94"/>
    </row>
    <row r="44" spans="1:9" s="35" customFormat="1" x14ac:dyDescent="0.25">
      <c r="A44" s="88" t="s">
        <v>635</v>
      </c>
      <c r="B44" s="88" t="s">
        <v>3173</v>
      </c>
      <c r="C44" s="88" t="s">
        <v>3313</v>
      </c>
      <c r="D44" s="88" t="s">
        <v>3483</v>
      </c>
      <c r="E44" s="88" t="s">
        <v>3432</v>
      </c>
      <c r="F44" s="88" t="s">
        <v>3432</v>
      </c>
      <c r="G44" s="89" t="s">
        <v>3436</v>
      </c>
      <c r="H44" s="94" t="s">
        <v>3506</v>
      </c>
      <c r="I44" s="94"/>
    </row>
    <row r="45" spans="1:9" s="35" customFormat="1" x14ac:dyDescent="0.25">
      <c r="A45" s="96" t="s">
        <v>635</v>
      </c>
      <c r="B45" s="96" t="s">
        <v>3174</v>
      </c>
      <c r="C45" s="96" t="s">
        <v>3314</v>
      </c>
      <c r="D45" s="96" t="s">
        <v>3483</v>
      </c>
      <c r="E45" s="96" t="s">
        <v>3432</v>
      </c>
      <c r="F45" s="96" t="s">
        <v>3432</v>
      </c>
      <c r="G45" s="97" t="s">
        <v>3436</v>
      </c>
      <c r="H45" s="98" t="s">
        <v>3507</v>
      </c>
      <c r="I45" s="98"/>
    </row>
    <row r="46" spans="1:9" s="35" customFormat="1" x14ac:dyDescent="0.25">
      <c r="A46" s="88" t="s">
        <v>635</v>
      </c>
      <c r="B46" s="88" t="s">
        <v>3175</v>
      </c>
      <c r="C46" s="88" t="s">
        <v>3315</v>
      </c>
      <c r="D46" s="88" t="s">
        <v>3485</v>
      </c>
      <c r="E46" s="88" t="s">
        <v>3432</v>
      </c>
      <c r="F46" s="88" t="s">
        <v>3432</v>
      </c>
      <c r="G46" s="89" t="s">
        <v>3437</v>
      </c>
      <c r="H46" s="94" t="s">
        <v>3445</v>
      </c>
      <c r="I46" s="94"/>
    </row>
    <row r="47" spans="1:9" s="35" customFormat="1" x14ac:dyDescent="0.25">
      <c r="A47" s="88" t="s">
        <v>635</v>
      </c>
      <c r="B47" s="88" t="s">
        <v>3176</v>
      </c>
      <c r="C47" s="88" t="s">
        <v>3316</v>
      </c>
      <c r="D47" s="88" t="s">
        <v>3485</v>
      </c>
      <c r="E47" s="88" t="s">
        <v>3432</v>
      </c>
      <c r="F47" s="88" t="s">
        <v>3432</v>
      </c>
      <c r="G47" s="89" t="s">
        <v>3437</v>
      </c>
      <c r="H47" s="94" t="s">
        <v>3447</v>
      </c>
      <c r="I47" s="94"/>
    </row>
    <row r="48" spans="1:9" s="35" customFormat="1" x14ac:dyDescent="0.25">
      <c r="A48" s="88" t="s">
        <v>635</v>
      </c>
      <c r="B48" s="88" t="s">
        <v>3177</v>
      </c>
      <c r="C48" s="88" t="s">
        <v>3317</v>
      </c>
      <c r="D48" s="88" t="s">
        <v>3485</v>
      </c>
      <c r="E48" s="88" t="s">
        <v>3432</v>
      </c>
      <c r="F48" s="88" t="s">
        <v>3432</v>
      </c>
      <c r="G48" s="89" t="s">
        <v>3437</v>
      </c>
      <c r="H48" s="94" t="s">
        <v>3508</v>
      </c>
      <c r="I48" s="94"/>
    </row>
    <row r="49" spans="1:9" s="35" customFormat="1" x14ac:dyDescent="0.25">
      <c r="A49" s="88" t="s">
        <v>635</v>
      </c>
      <c r="B49" s="88" t="s">
        <v>3178</v>
      </c>
      <c r="C49" s="88" t="s">
        <v>3318</v>
      </c>
      <c r="D49" s="88" t="s">
        <v>3485</v>
      </c>
      <c r="E49" s="88" t="s">
        <v>3432</v>
      </c>
      <c r="F49" s="88" t="s">
        <v>3432</v>
      </c>
      <c r="G49" s="89" t="s">
        <v>3437</v>
      </c>
      <c r="H49" s="94" t="s">
        <v>3509</v>
      </c>
      <c r="I49" s="94"/>
    </row>
    <row r="50" spans="1:9" s="35" customFormat="1" x14ac:dyDescent="0.25">
      <c r="A50" s="96" t="s">
        <v>635</v>
      </c>
      <c r="B50" s="96" t="s">
        <v>3179</v>
      </c>
      <c r="C50" s="96" t="s">
        <v>3319</v>
      </c>
      <c r="D50" s="96" t="s">
        <v>3485</v>
      </c>
      <c r="E50" s="96" t="s">
        <v>3432</v>
      </c>
      <c r="F50" s="96" t="s">
        <v>3432</v>
      </c>
      <c r="G50" s="97" t="s">
        <v>3437</v>
      </c>
      <c r="H50" s="98" t="s">
        <v>3510</v>
      </c>
      <c r="I50" s="98"/>
    </row>
    <row r="51" spans="1:9" s="35" customFormat="1" x14ac:dyDescent="0.25">
      <c r="A51" s="88" t="s">
        <v>635</v>
      </c>
      <c r="B51" s="88" t="s">
        <v>3180</v>
      </c>
      <c r="C51" s="88" t="s">
        <v>3320</v>
      </c>
      <c r="D51" s="88" t="s">
        <v>3483</v>
      </c>
      <c r="E51" s="88" t="s">
        <v>3433</v>
      </c>
      <c r="F51" s="88" t="s">
        <v>3433</v>
      </c>
      <c r="G51" s="89" t="s">
        <v>3438</v>
      </c>
      <c r="H51" s="94" t="s">
        <v>3540</v>
      </c>
      <c r="I51" s="94" t="s">
        <v>3821</v>
      </c>
    </row>
    <row r="52" spans="1:9" s="35" customFormat="1" x14ac:dyDescent="0.25">
      <c r="A52" s="88" t="s">
        <v>635</v>
      </c>
      <c r="B52" s="88" t="s">
        <v>3181</v>
      </c>
      <c r="C52" s="88" t="s">
        <v>3321</v>
      </c>
      <c r="D52" s="88" t="s">
        <v>3485</v>
      </c>
      <c r="E52" s="88" t="s">
        <v>3432</v>
      </c>
      <c r="F52" s="88" t="s">
        <v>3432</v>
      </c>
      <c r="G52" s="89" t="s">
        <v>3438</v>
      </c>
      <c r="H52" s="94" t="s">
        <v>3511</v>
      </c>
      <c r="I52" s="94"/>
    </row>
    <row r="53" spans="1:9" s="35" customFormat="1" x14ac:dyDescent="0.25">
      <c r="A53" s="88" t="s">
        <v>635</v>
      </c>
      <c r="B53" s="88" t="s">
        <v>3182</v>
      </c>
      <c r="C53" s="88" t="s">
        <v>3322</v>
      </c>
      <c r="D53" s="88" t="s">
        <v>3483</v>
      </c>
      <c r="E53" s="88" t="s">
        <v>3432</v>
      </c>
      <c r="F53" s="88" t="s">
        <v>3432</v>
      </c>
      <c r="G53" s="89" t="s">
        <v>3438</v>
      </c>
      <c r="H53" s="94" t="s">
        <v>3499</v>
      </c>
      <c r="I53" s="94"/>
    </row>
    <row r="54" spans="1:9" s="35" customFormat="1" x14ac:dyDescent="0.25">
      <c r="A54" s="88" t="s">
        <v>635</v>
      </c>
      <c r="B54" s="88" t="s">
        <v>3183</v>
      </c>
      <c r="C54" s="88" t="s">
        <v>3323</v>
      </c>
      <c r="D54" s="88" t="s">
        <v>3483</v>
      </c>
      <c r="E54" s="88" t="s">
        <v>3432</v>
      </c>
      <c r="F54" s="88" t="s">
        <v>3432</v>
      </c>
      <c r="G54" s="89" t="s">
        <v>3438</v>
      </c>
      <c r="H54" s="94" t="s">
        <v>3512</v>
      </c>
      <c r="I54" s="94"/>
    </row>
    <row r="55" spans="1:9" s="35" customFormat="1" x14ac:dyDescent="0.25">
      <c r="A55" s="88" t="s">
        <v>635</v>
      </c>
      <c r="B55" s="88" t="s">
        <v>3184</v>
      </c>
      <c r="C55" s="88" t="s">
        <v>3324</v>
      </c>
      <c r="D55" s="88" t="s">
        <v>3483</v>
      </c>
      <c r="E55" s="88" t="s">
        <v>3432</v>
      </c>
      <c r="F55" s="88" t="s">
        <v>3432</v>
      </c>
      <c r="G55" s="89" t="s">
        <v>3438</v>
      </c>
      <c r="H55" s="94" t="s">
        <v>3513</v>
      </c>
      <c r="I55" s="94"/>
    </row>
    <row r="56" spans="1:9" s="35" customFormat="1" x14ac:dyDescent="0.25">
      <c r="A56" s="88" t="s">
        <v>635</v>
      </c>
      <c r="B56" s="88" t="s">
        <v>3185</v>
      </c>
      <c r="C56" s="88" t="s">
        <v>3325</v>
      </c>
      <c r="D56" s="88" t="s">
        <v>3483</v>
      </c>
      <c r="E56" s="88" t="s">
        <v>3432</v>
      </c>
      <c r="F56" s="88" t="s">
        <v>3432</v>
      </c>
      <c r="G56" s="89" t="s">
        <v>3438</v>
      </c>
      <c r="H56" s="94" t="s">
        <v>3514</v>
      </c>
      <c r="I56" s="94"/>
    </row>
    <row r="57" spans="1:9" s="35" customFormat="1" x14ac:dyDescent="0.25">
      <c r="A57" s="88" t="s">
        <v>635</v>
      </c>
      <c r="B57" s="88" t="s">
        <v>3186</v>
      </c>
      <c r="C57" s="88" t="s">
        <v>3326</v>
      </c>
      <c r="D57" s="88" t="s">
        <v>3483</v>
      </c>
      <c r="E57" s="88" t="s">
        <v>3432</v>
      </c>
      <c r="F57" s="88" t="s">
        <v>3432</v>
      </c>
      <c r="G57" s="89" t="s">
        <v>3438</v>
      </c>
      <c r="H57" s="94" t="s">
        <v>3487</v>
      </c>
      <c r="I57" s="94"/>
    </row>
    <row r="58" spans="1:9" s="35" customFormat="1" x14ac:dyDescent="0.25">
      <c r="A58" s="88" t="s">
        <v>635</v>
      </c>
      <c r="B58" s="88" t="s">
        <v>3187</v>
      </c>
      <c r="C58" s="88" t="s">
        <v>3327</v>
      </c>
      <c r="D58" s="88" t="s">
        <v>3485</v>
      </c>
      <c r="E58" s="88" t="s">
        <v>3432</v>
      </c>
      <c r="F58" s="88" t="s">
        <v>3432</v>
      </c>
      <c r="G58" s="89" t="s">
        <v>3438</v>
      </c>
      <c r="H58" s="94" t="s">
        <v>3515</v>
      </c>
      <c r="I58" s="94"/>
    </row>
    <row r="59" spans="1:9" s="35" customFormat="1" x14ac:dyDescent="0.25">
      <c r="A59" s="88" t="s">
        <v>635</v>
      </c>
      <c r="B59" s="88" t="s">
        <v>3188</v>
      </c>
      <c r="C59" s="88" t="s">
        <v>3328</v>
      </c>
      <c r="D59" s="88" t="s">
        <v>3483</v>
      </c>
      <c r="E59" s="88" t="s">
        <v>3432</v>
      </c>
      <c r="F59" s="88" t="s">
        <v>3432</v>
      </c>
      <c r="G59" s="89" t="s">
        <v>3438</v>
      </c>
      <c r="H59" s="94" t="s">
        <v>3516</v>
      </c>
      <c r="I59" s="94"/>
    </row>
    <row r="60" spans="1:9" s="35" customFormat="1" x14ac:dyDescent="0.25">
      <c r="A60" s="88" t="s">
        <v>635</v>
      </c>
      <c r="B60" s="88" t="s">
        <v>3189</v>
      </c>
      <c r="C60" s="88" t="s">
        <v>3517</v>
      </c>
      <c r="D60" s="88" t="s">
        <v>3485</v>
      </c>
      <c r="E60" s="88" t="s">
        <v>3432</v>
      </c>
      <c r="F60" s="88" t="s">
        <v>3432</v>
      </c>
      <c r="G60" s="89" t="s">
        <v>3438</v>
      </c>
      <c r="H60" s="94" t="s">
        <v>3518</v>
      </c>
      <c r="I60" s="94"/>
    </row>
    <row r="61" spans="1:9" s="35" customFormat="1" x14ac:dyDescent="0.25">
      <c r="A61" s="88" t="s">
        <v>635</v>
      </c>
      <c r="B61" s="88" t="s">
        <v>3190</v>
      </c>
      <c r="C61" s="88" t="s">
        <v>3329</v>
      </c>
      <c r="D61" s="88" t="s">
        <v>3483</v>
      </c>
      <c r="E61" s="88" t="s">
        <v>3432</v>
      </c>
      <c r="F61" s="88" t="s">
        <v>3432</v>
      </c>
      <c r="G61" s="89" t="s">
        <v>3438</v>
      </c>
      <c r="H61" s="94" t="s">
        <v>3518</v>
      </c>
      <c r="I61" s="94"/>
    </row>
    <row r="62" spans="1:9" s="35" customFormat="1" x14ac:dyDescent="0.25">
      <c r="A62" s="96" t="s">
        <v>635</v>
      </c>
      <c r="B62" s="96" t="s">
        <v>3191</v>
      </c>
      <c r="C62" s="96" t="s">
        <v>3330</v>
      </c>
      <c r="D62" s="96" t="s">
        <v>3485</v>
      </c>
      <c r="E62" s="96" t="s">
        <v>3432</v>
      </c>
      <c r="F62" s="96" t="s">
        <v>3432</v>
      </c>
      <c r="G62" s="97" t="s">
        <v>3438</v>
      </c>
      <c r="H62" s="98" t="s">
        <v>3518</v>
      </c>
      <c r="I62" s="98"/>
    </row>
    <row r="63" spans="1:9" s="35" customFormat="1" x14ac:dyDescent="0.25">
      <c r="A63" s="88" t="s">
        <v>635</v>
      </c>
      <c r="B63" s="88" t="s">
        <v>3192</v>
      </c>
      <c r="C63" s="88" t="s">
        <v>3331</v>
      </c>
      <c r="D63" s="88" t="s">
        <v>3483</v>
      </c>
      <c r="E63" s="88" t="s">
        <v>3432</v>
      </c>
      <c r="F63" s="88" t="s">
        <v>3432</v>
      </c>
      <c r="G63" s="89" t="s">
        <v>3439</v>
      </c>
      <c r="H63" s="94" t="s">
        <v>45</v>
      </c>
      <c r="I63" s="94"/>
    </row>
    <row r="64" spans="1:9" s="35" customFormat="1" x14ac:dyDescent="0.25">
      <c r="A64" s="88" t="s">
        <v>635</v>
      </c>
      <c r="B64" s="88" t="s">
        <v>3193</v>
      </c>
      <c r="C64" s="88" t="s">
        <v>3332</v>
      </c>
      <c r="D64" s="88" t="s">
        <v>3483</v>
      </c>
      <c r="E64" s="88" t="s">
        <v>3432</v>
      </c>
      <c r="F64" s="88" t="s">
        <v>3432</v>
      </c>
      <c r="G64" s="89" t="s">
        <v>3439</v>
      </c>
      <c r="H64" s="94" t="s">
        <v>3519</v>
      </c>
      <c r="I64" s="94"/>
    </row>
    <row r="65" spans="1:9" s="35" customFormat="1" x14ac:dyDescent="0.25">
      <c r="A65" s="88" t="s">
        <v>635</v>
      </c>
      <c r="B65" s="88" t="s">
        <v>3194</v>
      </c>
      <c r="C65" s="88" t="s">
        <v>3333</v>
      </c>
      <c r="D65" s="88" t="s">
        <v>3483</v>
      </c>
      <c r="E65" s="88" t="s">
        <v>3432</v>
      </c>
      <c r="F65" s="88" t="s">
        <v>3432</v>
      </c>
      <c r="G65" s="89" t="s">
        <v>3439</v>
      </c>
      <c r="H65" s="94" t="s">
        <v>3520</v>
      </c>
      <c r="I65" s="94"/>
    </row>
    <row r="66" spans="1:9" s="35" customFormat="1" x14ac:dyDescent="0.25">
      <c r="A66" s="88" t="s">
        <v>635</v>
      </c>
      <c r="B66" s="88" t="s">
        <v>3195</v>
      </c>
      <c r="C66" s="88" t="s">
        <v>3334</v>
      </c>
      <c r="D66" s="88" t="s">
        <v>3485</v>
      </c>
      <c r="E66" s="88" t="s">
        <v>3432</v>
      </c>
      <c r="F66" s="88" t="s">
        <v>3432</v>
      </c>
      <c r="G66" s="89" t="s">
        <v>3439</v>
      </c>
      <c r="H66" s="94" t="s">
        <v>3521</v>
      </c>
      <c r="I66" s="94"/>
    </row>
    <row r="67" spans="1:9" s="35" customFormat="1" x14ac:dyDescent="0.25">
      <c r="A67" s="88" t="s">
        <v>635</v>
      </c>
      <c r="B67" s="88" t="s">
        <v>3196</v>
      </c>
      <c r="C67" s="88" t="s">
        <v>3335</v>
      </c>
      <c r="D67" s="88" t="s">
        <v>3483</v>
      </c>
      <c r="E67" s="88" t="s">
        <v>3432</v>
      </c>
      <c r="F67" s="88" t="s">
        <v>3432</v>
      </c>
      <c r="G67" s="89" t="s">
        <v>3439</v>
      </c>
      <c r="H67" s="94" t="s">
        <v>3522</v>
      </c>
      <c r="I67" s="94"/>
    </row>
    <row r="68" spans="1:9" s="35" customFormat="1" x14ac:dyDescent="0.25">
      <c r="A68" s="88" t="s">
        <v>635</v>
      </c>
      <c r="B68" s="88" t="s">
        <v>3197</v>
      </c>
      <c r="C68" s="88" t="s">
        <v>3336</v>
      </c>
      <c r="D68" s="88" t="s">
        <v>3483</v>
      </c>
      <c r="E68" s="88" t="s">
        <v>3432</v>
      </c>
      <c r="F68" s="88" t="s">
        <v>3432</v>
      </c>
      <c r="G68" s="89" t="s">
        <v>3439</v>
      </c>
      <c r="H68" s="94" t="s">
        <v>3523</v>
      </c>
      <c r="I68" s="94"/>
    </row>
    <row r="69" spans="1:9" s="35" customFormat="1" x14ac:dyDescent="0.25">
      <c r="A69" s="88" t="s">
        <v>635</v>
      </c>
      <c r="B69" s="88" t="s">
        <v>3198</v>
      </c>
      <c r="C69" s="88" t="s">
        <v>3337</v>
      </c>
      <c r="D69" s="88" t="s">
        <v>3483</v>
      </c>
      <c r="E69" s="88" t="s">
        <v>3432</v>
      </c>
      <c r="F69" s="88" t="s">
        <v>3432</v>
      </c>
      <c r="G69" s="89" t="s">
        <v>3439</v>
      </c>
      <c r="H69" s="94" t="s">
        <v>3524</v>
      </c>
      <c r="I69" s="94"/>
    </row>
    <row r="70" spans="1:9" s="35" customFormat="1" x14ac:dyDescent="0.25">
      <c r="A70" s="88" t="s">
        <v>635</v>
      </c>
      <c r="B70" s="88" t="s">
        <v>3199</v>
      </c>
      <c r="C70" s="88" t="s">
        <v>3338</v>
      </c>
      <c r="D70" s="88" t="s">
        <v>3483</v>
      </c>
      <c r="E70" s="88" t="s">
        <v>3432</v>
      </c>
      <c r="F70" s="88" t="s">
        <v>3432</v>
      </c>
      <c r="G70" s="89" t="s">
        <v>3439</v>
      </c>
      <c r="H70" s="94" t="s">
        <v>3525</v>
      </c>
      <c r="I70" s="94"/>
    </row>
    <row r="71" spans="1:9" s="35" customFormat="1" x14ac:dyDescent="0.25">
      <c r="A71" s="88" t="s">
        <v>635</v>
      </c>
      <c r="B71" s="88" t="s">
        <v>3200</v>
      </c>
      <c r="C71" s="88" t="s">
        <v>3339</v>
      </c>
      <c r="D71" s="88" t="s">
        <v>3483</v>
      </c>
      <c r="E71" s="88" t="s">
        <v>3432</v>
      </c>
      <c r="F71" s="88" t="s">
        <v>3432</v>
      </c>
      <c r="G71" s="89" t="s">
        <v>3439</v>
      </c>
      <c r="H71" s="94" t="s">
        <v>3526</v>
      </c>
      <c r="I71" s="94"/>
    </row>
    <row r="72" spans="1:9" s="35" customFormat="1" x14ac:dyDescent="0.25">
      <c r="A72" s="88" t="s">
        <v>635</v>
      </c>
      <c r="B72" s="88" t="s">
        <v>3201</v>
      </c>
      <c r="C72" s="88" t="s">
        <v>3340</v>
      </c>
      <c r="D72" s="88" t="s">
        <v>3483</v>
      </c>
      <c r="E72" s="88" t="s">
        <v>3432</v>
      </c>
      <c r="F72" s="88" t="s">
        <v>3432</v>
      </c>
      <c r="G72" s="89" t="s">
        <v>3439</v>
      </c>
      <c r="H72" s="94" t="s">
        <v>3527</v>
      </c>
      <c r="I72" s="94"/>
    </row>
    <row r="73" spans="1:9" s="35" customFormat="1" x14ac:dyDescent="0.25">
      <c r="A73" s="88" t="s">
        <v>635</v>
      </c>
      <c r="B73" s="88" t="s">
        <v>3202</v>
      </c>
      <c r="C73" s="88" t="s">
        <v>3341</v>
      </c>
      <c r="D73" s="88" t="s">
        <v>3483</v>
      </c>
      <c r="E73" s="88" t="s">
        <v>3432</v>
      </c>
      <c r="F73" s="88" t="s">
        <v>3432</v>
      </c>
      <c r="G73" s="89" t="s">
        <v>3439</v>
      </c>
      <c r="H73" s="94" t="s">
        <v>3528</v>
      </c>
      <c r="I73" s="94"/>
    </row>
    <row r="74" spans="1:9" s="35" customFormat="1" x14ac:dyDescent="0.25">
      <c r="A74" s="88" t="s">
        <v>635</v>
      </c>
      <c r="B74" s="88" t="s">
        <v>3203</v>
      </c>
      <c r="C74" s="88" t="s">
        <v>3342</v>
      </c>
      <c r="D74" s="88" t="s">
        <v>3483</v>
      </c>
      <c r="E74" s="88" t="s">
        <v>3432</v>
      </c>
      <c r="F74" s="88" t="s">
        <v>3432</v>
      </c>
      <c r="G74" s="89" t="s">
        <v>3439</v>
      </c>
      <c r="H74" s="94" t="s">
        <v>3529</v>
      </c>
      <c r="I74" s="94"/>
    </row>
    <row r="75" spans="1:9" s="35" customFormat="1" x14ac:dyDescent="0.25">
      <c r="A75" s="96" t="s">
        <v>635</v>
      </c>
      <c r="B75" s="96" t="s">
        <v>3204</v>
      </c>
      <c r="C75" s="96" t="s">
        <v>3343</v>
      </c>
      <c r="D75" s="96" t="s">
        <v>3483</v>
      </c>
      <c r="E75" s="96" t="s">
        <v>3432</v>
      </c>
      <c r="F75" s="96" t="s">
        <v>3432</v>
      </c>
      <c r="G75" s="97" t="s">
        <v>3439</v>
      </c>
      <c r="H75" s="98" t="s">
        <v>3530</v>
      </c>
      <c r="I75" s="98"/>
    </row>
    <row r="76" spans="1:9" s="35" customFormat="1" x14ac:dyDescent="0.25">
      <c r="A76" s="88" t="s">
        <v>635</v>
      </c>
      <c r="B76" s="88" t="s">
        <v>3205</v>
      </c>
      <c r="C76" s="88" t="s">
        <v>3344</v>
      </c>
      <c r="D76" s="88" t="s">
        <v>3485</v>
      </c>
      <c r="E76" s="88" t="s">
        <v>3432</v>
      </c>
      <c r="F76" s="88" t="s">
        <v>3432</v>
      </c>
      <c r="G76" s="89" t="s">
        <v>3440</v>
      </c>
      <c r="H76" s="94" t="s">
        <v>3531</v>
      </c>
      <c r="I76" s="94"/>
    </row>
    <row r="77" spans="1:9" s="35" customFormat="1" x14ac:dyDescent="0.25">
      <c r="A77" s="88" t="s">
        <v>635</v>
      </c>
      <c r="B77" s="88" t="s">
        <v>3206</v>
      </c>
      <c r="C77" s="88" t="s">
        <v>3345</v>
      </c>
      <c r="D77" s="88" t="s">
        <v>3485</v>
      </c>
      <c r="E77" s="88" t="s">
        <v>3432</v>
      </c>
      <c r="F77" s="88" t="s">
        <v>3432</v>
      </c>
      <c r="G77" s="89" t="s">
        <v>3440</v>
      </c>
      <c r="H77" s="94" t="s">
        <v>3531</v>
      </c>
      <c r="I77" s="94"/>
    </row>
    <row r="78" spans="1:9" s="35" customFormat="1" x14ac:dyDescent="0.25">
      <c r="A78" s="88" t="s">
        <v>635</v>
      </c>
      <c r="B78" s="88" t="s">
        <v>3207</v>
      </c>
      <c r="C78" s="88" t="s">
        <v>3346</v>
      </c>
      <c r="D78" s="88" t="s">
        <v>3483</v>
      </c>
      <c r="E78" s="88" t="s">
        <v>3432</v>
      </c>
      <c r="F78" s="88" t="s">
        <v>3432</v>
      </c>
      <c r="G78" s="89" t="s">
        <v>3440</v>
      </c>
      <c r="H78" s="94" t="s">
        <v>3532</v>
      </c>
      <c r="I78" s="94"/>
    </row>
    <row r="79" spans="1:9" s="35" customFormat="1" x14ac:dyDescent="0.25">
      <c r="A79" s="88" t="s">
        <v>635</v>
      </c>
      <c r="B79" s="88" t="s">
        <v>3208</v>
      </c>
      <c r="C79" s="88" t="s">
        <v>3347</v>
      </c>
      <c r="D79" s="88" t="s">
        <v>3483</v>
      </c>
      <c r="E79" s="88" t="s">
        <v>3432</v>
      </c>
      <c r="F79" s="88" t="s">
        <v>3432</v>
      </c>
      <c r="G79" s="89" t="s">
        <v>3440</v>
      </c>
      <c r="H79" s="94" t="s">
        <v>3531</v>
      </c>
      <c r="I79" s="94"/>
    </row>
    <row r="80" spans="1:9" s="35" customFormat="1" x14ac:dyDescent="0.25">
      <c r="A80" s="88" t="s">
        <v>635</v>
      </c>
      <c r="B80" s="88" t="s">
        <v>3209</v>
      </c>
      <c r="C80" s="88" t="s">
        <v>3348</v>
      </c>
      <c r="D80" s="88" t="s">
        <v>3483</v>
      </c>
      <c r="E80" s="88" t="s">
        <v>3432</v>
      </c>
      <c r="F80" s="88" t="s">
        <v>3432</v>
      </c>
      <c r="G80" s="89" t="s">
        <v>3440</v>
      </c>
      <c r="H80" s="94" t="s">
        <v>3533</v>
      </c>
      <c r="I80" s="94"/>
    </row>
    <row r="81" spans="1:9" s="35" customFormat="1" x14ac:dyDescent="0.25">
      <c r="A81" s="88" t="s">
        <v>635</v>
      </c>
      <c r="B81" s="88" t="s">
        <v>3210</v>
      </c>
      <c r="C81" s="88" t="s">
        <v>3534</v>
      </c>
      <c r="D81" s="88" t="s">
        <v>3485</v>
      </c>
      <c r="E81" s="88" t="s">
        <v>3432</v>
      </c>
      <c r="F81" s="88" t="s">
        <v>3432</v>
      </c>
      <c r="G81" s="89" t="s">
        <v>3440</v>
      </c>
      <c r="H81" s="94" t="s">
        <v>3444</v>
      </c>
      <c r="I81" s="94"/>
    </row>
    <row r="82" spans="1:9" s="35" customFormat="1" x14ac:dyDescent="0.25">
      <c r="A82" s="88" t="s">
        <v>635</v>
      </c>
      <c r="B82" s="88" t="s">
        <v>3211</v>
      </c>
      <c r="C82" s="88" t="s">
        <v>3349</v>
      </c>
      <c r="D82" s="88" t="s">
        <v>3483</v>
      </c>
      <c r="E82" s="88" t="s">
        <v>3432</v>
      </c>
      <c r="F82" s="88" t="s">
        <v>3432</v>
      </c>
      <c r="G82" s="89" t="s">
        <v>3440</v>
      </c>
      <c r="H82" s="94" t="s">
        <v>3441</v>
      </c>
      <c r="I82" s="94"/>
    </row>
    <row r="83" spans="1:9" s="35" customFormat="1" x14ac:dyDescent="0.25">
      <c r="A83" s="88" t="s">
        <v>635</v>
      </c>
      <c r="B83" s="88" t="s">
        <v>3212</v>
      </c>
      <c r="C83" s="88" t="s">
        <v>3350</v>
      </c>
      <c r="D83" s="88" t="s">
        <v>3483</v>
      </c>
      <c r="E83" s="88" t="s">
        <v>3432</v>
      </c>
      <c r="F83" s="88" t="s">
        <v>3432</v>
      </c>
      <c r="G83" s="89" t="s">
        <v>3440</v>
      </c>
      <c r="H83" s="94" t="s">
        <v>3441</v>
      </c>
      <c r="I83" s="94"/>
    </row>
    <row r="84" spans="1:9" s="35" customFormat="1" x14ac:dyDescent="0.25">
      <c r="A84" s="88" t="s">
        <v>635</v>
      </c>
      <c r="B84" s="88" t="s">
        <v>3213</v>
      </c>
      <c r="C84" s="88" t="s">
        <v>3351</v>
      </c>
      <c r="D84" s="88" t="s">
        <v>3485</v>
      </c>
      <c r="E84" s="88" t="s">
        <v>3432</v>
      </c>
      <c r="F84" s="88" t="s">
        <v>3432</v>
      </c>
      <c r="G84" s="89" t="s">
        <v>3440</v>
      </c>
      <c r="H84" s="94" t="s">
        <v>3531</v>
      </c>
      <c r="I84" s="94"/>
    </row>
    <row r="85" spans="1:9" s="35" customFormat="1" x14ac:dyDescent="0.25">
      <c r="A85" s="88" t="s">
        <v>635</v>
      </c>
      <c r="B85" s="88" t="s">
        <v>3214</v>
      </c>
      <c r="C85" s="88" t="s">
        <v>3352</v>
      </c>
      <c r="D85" s="88" t="s">
        <v>3483</v>
      </c>
      <c r="E85" s="88" t="s">
        <v>3432</v>
      </c>
      <c r="F85" s="88" t="s">
        <v>3432</v>
      </c>
      <c r="G85" s="89" t="s">
        <v>3440</v>
      </c>
      <c r="H85" s="94" t="s">
        <v>3531</v>
      </c>
      <c r="I85" s="94"/>
    </row>
    <row r="86" spans="1:9" s="35" customFormat="1" x14ac:dyDescent="0.25">
      <c r="A86" s="96" t="s">
        <v>635</v>
      </c>
      <c r="B86" s="96" t="s">
        <v>3215</v>
      </c>
      <c r="C86" s="96" t="s">
        <v>3353</v>
      </c>
      <c r="D86" s="96" t="s">
        <v>3483</v>
      </c>
      <c r="E86" s="96" t="s">
        <v>3432</v>
      </c>
      <c r="F86" s="96" t="s">
        <v>3432</v>
      </c>
      <c r="G86" s="97" t="s">
        <v>3440</v>
      </c>
      <c r="H86" s="98" t="s">
        <v>3531</v>
      </c>
      <c r="I86" s="98"/>
    </row>
    <row r="87" spans="1:9" s="35" customFormat="1" x14ac:dyDescent="0.25">
      <c r="A87" s="88" t="s">
        <v>635</v>
      </c>
      <c r="B87" s="88" t="s">
        <v>3216</v>
      </c>
      <c r="C87" s="88" t="s">
        <v>3354</v>
      </c>
      <c r="D87" s="88" t="s">
        <v>3485</v>
      </c>
      <c r="E87" s="88" t="s">
        <v>3432</v>
      </c>
      <c r="F87" s="88" t="s">
        <v>3432</v>
      </c>
      <c r="G87" s="89" t="s">
        <v>3441</v>
      </c>
      <c r="H87" s="94" t="s">
        <v>3441</v>
      </c>
      <c r="I87" s="94"/>
    </row>
    <row r="88" spans="1:9" s="35" customFormat="1" x14ac:dyDescent="0.25">
      <c r="A88" s="88" t="s">
        <v>635</v>
      </c>
      <c r="B88" s="88" t="s">
        <v>3217</v>
      </c>
      <c r="C88" s="88" t="s">
        <v>3355</v>
      </c>
      <c r="D88" s="88" t="s">
        <v>3485</v>
      </c>
      <c r="E88" s="88" t="s">
        <v>3432</v>
      </c>
      <c r="F88" s="88" t="s">
        <v>3432</v>
      </c>
      <c r="G88" s="89" t="s">
        <v>3441</v>
      </c>
      <c r="H88" s="94" t="s">
        <v>3441</v>
      </c>
      <c r="I88" s="94"/>
    </row>
    <row r="89" spans="1:9" s="35" customFormat="1" x14ac:dyDescent="0.25">
      <c r="A89" s="88" t="s">
        <v>635</v>
      </c>
      <c r="B89" s="88" t="s">
        <v>3218</v>
      </c>
      <c r="C89" s="88" t="s">
        <v>3356</v>
      </c>
      <c r="D89" s="88" t="s">
        <v>3485</v>
      </c>
      <c r="E89" s="88" t="s">
        <v>3432</v>
      </c>
      <c r="F89" s="88" t="s">
        <v>3432</v>
      </c>
      <c r="G89" s="89" t="s">
        <v>3441</v>
      </c>
      <c r="H89" s="94" t="s">
        <v>3441</v>
      </c>
      <c r="I89" s="94"/>
    </row>
    <row r="90" spans="1:9" s="35" customFormat="1" x14ac:dyDescent="0.25">
      <c r="A90" s="88" t="s">
        <v>635</v>
      </c>
      <c r="B90" s="88" t="s">
        <v>3219</v>
      </c>
      <c r="C90" s="88" t="s">
        <v>3357</v>
      </c>
      <c r="D90" s="88" t="s">
        <v>3485</v>
      </c>
      <c r="E90" s="88" t="s">
        <v>3432</v>
      </c>
      <c r="F90" s="88" t="s">
        <v>3432</v>
      </c>
      <c r="G90" s="89" t="s">
        <v>3441</v>
      </c>
      <c r="H90" s="94" t="s">
        <v>3441</v>
      </c>
      <c r="I90" s="94"/>
    </row>
    <row r="91" spans="1:9" s="35" customFormat="1" x14ac:dyDescent="0.25">
      <c r="A91" s="88" t="s">
        <v>635</v>
      </c>
      <c r="B91" s="88" t="s">
        <v>3220</v>
      </c>
      <c r="C91" s="88" t="s">
        <v>3358</v>
      </c>
      <c r="D91" s="88" t="s">
        <v>3485</v>
      </c>
      <c r="E91" s="88" t="s">
        <v>3432</v>
      </c>
      <c r="F91" s="88" t="s">
        <v>3432</v>
      </c>
      <c r="G91" s="89" t="s">
        <v>3441</v>
      </c>
      <c r="H91" s="94" t="s">
        <v>3441</v>
      </c>
      <c r="I91" s="94"/>
    </row>
    <row r="92" spans="1:9" s="35" customFormat="1" x14ac:dyDescent="0.25">
      <c r="A92" s="96" t="s">
        <v>635</v>
      </c>
      <c r="B92" s="96" t="s">
        <v>3221</v>
      </c>
      <c r="C92" s="96" t="s">
        <v>3535</v>
      </c>
      <c r="D92" s="96" t="s">
        <v>3485</v>
      </c>
      <c r="E92" s="96" t="s">
        <v>3432</v>
      </c>
      <c r="F92" s="96" t="s">
        <v>3432</v>
      </c>
      <c r="G92" s="97" t="s">
        <v>3441</v>
      </c>
      <c r="H92" s="98" t="s">
        <v>3441</v>
      </c>
      <c r="I92" s="98"/>
    </row>
    <row r="93" spans="1:9" s="35" customFormat="1" x14ac:dyDescent="0.25">
      <c r="A93" s="88" t="s">
        <v>635</v>
      </c>
      <c r="B93" s="88" t="s">
        <v>3222</v>
      </c>
      <c r="C93" s="88" t="s">
        <v>3359</v>
      </c>
      <c r="D93" s="88" t="s">
        <v>3483</v>
      </c>
      <c r="E93" s="88" t="s">
        <v>3433</v>
      </c>
      <c r="F93" s="88" t="s">
        <v>3433</v>
      </c>
      <c r="G93" s="89" t="s">
        <v>3811</v>
      </c>
      <c r="H93" s="94" t="s">
        <v>3816</v>
      </c>
      <c r="I93" s="94" t="s">
        <v>3814</v>
      </c>
    </row>
    <row r="94" spans="1:9" s="35" customFormat="1" x14ac:dyDescent="0.25">
      <c r="A94" s="88" t="s">
        <v>635</v>
      </c>
      <c r="B94" s="88" t="s">
        <v>3223</v>
      </c>
      <c r="C94" s="88" t="s">
        <v>3360</v>
      </c>
      <c r="D94" s="88" t="s">
        <v>3483</v>
      </c>
      <c r="E94" s="88" t="s">
        <v>3433</v>
      </c>
      <c r="F94" s="88" t="s">
        <v>3433</v>
      </c>
      <c r="G94" s="89" t="s">
        <v>3811</v>
      </c>
      <c r="H94" s="94" t="s">
        <v>3536</v>
      </c>
      <c r="I94" s="94" t="s">
        <v>3814</v>
      </c>
    </row>
    <row r="95" spans="1:9" s="35" customFormat="1" x14ac:dyDescent="0.25">
      <c r="A95" s="88" t="s">
        <v>635</v>
      </c>
      <c r="B95" s="88" t="s">
        <v>3224</v>
      </c>
      <c r="C95" s="88" t="s">
        <v>3361</v>
      </c>
      <c r="D95" s="88" t="s">
        <v>3485</v>
      </c>
      <c r="E95" s="88" t="s">
        <v>3433</v>
      </c>
      <c r="F95" s="88" t="s">
        <v>3433</v>
      </c>
      <c r="G95" s="89" t="s">
        <v>3811</v>
      </c>
      <c r="H95" s="94" t="s">
        <v>3444</v>
      </c>
      <c r="I95" s="94"/>
    </row>
    <row r="96" spans="1:9" s="35" customFormat="1" x14ac:dyDescent="0.25">
      <c r="A96" s="88" t="s">
        <v>635</v>
      </c>
      <c r="B96" s="88" t="s">
        <v>3225</v>
      </c>
      <c r="C96" s="88" t="s">
        <v>3362</v>
      </c>
      <c r="D96" s="88" t="s">
        <v>3483</v>
      </c>
      <c r="E96" s="88" t="s">
        <v>3433</v>
      </c>
      <c r="F96" s="88" t="s">
        <v>3433</v>
      </c>
      <c r="G96" s="89" t="s">
        <v>3811</v>
      </c>
      <c r="H96" s="94" t="s">
        <v>3537</v>
      </c>
      <c r="I96" s="94" t="s">
        <v>3814</v>
      </c>
    </row>
    <row r="97" spans="1:9" s="35" customFormat="1" x14ac:dyDescent="0.25">
      <c r="A97" s="88" t="s">
        <v>635</v>
      </c>
      <c r="B97" s="88" t="s">
        <v>3226</v>
      </c>
      <c r="C97" s="88" t="s">
        <v>3363</v>
      </c>
      <c r="D97" s="88" t="s">
        <v>3483</v>
      </c>
      <c r="E97" s="88" t="s">
        <v>3433</v>
      </c>
      <c r="F97" s="88" t="s">
        <v>3433</v>
      </c>
      <c r="G97" s="89" t="s">
        <v>3811</v>
      </c>
      <c r="H97" s="94" t="s">
        <v>3538</v>
      </c>
      <c r="I97" s="94" t="s">
        <v>3814</v>
      </c>
    </row>
    <row r="98" spans="1:9" s="35" customFormat="1" x14ac:dyDescent="0.25">
      <c r="A98" s="88" t="s">
        <v>635</v>
      </c>
      <c r="B98" s="88" t="s">
        <v>3227</v>
      </c>
      <c r="C98" s="88" t="s">
        <v>3364</v>
      </c>
      <c r="D98" s="88" t="s">
        <v>3483</v>
      </c>
      <c r="E98" s="88" t="s">
        <v>3433</v>
      </c>
      <c r="F98" s="88" t="s">
        <v>3433</v>
      </c>
      <c r="G98" s="89" t="s">
        <v>3811</v>
      </c>
      <c r="H98" s="94" t="s">
        <v>3539</v>
      </c>
      <c r="I98" s="94" t="s">
        <v>3814</v>
      </c>
    </row>
    <row r="99" spans="1:9" s="35" customFormat="1" x14ac:dyDescent="0.25">
      <c r="A99" s="88" t="s">
        <v>635</v>
      </c>
      <c r="B99" s="88" t="s">
        <v>3228</v>
      </c>
      <c r="C99" s="88" t="s">
        <v>3365</v>
      </c>
      <c r="D99" s="88" t="s">
        <v>3485</v>
      </c>
      <c r="E99" s="88" t="s">
        <v>3433</v>
      </c>
      <c r="F99" s="88" t="s">
        <v>3433</v>
      </c>
      <c r="G99" s="89" t="s">
        <v>3811</v>
      </c>
      <c r="H99" s="94" t="s">
        <v>3540</v>
      </c>
      <c r="I99" s="94" t="s">
        <v>3819</v>
      </c>
    </row>
    <row r="100" spans="1:9" s="35" customFormat="1" x14ac:dyDescent="0.25">
      <c r="A100" s="88" t="s">
        <v>635</v>
      </c>
      <c r="B100" s="88" t="s">
        <v>3229</v>
      </c>
      <c r="C100" s="88" t="s">
        <v>3366</v>
      </c>
      <c r="D100" s="88" t="s">
        <v>3483</v>
      </c>
      <c r="E100" s="88" t="s">
        <v>3433</v>
      </c>
      <c r="F100" s="88" t="s">
        <v>3433</v>
      </c>
      <c r="G100" s="89" t="s">
        <v>3811</v>
      </c>
      <c r="H100" s="94" t="s">
        <v>3540</v>
      </c>
      <c r="I100" s="94" t="s">
        <v>3820</v>
      </c>
    </row>
    <row r="101" spans="1:9" s="35" customFormat="1" x14ac:dyDescent="0.25">
      <c r="A101" s="88" t="s">
        <v>635</v>
      </c>
      <c r="B101" s="88" t="s">
        <v>3230</v>
      </c>
      <c r="C101" s="88" t="s">
        <v>3367</v>
      </c>
      <c r="D101" s="88" t="s">
        <v>3483</v>
      </c>
      <c r="E101" s="88" t="s">
        <v>3433</v>
      </c>
      <c r="F101" s="88" t="s">
        <v>3433</v>
      </c>
      <c r="G101" s="89" t="s">
        <v>3811</v>
      </c>
      <c r="H101" s="94" t="s">
        <v>3541</v>
      </c>
      <c r="I101" s="94" t="s">
        <v>3817</v>
      </c>
    </row>
    <row r="102" spans="1:9" s="35" customFormat="1" x14ac:dyDescent="0.25">
      <c r="A102" s="88" t="s">
        <v>635</v>
      </c>
      <c r="B102" s="88" t="s">
        <v>3231</v>
      </c>
      <c r="C102" s="88" t="s">
        <v>3368</v>
      </c>
      <c r="D102" s="88" t="s">
        <v>3483</v>
      </c>
      <c r="E102" s="88" t="s">
        <v>3433</v>
      </c>
      <c r="F102" s="88" t="s">
        <v>3433</v>
      </c>
      <c r="G102" s="89" t="s">
        <v>3811</v>
      </c>
      <c r="H102" s="94" t="s">
        <v>3808</v>
      </c>
      <c r="I102" s="94" t="s">
        <v>3814</v>
      </c>
    </row>
    <row r="103" spans="1:9" s="35" customFormat="1" x14ac:dyDescent="0.25">
      <c r="A103" s="88" t="s">
        <v>635</v>
      </c>
      <c r="B103" s="88" t="s">
        <v>3232</v>
      </c>
      <c r="C103" s="88" t="s">
        <v>3369</v>
      </c>
      <c r="D103" s="88" t="s">
        <v>3483</v>
      </c>
      <c r="E103" s="88" t="s">
        <v>3433</v>
      </c>
      <c r="F103" s="88" t="s">
        <v>3433</v>
      </c>
      <c r="G103" s="89" t="s">
        <v>3811</v>
      </c>
      <c r="H103" s="94" t="s">
        <v>3541</v>
      </c>
      <c r="I103" s="94" t="s">
        <v>3818</v>
      </c>
    </row>
    <row r="104" spans="1:9" s="35" customFormat="1" x14ac:dyDescent="0.25">
      <c r="A104" s="88" t="s">
        <v>635</v>
      </c>
      <c r="B104" s="88" t="s">
        <v>3233</v>
      </c>
      <c r="C104" s="88" t="s">
        <v>3370</v>
      </c>
      <c r="D104" s="88" t="s">
        <v>3483</v>
      </c>
      <c r="E104" s="88" t="s">
        <v>3433</v>
      </c>
      <c r="F104" s="88" t="s">
        <v>3433</v>
      </c>
      <c r="G104" s="89" t="s">
        <v>3811</v>
      </c>
      <c r="H104" s="94" t="s">
        <v>3542</v>
      </c>
      <c r="I104" s="94" t="s">
        <v>3814</v>
      </c>
    </row>
    <row r="105" spans="1:9" s="35" customFormat="1" x14ac:dyDescent="0.25">
      <c r="A105" s="88" t="s">
        <v>635</v>
      </c>
      <c r="B105" s="88" t="s">
        <v>3234</v>
      </c>
      <c r="C105" s="88" t="s">
        <v>3371</v>
      </c>
      <c r="D105" s="88" t="s">
        <v>3483</v>
      </c>
      <c r="E105" s="88" t="s">
        <v>3433</v>
      </c>
      <c r="F105" s="88" t="s">
        <v>3433</v>
      </c>
      <c r="G105" s="89" t="s">
        <v>3811</v>
      </c>
      <c r="H105" s="94" t="s">
        <v>3823</v>
      </c>
      <c r="I105" s="94" t="s">
        <v>3814</v>
      </c>
    </row>
    <row r="106" spans="1:9" s="35" customFormat="1" x14ac:dyDescent="0.25">
      <c r="A106" s="88" t="s">
        <v>635</v>
      </c>
      <c r="B106" s="88" t="s">
        <v>3235</v>
      </c>
      <c r="C106" s="88" t="s">
        <v>3372</v>
      </c>
      <c r="D106" s="88" t="s">
        <v>3485</v>
      </c>
      <c r="E106" s="88" t="s">
        <v>3433</v>
      </c>
      <c r="F106" s="88" t="s">
        <v>3433</v>
      </c>
      <c r="G106" s="89" t="s">
        <v>3812</v>
      </c>
      <c r="H106" s="94" t="s">
        <v>3541</v>
      </c>
      <c r="I106" s="94" t="s">
        <v>3541</v>
      </c>
    </row>
    <row r="107" spans="1:9" s="35" customFormat="1" x14ac:dyDescent="0.25">
      <c r="A107" s="88" t="s">
        <v>635</v>
      </c>
      <c r="B107" s="88" t="s">
        <v>3236</v>
      </c>
      <c r="C107" s="88" t="s">
        <v>3373</v>
      </c>
      <c r="D107" s="88" t="s">
        <v>3485</v>
      </c>
      <c r="E107" s="88" t="s">
        <v>3824</v>
      </c>
      <c r="F107" s="88" t="s">
        <v>3433</v>
      </c>
      <c r="G107" s="88" t="s">
        <v>3543</v>
      </c>
      <c r="H107" s="94" t="s">
        <v>3543</v>
      </c>
      <c r="I107" s="94" t="s">
        <v>3815</v>
      </c>
    </row>
    <row r="108" spans="1:9" s="35" customFormat="1" x14ac:dyDescent="0.25">
      <c r="A108" s="88" t="s">
        <v>635</v>
      </c>
      <c r="B108" s="88" t="s">
        <v>3237</v>
      </c>
      <c r="C108" s="88" t="s">
        <v>3374</v>
      </c>
      <c r="D108" s="88" t="s">
        <v>3483</v>
      </c>
      <c r="E108" s="88" t="s">
        <v>3433</v>
      </c>
      <c r="F108" s="88" t="s">
        <v>3433</v>
      </c>
      <c r="G108" s="89" t="s">
        <v>3811</v>
      </c>
      <c r="H108" s="94" t="s">
        <v>3544</v>
      </c>
      <c r="I108" s="94"/>
    </row>
    <row r="109" spans="1:9" s="35" customFormat="1" x14ac:dyDescent="0.25">
      <c r="A109" s="88" t="s">
        <v>635</v>
      </c>
      <c r="B109" s="88" t="s">
        <v>3238</v>
      </c>
      <c r="C109" s="88" t="s">
        <v>3375</v>
      </c>
      <c r="D109" s="88" t="s">
        <v>3483</v>
      </c>
      <c r="E109" s="88" t="s">
        <v>3824</v>
      </c>
      <c r="F109" s="88" t="s">
        <v>3433</v>
      </c>
      <c r="G109" s="88" t="s">
        <v>3543</v>
      </c>
      <c r="H109" s="94" t="s">
        <v>3543</v>
      </c>
      <c r="I109" s="94" t="s">
        <v>3814</v>
      </c>
    </row>
    <row r="110" spans="1:9" s="35" customFormat="1" x14ac:dyDescent="0.25">
      <c r="A110" s="96" t="s">
        <v>635</v>
      </c>
      <c r="B110" s="96" t="s">
        <v>3239</v>
      </c>
      <c r="C110" s="96" t="s">
        <v>3376</v>
      </c>
      <c r="D110" s="96" t="s">
        <v>3485</v>
      </c>
      <c r="E110" s="96" t="s">
        <v>3433</v>
      </c>
      <c r="F110" s="96" t="s">
        <v>3433</v>
      </c>
      <c r="G110" s="97" t="s">
        <v>3811</v>
      </c>
      <c r="H110" s="98" t="s">
        <v>3544</v>
      </c>
      <c r="I110" s="98"/>
    </row>
    <row r="111" spans="1:9" s="35" customFormat="1" x14ac:dyDescent="0.25">
      <c r="A111" s="88" t="s">
        <v>635</v>
      </c>
      <c r="B111" s="88" t="s">
        <v>3240</v>
      </c>
      <c r="C111" s="88" t="s">
        <v>3377</v>
      </c>
      <c r="D111" s="88" t="s">
        <v>3483</v>
      </c>
      <c r="E111" s="88" t="s">
        <v>3433</v>
      </c>
      <c r="F111" s="88" t="s">
        <v>3433</v>
      </c>
      <c r="G111" s="89" t="s">
        <v>3442</v>
      </c>
      <c r="H111" s="94" t="s">
        <v>3538</v>
      </c>
      <c r="I111" s="94" t="s">
        <v>3813</v>
      </c>
    </row>
    <row r="112" spans="1:9" s="35" customFormat="1" x14ac:dyDescent="0.25">
      <c r="A112" s="88" t="s">
        <v>635</v>
      </c>
      <c r="B112" s="88" t="s">
        <v>3241</v>
      </c>
      <c r="C112" s="88" t="s">
        <v>3378</v>
      </c>
      <c r="D112" s="88" t="s">
        <v>3483</v>
      </c>
      <c r="E112" s="88" t="s">
        <v>3432</v>
      </c>
      <c r="F112" s="88" t="s">
        <v>3432</v>
      </c>
      <c r="G112" s="89" t="s">
        <v>3442</v>
      </c>
      <c r="H112" s="94" t="s">
        <v>3545</v>
      </c>
      <c r="I112" s="94"/>
    </row>
    <row r="113" spans="1:9" s="35" customFormat="1" x14ac:dyDescent="0.25">
      <c r="A113" s="88" t="s">
        <v>635</v>
      </c>
      <c r="B113" s="88" t="s">
        <v>3242</v>
      </c>
      <c r="C113" s="88" t="s">
        <v>3379</v>
      </c>
      <c r="D113" s="88" t="s">
        <v>3483</v>
      </c>
      <c r="E113" s="88" t="s">
        <v>3432</v>
      </c>
      <c r="F113" s="88" t="s">
        <v>3432</v>
      </c>
      <c r="G113" s="89" t="s">
        <v>3442</v>
      </c>
      <c r="H113" s="94" t="s">
        <v>3546</v>
      </c>
      <c r="I113" s="94"/>
    </row>
    <row r="114" spans="1:9" s="35" customFormat="1" x14ac:dyDescent="0.25">
      <c r="A114" s="96" t="s">
        <v>635</v>
      </c>
      <c r="B114" s="96" t="s">
        <v>3243</v>
      </c>
      <c r="C114" s="96" t="s">
        <v>3380</v>
      </c>
      <c r="D114" s="96" t="s">
        <v>3485</v>
      </c>
      <c r="E114" s="96" t="s">
        <v>3432</v>
      </c>
      <c r="F114" s="96" t="s">
        <v>3432</v>
      </c>
      <c r="G114" s="97" t="s">
        <v>3442</v>
      </c>
      <c r="H114" s="98" t="s">
        <v>3444</v>
      </c>
      <c r="I114" s="98"/>
    </row>
    <row r="115" spans="1:9" s="35" customFormat="1" x14ac:dyDescent="0.25">
      <c r="A115" s="88" t="s">
        <v>635</v>
      </c>
      <c r="B115" s="88" t="s">
        <v>3244</v>
      </c>
      <c r="C115" s="88" t="s">
        <v>3381</v>
      </c>
      <c r="D115" s="88" t="s">
        <v>3483</v>
      </c>
      <c r="E115" s="88" t="s">
        <v>3432</v>
      </c>
      <c r="F115" s="88" t="s">
        <v>3432</v>
      </c>
      <c r="G115" s="89" t="s">
        <v>3443</v>
      </c>
      <c r="H115" s="94" t="s">
        <v>3547</v>
      </c>
      <c r="I115" s="94"/>
    </row>
    <row r="116" spans="1:9" s="35" customFormat="1" x14ac:dyDescent="0.25">
      <c r="A116" s="88" t="s">
        <v>635</v>
      </c>
      <c r="B116" s="88" t="s">
        <v>3245</v>
      </c>
      <c r="C116" s="88" t="s">
        <v>3382</v>
      </c>
      <c r="D116" s="88" t="s">
        <v>3483</v>
      </c>
      <c r="E116" s="88" t="s">
        <v>3432</v>
      </c>
      <c r="F116" s="88" t="s">
        <v>3432</v>
      </c>
      <c r="G116" s="89" t="s">
        <v>3443</v>
      </c>
      <c r="H116" s="94" t="s">
        <v>3547</v>
      </c>
      <c r="I116" s="94"/>
    </row>
    <row r="117" spans="1:9" s="35" customFormat="1" x14ac:dyDescent="0.25">
      <c r="A117" s="88" t="s">
        <v>635</v>
      </c>
      <c r="B117" s="88" t="s">
        <v>3246</v>
      </c>
      <c r="C117" s="88" t="s">
        <v>3383</v>
      </c>
      <c r="D117" s="88" t="s">
        <v>3483</v>
      </c>
      <c r="E117" s="88" t="s">
        <v>3432</v>
      </c>
      <c r="F117" s="88" t="s">
        <v>3432</v>
      </c>
      <c r="G117" s="89" t="s">
        <v>3443</v>
      </c>
      <c r="H117" s="94" t="s">
        <v>3548</v>
      </c>
      <c r="I117" s="94"/>
    </row>
    <row r="118" spans="1:9" s="35" customFormat="1" x14ac:dyDescent="0.25">
      <c r="A118" s="88" t="s">
        <v>635</v>
      </c>
      <c r="B118" s="88" t="s">
        <v>3247</v>
      </c>
      <c r="C118" s="88" t="s">
        <v>3384</v>
      </c>
      <c r="D118" s="88" t="s">
        <v>3483</v>
      </c>
      <c r="E118" s="88" t="s">
        <v>3432</v>
      </c>
      <c r="F118" s="88" t="s">
        <v>3432</v>
      </c>
      <c r="G118" s="89" t="s">
        <v>3443</v>
      </c>
      <c r="H118" s="94" t="s">
        <v>3548</v>
      </c>
      <c r="I118" s="94"/>
    </row>
    <row r="119" spans="1:9" s="35" customFormat="1" x14ac:dyDescent="0.25">
      <c r="A119" s="88" t="s">
        <v>635</v>
      </c>
      <c r="B119" s="88" t="s">
        <v>3248</v>
      </c>
      <c r="C119" s="88" t="s">
        <v>3385</v>
      </c>
      <c r="D119" s="88" t="s">
        <v>3483</v>
      </c>
      <c r="E119" s="88" t="s">
        <v>3432</v>
      </c>
      <c r="F119" s="88" t="s">
        <v>3432</v>
      </c>
      <c r="G119" s="89" t="s">
        <v>3443</v>
      </c>
      <c r="H119" s="94" t="s">
        <v>3549</v>
      </c>
      <c r="I119" s="94"/>
    </row>
    <row r="120" spans="1:9" s="35" customFormat="1" x14ac:dyDescent="0.25">
      <c r="A120" s="88" t="s">
        <v>635</v>
      </c>
      <c r="B120" s="88" t="s">
        <v>3249</v>
      </c>
      <c r="C120" s="88" t="s">
        <v>3386</v>
      </c>
      <c r="D120" s="88" t="s">
        <v>3483</v>
      </c>
      <c r="E120" s="88" t="s">
        <v>3432</v>
      </c>
      <c r="F120" s="88" t="s">
        <v>3432</v>
      </c>
      <c r="G120" s="89" t="s">
        <v>3443</v>
      </c>
      <c r="H120" s="94" t="s">
        <v>3549</v>
      </c>
      <c r="I120" s="94"/>
    </row>
    <row r="121" spans="1:9" s="35" customFormat="1" x14ac:dyDescent="0.25">
      <c r="A121" s="88" t="s">
        <v>635</v>
      </c>
      <c r="B121" s="88" t="s">
        <v>3250</v>
      </c>
      <c r="C121" s="88" t="s">
        <v>3387</v>
      </c>
      <c r="D121" s="88" t="s">
        <v>3483</v>
      </c>
      <c r="E121" s="88" t="s">
        <v>3432</v>
      </c>
      <c r="F121" s="88" t="s">
        <v>3432</v>
      </c>
      <c r="G121" s="89" t="s">
        <v>3443</v>
      </c>
      <c r="H121" s="94" t="s">
        <v>3550</v>
      </c>
      <c r="I121" s="94"/>
    </row>
    <row r="122" spans="1:9" s="35" customFormat="1" x14ac:dyDescent="0.25">
      <c r="A122" s="88" t="s">
        <v>635</v>
      </c>
      <c r="B122" s="88" t="s">
        <v>3251</v>
      </c>
      <c r="C122" s="88" t="s">
        <v>3388</v>
      </c>
      <c r="D122" s="88" t="s">
        <v>3483</v>
      </c>
      <c r="E122" s="88" t="s">
        <v>3432</v>
      </c>
      <c r="F122" s="88" t="s">
        <v>3432</v>
      </c>
      <c r="G122" s="89" t="s">
        <v>3443</v>
      </c>
      <c r="H122" s="94" t="s">
        <v>3550</v>
      </c>
      <c r="I122" s="94"/>
    </row>
    <row r="123" spans="1:9" s="35" customFormat="1" x14ac:dyDescent="0.25">
      <c r="A123" s="88" t="s">
        <v>635</v>
      </c>
      <c r="B123" s="88" t="s">
        <v>3252</v>
      </c>
      <c r="C123" s="88" t="s">
        <v>3389</v>
      </c>
      <c r="D123" s="88" t="s">
        <v>3483</v>
      </c>
      <c r="E123" s="88" t="s">
        <v>3432</v>
      </c>
      <c r="F123" s="88" t="s">
        <v>3432</v>
      </c>
      <c r="G123" s="89" t="s">
        <v>3443</v>
      </c>
      <c r="H123" s="94" t="s">
        <v>3551</v>
      </c>
      <c r="I123" s="94"/>
    </row>
    <row r="124" spans="1:9" s="35" customFormat="1" x14ac:dyDescent="0.25">
      <c r="A124" s="88" t="s">
        <v>635</v>
      </c>
      <c r="B124" s="88" t="s">
        <v>3253</v>
      </c>
      <c r="C124" s="88" t="s">
        <v>3390</v>
      </c>
      <c r="D124" s="88" t="s">
        <v>3485</v>
      </c>
      <c r="E124" s="88" t="s">
        <v>3432</v>
      </c>
      <c r="F124" s="88" t="s">
        <v>3432</v>
      </c>
      <c r="G124" s="89" t="s">
        <v>3443</v>
      </c>
      <c r="H124" s="94" t="s">
        <v>3548</v>
      </c>
      <c r="I124" s="94"/>
    </row>
    <row r="125" spans="1:9" s="35" customFormat="1" x14ac:dyDescent="0.25">
      <c r="A125" s="88" t="s">
        <v>635</v>
      </c>
      <c r="B125" s="88" t="s">
        <v>3254</v>
      </c>
      <c r="C125" s="88" t="s">
        <v>3391</v>
      </c>
      <c r="D125" s="88" t="s">
        <v>3485</v>
      </c>
      <c r="E125" s="88" t="s">
        <v>3432</v>
      </c>
      <c r="F125" s="88" t="s">
        <v>3432</v>
      </c>
      <c r="G125" s="89" t="s">
        <v>3443</v>
      </c>
      <c r="H125" s="94" t="s">
        <v>3549</v>
      </c>
      <c r="I125" s="94"/>
    </row>
    <row r="126" spans="1:9" s="35" customFormat="1" x14ac:dyDescent="0.25">
      <c r="A126" s="88" t="s">
        <v>635</v>
      </c>
      <c r="B126" s="88" t="s">
        <v>3255</v>
      </c>
      <c r="C126" s="88" t="s">
        <v>3392</v>
      </c>
      <c r="D126" s="88" t="s">
        <v>3483</v>
      </c>
      <c r="E126" s="88" t="s">
        <v>3432</v>
      </c>
      <c r="F126" s="88" t="s">
        <v>3432</v>
      </c>
      <c r="G126" s="89" t="s">
        <v>3443</v>
      </c>
      <c r="H126" s="94" t="s">
        <v>3552</v>
      </c>
      <c r="I126" s="94"/>
    </row>
    <row r="127" spans="1:9" s="35" customFormat="1" x14ac:dyDescent="0.25">
      <c r="A127" s="88" t="s">
        <v>635</v>
      </c>
      <c r="B127" s="88" t="s">
        <v>3256</v>
      </c>
      <c r="C127" s="88" t="s">
        <v>3393</v>
      </c>
      <c r="D127" s="88" t="s">
        <v>3485</v>
      </c>
      <c r="E127" s="88" t="s">
        <v>3432</v>
      </c>
      <c r="F127" s="88" t="s">
        <v>3432</v>
      </c>
      <c r="G127" s="89" t="s">
        <v>3443</v>
      </c>
      <c r="H127" s="94" t="s">
        <v>3547</v>
      </c>
      <c r="I127" s="94"/>
    </row>
    <row r="128" spans="1:9" s="35" customFormat="1" x14ac:dyDescent="0.25">
      <c r="A128" s="88" t="s">
        <v>635</v>
      </c>
      <c r="B128" s="88" t="s">
        <v>3257</v>
      </c>
      <c r="C128" s="88" t="s">
        <v>3394</v>
      </c>
      <c r="D128" s="88" t="s">
        <v>3483</v>
      </c>
      <c r="E128" s="88" t="s">
        <v>3432</v>
      </c>
      <c r="F128" s="88" t="s">
        <v>3432</v>
      </c>
      <c r="G128" s="89" t="s">
        <v>3443</v>
      </c>
      <c r="H128" s="94" t="s">
        <v>3553</v>
      </c>
      <c r="I128" s="94"/>
    </row>
    <row r="129" spans="1:9" s="35" customFormat="1" x14ac:dyDescent="0.25">
      <c r="A129" s="88" t="s">
        <v>635</v>
      </c>
      <c r="B129" s="88" t="s">
        <v>3258</v>
      </c>
      <c r="C129" s="88" t="s">
        <v>3395</v>
      </c>
      <c r="D129" s="88" t="s">
        <v>3485</v>
      </c>
      <c r="E129" s="88" t="s">
        <v>3432</v>
      </c>
      <c r="F129" s="88" t="s">
        <v>3432</v>
      </c>
      <c r="G129" s="89" t="s">
        <v>3443</v>
      </c>
      <c r="H129" s="94" t="s">
        <v>3553</v>
      </c>
      <c r="I129" s="94"/>
    </row>
    <row r="130" spans="1:9" s="35" customFormat="1" x14ac:dyDescent="0.25">
      <c r="A130" s="88" t="s">
        <v>635</v>
      </c>
      <c r="B130" s="88" t="s">
        <v>3259</v>
      </c>
      <c r="C130" s="88" t="s">
        <v>3396</v>
      </c>
      <c r="D130" s="88" t="s">
        <v>3483</v>
      </c>
      <c r="E130" s="88" t="s">
        <v>3432</v>
      </c>
      <c r="F130" s="88" t="s">
        <v>3432</v>
      </c>
      <c r="G130" s="89" t="s">
        <v>3443</v>
      </c>
      <c r="H130" s="94" t="s">
        <v>3554</v>
      </c>
      <c r="I130" s="94"/>
    </row>
    <row r="131" spans="1:9" s="35" customFormat="1" x14ac:dyDescent="0.25">
      <c r="A131" s="88" t="s">
        <v>635</v>
      </c>
      <c r="B131" s="88" t="s">
        <v>3260</v>
      </c>
      <c r="C131" s="88" t="s">
        <v>3397</v>
      </c>
      <c r="D131" s="88" t="s">
        <v>3485</v>
      </c>
      <c r="E131" s="88" t="s">
        <v>3432</v>
      </c>
      <c r="F131" s="88" t="s">
        <v>3432</v>
      </c>
      <c r="G131" s="89" t="s">
        <v>3443</v>
      </c>
      <c r="H131" s="94" t="s">
        <v>3555</v>
      </c>
      <c r="I131" s="94"/>
    </row>
    <row r="132" spans="1:9" s="35" customFormat="1" x14ac:dyDescent="0.25">
      <c r="A132" s="96" t="s">
        <v>635</v>
      </c>
      <c r="B132" s="96" t="s">
        <v>3261</v>
      </c>
      <c r="C132" s="96" t="s">
        <v>3398</v>
      </c>
      <c r="D132" s="96" t="s">
        <v>3483</v>
      </c>
      <c r="E132" s="96" t="s">
        <v>3433</v>
      </c>
      <c r="F132" s="96" t="s">
        <v>3433</v>
      </c>
      <c r="G132" s="97" t="s">
        <v>3443</v>
      </c>
      <c r="H132" s="98" t="s">
        <v>3538</v>
      </c>
      <c r="I132" s="98" t="s">
        <v>3556</v>
      </c>
    </row>
    <row r="133" spans="1:9" s="35" customFormat="1" x14ac:dyDescent="0.25">
      <c r="A133" s="88" t="s">
        <v>635</v>
      </c>
      <c r="B133" s="88" t="s">
        <v>3262</v>
      </c>
      <c r="C133" s="88" t="s">
        <v>3399</v>
      </c>
      <c r="D133" s="88" t="s">
        <v>3483</v>
      </c>
      <c r="E133" s="88" t="s">
        <v>3432</v>
      </c>
      <c r="F133" s="88" t="s">
        <v>3432</v>
      </c>
      <c r="G133" s="89" t="s">
        <v>3444</v>
      </c>
      <c r="H133" s="94" t="s">
        <v>3557</v>
      </c>
      <c r="I133" s="94"/>
    </row>
    <row r="134" spans="1:9" s="35" customFormat="1" x14ac:dyDescent="0.25">
      <c r="A134" s="88" t="s">
        <v>635</v>
      </c>
      <c r="B134" s="88" t="s">
        <v>3263</v>
      </c>
      <c r="C134" s="88" t="s">
        <v>3400</v>
      </c>
      <c r="D134" s="88" t="s">
        <v>3483</v>
      </c>
      <c r="E134" s="88" t="s">
        <v>3432</v>
      </c>
      <c r="F134" s="88" t="s">
        <v>3432</v>
      </c>
      <c r="G134" s="89" t="s">
        <v>3444</v>
      </c>
      <c r="H134" s="94" t="s">
        <v>3075</v>
      </c>
      <c r="I134" s="94"/>
    </row>
    <row r="135" spans="1:9" s="35" customFormat="1" x14ac:dyDescent="0.25">
      <c r="A135" s="88" t="s">
        <v>635</v>
      </c>
      <c r="B135" s="88" t="s">
        <v>3264</v>
      </c>
      <c r="C135" s="88" t="s">
        <v>3401</v>
      </c>
      <c r="D135" s="88" t="s">
        <v>3485</v>
      </c>
      <c r="E135" s="88" t="s">
        <v>3432</v>
      </c>
      <c r="F135" s="88" t="s">
        <v>3432</v>
      </c>
      <c r="G135" s="89" t="s">
        <v>3444</v>
      </c>
      <c r="H135" s="94" t="s">
        <v>3075</v>
      </c>
      <c r="I135" s="94"/>
    </row>
    <row r="136" spans="1:9" s="35" customFormat="1" x14ac:dyDescent="0.25">
      <c r="A136" s="88" t="s">
        <v>635</v>
      </c>
      <c r="B136" s="88" t="s">
        <v>3265</v>
      </c>
      <c r="C136" s="88" t="s">
        <v>3402</v>
      </c>
      <c r="D136" s="88" t="s">
        <v>3485</v>
      </c>
      <c r="E136" s="88" t="s">
        <v>3432</v>
      </c>
      <c r="F136" s="88" t="s">
        <v>3432</v>
      </c>
      <c r="G136" s="89" t="s">
        <v>3444</v>
      </c>
      <c r="H136" s="94" t="s">
        <v>3075</v>
      </c>
      <c r="I136" s="94"/>
    </row>
    <row r="137" spans="1:9" s="35" customFormat="1" x14ac:dyDescent="0.25">
      <c r="A137" s="96" t="s">
        <v>635</v>
      </c>
      <c r="B137" s="96" t="s">
        <v>3266</v>
      </c>
      <c r="C137" s="96" t="s">
        <v>3403</v>
      </c>
      <c r="D137" s="96" t="s">
        <v>3483</v>
      </c>
      <c r="E137" s="96" t="s">
        <v>3432</v>
      </c>
      <c r="F137" s="96" t="s">
        <v>3432</v>
      </c>
      <c r="G137" s="97" t="s">
        <v>3444</v>
      </c>
      <c r="H137" s="98" t="s">
        <v>3558</v>
      </c>
      <c r="I137" s="98"/>
    </row>
    <row r="138" spans="1:9" s="35" customFormat="1" x14ac:dyDescent="0.25">
      <c r="A138" s="88" t="s">
        <v>635</v>
      </c>
      <c r="B138" s="88" t="s">
        <v>3267</v>
      </c>
      <c r="C138" s="88" t="s">
        <v>3404</v>
      </c>
      <c r="D138" s="88" t="s">
        <v>3483</v>
      </c>
      <c r="E138" s="88" t="s">
        <v>3433</v>
      </c>
      <c r="F138" s="88" t="s">
        <v>3433</v>
      </c>
      <c r="G138" s="89" t="s">
        <v>3812</v>
      </c>
      <c r="H138" s="94" t="s">
        <v>3816</v>
      </c>
      <c r="I138" s="94" t="s">
        <v>3815</v>
      </c>
    </row>
    <row r="139" spans="1:9" s="35" customFormat="1" x14ac:dyDescent="0.25">
      <c r="A139" s="88" t="s">
        <v>635</v>
      </c>
      <c r="B139" s="88" t="s">
        <v>3268</v>
      </c>
      <c r="C139" s="88" t="s">
        <v>3405</v>
      </c>
      <c r="D139" s="88" t="s">
        <v>3483</v>
      </c>
      <c r="E139" s="88" t="s">
        <v>3433</v>
      </c>
      <c r="F139" s="88" t="s">
        <v>3433</v>
      </c>
      <c r="G139" s="89" t="s">
        <v>3812</v>
      </c>
      <c r="H139" s="94" t="s">
        <v>3536</v>
      </c>
      <c r="I139" s="94" t="s">
        <v>3815</v>
      </c>
    </row>
    <row r="140" spans="1:9" s="35" customFormat="1" x14ac:dyDescent="0.25">
      <c r="A140" s="88" t="s">
        <v>635</v>
      </c>
      <c r="B140" s="88" t="s">
        <v>3269</v>
      </c>
      <c r="C140" s="88" t="s">
        <v>3406</v>
      </c>
      <c r="D140" s="88" t="s">
        <v>3483</v>
      </c>
      <c r="E140" s="88" t="s">
        <v>3433</v>
      </c>
      <c r="F140" s="88" t="s">
        <v>3433</v>
      </c>
      <c r="G140" s="89" t="s">
        <v>3812</v>
      </c>
      <c r="H140" s="94" t="s">
        <v>3537</v>
      </c>
      <c r="I140" s="94" t="s">
        <v>3815</v>
      </c>
    </row>
    <row r="141" spans="1:9" s="35" customFormat="1" x14ac:dyDescent="0.25">
      <c r="A141" s="88" t="s">
        <v>635</v>
      </c>
      <c r="B141" s="88" t="s">
        <v>3270</v>
      </c>
      <c r="C141" s="88" t="s">
        <v>3407</v>
      </c>
      <c r="D141" s="88" t="s">
        <v>3483</v>
      </c>
      <c r="E141" s="88" t="s">
        <v>3433</v>
      </c>
      <c r="F141" s="88" t="s">
        <v>3433</v>
      </c>
      <c r="G141" s="89" t="s">
        <v>3812</v>
      </c>
      <c r="H141" s="94" t="s">
        <v>3538</v>
      </c>
      <c r="I141" s="94" t="s">
        <v>3815</v>
      </c>
    </row>
    <row r="142" spans="1:9" s="35" customFormat="1" x14ac:dyDescent="0.25">
      <c r="A142" s="88" t="s">
        <v>635</v>
      </c>
      <c r="B142" s="88" t="s">
        <v>3271</v>
      </c>
      <c r="C142" s="88" t="s">
        <v>3408</v>
      </c>
      <c r="D142" s="88" t="s">
        <v>3483</v>
      </c>
      <c r="E142" s="88" t="s">
        <v>3433</v>
      </c>
      <c r="F142" s="88" t="s">
        <v>3433</v>
      </c>
      <c r="G142" s="89" t="s">
        <v>3812</v>
      </c>
      <c r="H142" s="94" t="s">
        <v>3539</v>
      </c>
      <c r="I142" s="94" t="s">
        <v>3815</v>
      </c>
    </row>
    <row r="143" spans="1:9" s="35" customFormat="1" x14ac:dyDescent="0.25">
      <c r="A143" s="88" t="s">
        <v>635</v>
      </c>
      <c r="B143" s="88" t="s">
        <v>3272</v>
      </c>
      <c r="C143" s="88" t="s">
        <v>3409</v>
      </c>
      <c r="D143" s="88" t="s">
        <v>3483</v>
      </c>
      <c r="E143" s="88" t="s">
        <v>3433</v>
      </c>
      <c r="F143" s="88" t="s">
        <v>3433</v>
      </c>
      <c r="G143" s="89" t="s">
        <v>3812</v>
      </c>
      <c r="H143" s="94" t="s">
        <v>3540</v>
      </c>
      <c r="I143" s="94" t="s">
        <v>3819</v>
      </c>
    </row>
    <row r="144" spans="1:9" s="35" customFormat="1" x14ac:dyDescent="0.25">
      <c r="A144" s="88" t="s">
        <v>635</v>
      </c>
      <c r="B144" s="88" t="s">
        <v>3273</v>
      </c>
      <c r="C144" s="88" t="s">
        <v>3410</v>
      </c>
      <c r="D144" s="88" t="s">
        <v>3483</v>
      </c>
      <c r="E144" s="88" t="s">
        <v>3433</v>
      </c>
      <c r="F144" s="88" t="s">
        <v>3433</v>
      </c>
      <c r="G144" s="89" t="s">
        <v>3812</v>
      </c>
      <c r="H144" s="94" t="s">
        <v>3541</v>
      </c>
      <c r="I144" s="94" t="s">
        <v>3817</v>
      </c>
    </row>
    <row r="145" spans="1:9" s="35" customFormat="1" x14ac:dyDescent="0.25">
      <c r="A145" s="88" t="s">
        <v>635</v>
      </c>
      <c r="B145" s="88" t="s">
        <v>3274</v>
      </c>
      <c r="C145" s="88" t="s">
        <v>3411</v>
      </c>
      <c r="D145" s="88" t="s">
        <v>3483</v>
      </c>
      <c r="E145" s="88" t="s">
        <v>3433</v>
      </c>
      <c r="F145" s="88" t="s">
        <v>3433</v>
      </c>
      <c r="G145" s="89" t="s">
        <v>3812</v>
      </c>
      <c r="H145" s="94" t="s">
        <v>3808</v>
      </c>
      <c r="I145" s="94" t="s">
        <v>3815</v>
      </c>
    </row>
    <row r="146" spans="1:9" s="35" customFormat="1" x14ac:dyDescent="0.25">
      <c r="A146" s="88" t="s">
        <v>635</v>
      </c>
      <c r="B146" s="88" t="s">
        <v>3275</v>
      </c>
      <c r="C146" s="88" t="s">
        <v>3412</v>
      </c>
      <c r="D146" s="88" t="s">
        <v>3483</v>
      </c>
      <c r="E146" s="88" t="s">
        <v>3433</v>
      </c>
      <c r="F146" s="88" t="s">
        <v>3433</v>
      </c>
      <c r="G146" s="89" t="s">
        <v>3812</v>
      </c>
      <c r="H146" s="94" t="s">
        <v>3541</v>
      </c>
      <c r="I146" s="94" t="s">
        <v>3818</v>
      </c>
    </row>
    <row r="147" spans="1:9" s="35" customFormat="1" x14ac:dyDescent="0.25">
      <c r="A147" s="88" t="s">
        <v>635</v>
      </c>
      <c r="B147" s="88" t="s">
        <v>3276</v>
      </c>
      <c r="C147" s="88" t="s">
        <v>3413</v>
      </c>
      <c r="D147" s="88" t="s">
        <v>3483</v>
      </c>
      <c r="E147" s="88" t="s">
        <v>3433</v>
      </c>
      <c r="F147" s="88" t="s">
        <v>3433</v>
      </c>
      <c r="G147" s="89" t="s">
        <v>3812</v>
      </c>
      <c r="H147" s="94" t="s">
        <v>3542</v>
      </c>
      <c r="I147" s="94" t="s">
        <v>3815</v>
      </c>
    </row>
    <row r="148" spans="1:9" s="35" customFormat="1" x14ac:dyDescent="0.25">
      <c r="A148" s="88" t="s">
        <v>635</v>
      </c>
      <c r="B148" s="88" t="s">
        <v>3277</v>
      </c>
      <c r="C148" s="88" t="s">
        <v>3414</v>
      </c>
      <c r="D148" s="88" t="s">
        <v>3483</v>
      </c>
      <c r="E148" s="88" t="s">
        <v>3433</v>
      </c>
      <c r="F148" s="88" t="s">
        <v>3433</v>
      </c>
      <c r="G148" s="89" t="s">
        <v>3812</v>
      </c>
      <c r="H148" s="94" t="s">
        <v>3823</v>
      </c>
      <c r="I148" s="94" t="s">
        <v>3815</v>
      </c>
    </row>
    <row r="149" spans="1:9" s="35" customFormat="1" x14ac:dyDescent="0.25">
      <c r="A149" s="88" t="s">
        <v>635</v>
      </c>
      <c r="B149" s="88" t="s">
        <v>3278</v>
      </c>
      <c r="C149" s="88" t="s">
        <v>3415</v>
      </c>
      <c r="D149" s="88" t="s">
        <v>3483</v>
      </c>
      <c r="E149" s="88" t="s">
        <v>3433</v>
      </c>
      <c r="F149" s="88" t="s">
        <v>3433</v>
      </c>
      <c r="G149" s="89" t="s">
        <v>3812</v>
      </c>
      <c r="H149" s="94" t="s">
        <v>3541</v>
      </c>
      <c r="I149" s="94" t="s">
        <v>3541</v>
      </c>
    </row>
    <row r="150" spans="1:9" s="35" customFormat="1" x14ac:dyDescent="0.25">
      <c r="A150" s="96" t="s">
        <v>635</v>
      </c>
      <c r="B150" s="96" t="s">
        <v>3279</v>
      </c>
      <c r="C150" s="96" t="s">
        <v>3416</v>
      </c>
      <c r="D150" s="96" t="s">
        <v>3483</v>
      </c>
      <c r="E150" s="96" t="s">
        <v>3824</v>
      </c>
      <c r="F150" s="96" t="s">
        <v>3433</v>
      </c>
      <c r="G150" s="96" t="s">
        <v>3543</v>
      </c>
      <c r="H150" s="98" t="s">
        <v>3543</v>
      </c>
      <c r="I150" s="98" t="s">
        <v>3815</v>
      </c>
    </row>
    <row r="151" spans="1:9" s="35" customFormat="1" x14ac:dyDescent="0.25">
      <c r="A151" s="88" t="s">
        <v>635</v>
      </c>
      <c r="B151" s="88" t="s">
        <v>3280</v>
      </c>
      <c r="C151" s="88" t="s">
        <v>3417</v>
      </c>
      <c r="D151" s="88" t="s">
        <v>3483</v>
      </c>
      <c r="E151" s="88" t="s">
        <v>3432</v>
      </c>
      <c r="F151" s="88" t="s">
        <v>3432</v>
      </c>
      <c r="G151" s="89" t="s">
        <v>3445</v>
      </c>
      <c r="H151" s="94" t="s">
        <v>3559</v>
      </c>
      <c r="I151" s="94"/>
    </row>
    <row r="152" spans="1:9" s="35" customFormat="1" x14ac:dyDescent="0.25">
      <c r="A152" s="88" t="s">
        <v>635</v>
      </c>
      <c r="B152" s="88" t="s">
        <v>3281</v>
      </c>
      <c r="C152" s="88" t="s">
        <v>3418</v>
      </c>
      <c r="D152" s="88" t="s">
        <v>3483</v>
      </c>
      <c r="E152" s="88" t="s">
        <v>3432</v>
      </c>
      <c r="F152" s="88" t="s">
        <v>3432</v>
      </c>
      <c r="G152" s="89" t="s">
        <v>3445</v>
      </c>
      <c r="H152" s="94" t="s">
        <v>3809</v>
      </c>
      <c r="I152" s="94"/>
    </row>
    <row r="153" spans="1:9" s="35" customFormat="1" x14ac:dyDescent="0.25">
      <c r="A153" s="88" t="s">
        <v>635</v>
      </c>
      <c r="B153" s="88" t="s">
        <v>3282</v>
      </c>
      <c r="C153" s="88" t="s">
        <v>3419</v>
      </c>
      <c r="D153" s="88" t="s">
        <v>3483</v>
      </c>
      <c r="E153" s="88" t="s">
        <v>3432</v>
      </c>
      <c r="F153" s="88" t="s">
        <v>3432</v>
      </c>
      <c r="G153" s="89" t="s">
        <v>3445</v>
      </c>
      <c r="H153" s="94" t="s">
        <v>3514</v>
      </c>
      <c r="I153" s="94"/>
    </row>
    <row r="154" spans="1:9" s="35" customFormat="1" x14ac:dyDescent="0.25">
      <c r="A154" s="96" t="s">
        <v>635</v>
      </c>
      <c r="B154" s="96" t="s">
        <v>3283</v>
      </c>
      <c r="C154" s="96" t="s">
        <v>3420</v>
      </c>
      <c r="D154" s="96" t="s">
        <v>3483</v>
      </c>
      <c r="E154" s="96" t="s">
        <v>3432</v>
      </c>
      <c r="F154" s="96" t="s">
        <v>3432</v>
      </c>
      <c r="G154" s="97" t="s">
        <v>3445</v>
      </c>
      <c r="H154" s="98" t="s">
        <v>3509</v>
      </c>
      <c r="I154" s="98"/>
    </row>
    <row r="155" spans="1:9" s="35" customFormat="1" x14ac:dyDescent="0.25">
      <c r="A155" s="88" t="s">
        <v>635</v>
      </c>
      <c r="B155" s="88" t="s">
        <v>3284</v>
      </c>
      <c r="C155" s="88" t="s">
        <v>3421</v>
      </c>
      <c r="D155" s="88" t="s">
        <v>3483</v>
      </c>
      <c r="E155" s="88" t="s">
        <v>3432</v>
      </c>
      <c r="F155" s="88" t="s">
        <v>3432</v>
      </c>
      <c r="G155" s="89" t="s">
        <v>3447</v>
      </c>
      <c r="H155" s="94" t="s">
        <v>3560</v>
      </c>
      <c r="I155" s="94"/>
    </row>
    <row r="156" spans="1:9" s="35" customFormat="1" x14ac:dyDescent="0.25">
      <c r="A156" s="88" t="s">
        <v>635</v>
      </c>
      <c r="B156" s="88" t="s">
        <v>3285</v>
      </c>
      <c r="C156" s="88" t="s">
        <v>3422</v>
      </c>
      <c r="D156" s="88" t="s">
        <v>3483</v>
      </c>
      <c r="E156" s="88" t="s">
        <v>3432</v>
      </c>
      <c r="F156" s="88" t="s">
        <v>3432</v>
      </c>
      <c r="G156" s="89" t="s">
        <v>3447</v>
      </c>
      <c r="H156" s="94" t="s">
        <v>3437</v>
      </c>
      <c r="I156" s="94"/>
    </row>
    <row r="157" spans="1:9" s="35" customFormat="1" x14ac:dyDescent="0.25">
      <c r="A157" s="88" t="s">
        <v>635</v>
      </c>
      <c r="B157" s="88" t="s">
        <v>3286</v>
      </c>
      <c r="C157" s="88" t="s">
        <v>3423</v>
      </c>
      <c r="D157" s="88" t="s">
        <v>3483</v>
      </c>
      <c r="E157" s="88" t="s">
        <v>3432</v>
      </c>
      <c r="F157" s="88" t="s">
        <v>3432</v>
      </c>
      <c r="G157" s="89" t="s">
        <v>3447</v>
      </c>
      <c r="H157" s="94" t="s">
        <v>3508</v>
      </c>
      <c r="I157" s="94"/>
    </row>
    <row r="158" spans="1:9" s="35" customFormat="1" x14ac:dyDescent="0.25">
      <c r="A158" s="96" t="s">
        <v>635</v>
      </c>
      <c r="B158" s="96" t="s">
        <v>3287</v>
      </c>
      <c r="C158" s="96" t="s">
        <v>3424</v>
      </c>
      <c r="D158" s="96" t="s">
        <v>3483</v>
      </c>
      <c r="E158" s="96" t="s">
        <v>3432</v>
      </c>
      <c r="F158" s="96" t="s">
        <v>3432</v>
      </c>
      <c r="G158" s="97" t="s">
        <v>3447</v>
      </c>
      <c r="H158" s="98" t="s">
        <v>3561</v>
      </c>
      <c r="I158" s="98"/>
    </row>
    <row r="159" spans="1:9" s="35" customFormat="1" x14ac:dyDescent="0.25">
      <c r="A159" s="88" t="s">
        <v>635</v>
      </c>
      <c r="B159" s="88" t="s">
        <v>3288</v>
      </c>
      <c r="C159" s="88" t="s">
        <v>3425</v>
      </c>
      <c r="D159" s="88" t="s">
        <v>3483</v>
      </c>
      <c r="E159" s="88" t="s">
        <v>3433</v>
      </c>
      <c r="F159" s="88" t="s">
        <v>3433</v>
      </c>
      <c r="G159" s="89" t="s">
        <v>3446</v>
      </c>
      <c r="H159" s="94" t="s">
        <v>3562</v>
      </c>
      <c r="I159" s="94"/>
    </row>
    <row r="160" spans="1:9" s="35" customFormat="1" x14ac:dyDescent="0.25">
      <c r="A160" s="88" t="s">
        <v>635</v>
      </c>
      <c r="B160" s="88" t="s">
        <v>3289</v>
      </c>
      <c r="C160" s="88" t="s">
        <v>3426</v>
      </c>
      <c r="D160" s="88" t="s">
        <v>3483</v>
      </c>
      <c r="E160" s="88" t="s">
        <v>3432</v>
      </c>
      <c r="F160" s="88" t="s">
        <v>3432</v>
      </c>
      <c r="G160" s="89" t="s">
        <v>3446</v>
      </c>
      <c r="H160" s="94" t="s">
        <v>3563</v>
      </c>
      <c r="I160" s="94"/>
    </row>
    <row r="161" spans="1:9" s="35" customFormat="1" x14ac:dyDescent="0.25">
      <c r="A161" s="96" t="s">
        <v>635</v>
      </c>
      <c r="B161" s="96" t="s">
        <v>3290</v>
      </c>
      <c r="C161" s="96" t="s">
        <v>3427</v>
      </c>
      <c r="D161" s="96" t="s">
        <v>3483</v>
      </c>
      <c r="E161" s="96" t="s">
        <v>3824</v>
      </c>
      <c r="F161" s="96" t="s">
        <v>3824</v>
      </c>
      <c r="G161" s="97" t="s">
        <v>3446</v>
      </c>
      <c r="H161" s="98" t="s">
        <v>3822</v>
      </c>
      <c r="I161" s="98"/>
    </row>
  </sheetData>
  <autoFilter ref="A1:I16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6:G15"/>
  <sheetViews>
    <sheetView zoomScale="85" zoomScaleNormal="85" workbookViewId="0"/>
  </sheetViews>
  <sheetFormatPr defaultColWidth="18" defaultRowHeight="12.75" x14ac:dyDescent="0.2"/>
  <cols>
    <col min="1" max="1" width="13.85546875" style="1" customWidth="1"/>
    <col min="2" max="2" width="52.7109375" style="1" customWidth="1"/>
    <col min="3" max="3" width="17.42578125" style="1" customWidth="1"/>
    <col min="4" max="4" width="26.140625" style="1" customWidth="1"/>
    <col min="5" max="5" width="73.42578125" style="1" bestFit="1" customWidth="1"/>
    <col min="6" max="16384" width="18" style="1"/>
  </cols>
  <sheetData>
    <row r="6" spans="1:7" x14ac:dyDescent="0.2">
      <c r="A6" s="5" t="s">
        <v>27</v>
      </c>
      <c r="B6" s="5" t="s">
        <v>26</v>
      </c>
      <c r="C6" s="5" t="s">
        <v>25</v>
      </c>
      <c r="D6" s="5" t="s">
        <v>24</v>
      </c>
      <c r="E6" s="4" t="s">
        <v>23</v>
      </c>
    </row>
    <row r="7" spans="1:7" x14ac:dyDescent="0.2">
      <c r="A7" s="1" t="s">
        <v>22</v>
      </c>
      <c r="B7" s="1" t="s">
        <v>21</v>
      </c>
      <c r="C7" s="1" t="s">
        <v>3</v>
      </c>
      <c r="D7" s="1" t="s">
        <v>13</v>
      </c>
      <c r="E7" s="3" t="s">
        <v>20</v>
      </c>
    </row>
    <row r="8" spans="1:7" x14ac:dyDescent="0.2">
      <c r="A8" s="1" t="s">
        <v>19</v>
      </c>
      <c r="B8" s="1" t="s">
        <v>18</v>
      </c>
      <c r="C8" s="1" t="s">
        <v>3</v>
      </c>
      <c r="D8" s="1" t="s">
        <v>17</v>
      </c>
      <c r="E8" s="80" t="s">
        <v>16</v>
      </c>
    </row>
    <row r="9" spans="1:7" x14ac:dyDescent="0.2">
      <c r="A9" s="1" t="s">
        <v>15</v>
      </c>
      <c r="B9" s="9" t="s">
        <v>32</v>
      </c>
      <c r="C9" s="1" t="s">
        <v>14</v>
      </c>
      <c r="D9" s="1" t="s">
        <v>13</v>
      </c>
      <c r="E9" s="80" t="s">
        <v>12</v>
      </c>
    </row>
    <row r="10" spans="1:7" x14ac:dyDescent="0.2">
      <c r="A10" s="1" t="s">
        <v>11</v>
      </c>
      <c r="B10" s="1" t="s">
        <v>10</v>
      </c>
      <c r="C10" s="1" t="s">
        <v>7</v>
      </c>
      <c r="D10" s="1" t="s">
        <v>37</v>
      </c>
      <c r="E10" s="13" t="s">
        <v>38</v>
      </c>
    </row>
    <row r="11" spans="1:7" x14ac:dyDescent="0.2">
      <c r="A11" s="1" t="s">
        <v>9</v>
      </c>
      <c r="B11" s="1" t="s">
        <v>8</v>
      </c>
      <c r="C11" s="1" t="s">
        <v>7</v>
      </c>
      <c r="D11" s="1" t="s">
        <v>37</v>
      </c>
      <c r="E11" s="13" t="s">
        <v>38</v>
      </c>
      <c r="G11" s="10" t="s">
        <v>30</v>
      </c>
    </row>
    <row r="12" spans="1:7" x14ac:dyDescent="0.2">
      <c r="A12" s="1" t="s">
        <v>6</v>
      </c>
      <c r="B12" s="1" t="s">
        <v>5</v>
      </c>
      <c r="C12" s="1" t="s">
        <v>4</v>
      </c>
      <c r="D12" s="9" t="s">
        <v>31</v>
      </c>
      <c r="E12" s="80" t="s">
        <v>29</v>
      </c>
      <c r="G12" s="10" t="s">
        <v>33</v>
      </c>
    </row>
    <row r="13" spans="1:7" x14ac:dyDescent="0.2">
      <c r="A13" s="2" t="s">
        <v>0</v>
      </c>
      <c r="B13" s="11" t="s">
        <v>35</v>
      </c>
      <c r="C13" s="2" t="s">
        <v>3</v>
      </c>
      <c r="D13" s="2" t="s">
        <v>2</v>
      </c>
      <c r="E13" s="12" t="s">
        <v>1</v>
      </c>
      <c r="G13" s="10" t="s">
        <v>34</v>
      </c>
    </row>
    <row r="15" spans="1:7" x14ac:dyDescent="0.2">
      <c r="B15" s="10" t="s">
        <v>36</v>
      </c>
    </row>
  </sheetData>
  <hyperlinks>
    <hyperlink ref="E9" r:id="rId1"/>
    <hyperlink ref="E8" r:id="rId2"/>
    <hyperlink ref="E7" r:id="rId3"/>
    <hyperlink ref="E13" r:id="rId4"/>
    <hyperlink ref="E12" r:id="rId5"/>
  </hyperlinks>
  <pageMargins left="0.75" right="0.75" top="1" bottom="1" header="0.5" footer="0.5"/>
  <pageSetup paperSize="9" orientation="portrait" r:id="rId6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L11342"/>
  <sheetViews>
    <sheetView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22.140625" style="7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3564</v>
      </c>
      <c r="E1" s="43" t="s">
        <v>788</v>
      </c>
      <c r="F1" s="7">
        <f>COUNTIF(F3:F65536,"&lt;&gt;")</f>
        <v>123</v>
      </c>
      <c r="H1" s="7" t="s">
        <v>3723</v>
      </c>
    </row>
    <row r="2" spans="1:12" ht="15" x14ac:dyDescent="0.2">
      <c r="A2" s="82"/>
      <c r="E2" s="43" t="s">
        <v>40</v>
      </c>
      <c r="F2" s="43" t="s">
        <v>41</v>
      </c>
      <c r="G2" s="43" t="s">
        <v>789</v>
      </c>
      <c r="H2" s="43" t="s">
        <v>42</v>
      </c>
      <c r="I2" s="43" t="s">
        <v>43</v>
      </c>
      <c r="J2" s="43" t="s">
        <v>790</v>
      </c>
      <c r="K2" s="43" t="s">
        <v>791</v>
      </c>
      <c r="L2" s="43" t="s">
        <v>792</v>
      </c>
    </row>
    <row r="3" spans="1:12" ht="15" x14ac:dyDescent="0.2">
      <c r="A3" s="82"/>
      <c r="D3" s="7" t="str">
        <f>VLOOKUP(G3,Cedentes!$G$2:$G$126,1,0)</f>
        <v>06513</v>
      </c>
      <c r="E3" s="7" t="s">
        <v>53</v>
      </c>
      <c r="F3" s="7" t="s">
        <v>54</v>
      </c>
      <c r="G3" s="45" t="s">
        <v>55</v>
      </c>
      <c r="H3" s="7" t="s">
        <v>3696</v>
      </c>
      <c r="I3" s="7" t="s">
        <v>57</v>
      </c>
      <c r="J3" s="7" t="s">
        <v>793</v>
      </c>
      <c r="K3" s="7" t="s">
        <v>794</v>
      </c>
      <c r="L3" s="8">
        <v>36230</v>
      </c>
    </row>
    <row r="4" spans="1:12" x14ac:dyDescent="0.2">
      <c r="A4" s="83" t="s">
        <v>53</v>
      </c>
      <c r="D4" s="7" t="str">
        <f>VLOOKUP(G4,Cedentes!$G$2:$G$126,1,0)</f>
        <v>02739</v>
      </c>
      <c r="E4" s="7" t="s">
        <v>46</v>
      </c>
      <c r="F4" s="7" t="s">
        <v>3624</v>
      </c>
      <c r="G4" s="45" t="s">
        <v>48</v>
      </c>
      <c r="H4" s="7" t="s">
        <v>3697</v>
      </c>
      <c r="I4" s="7" t="s">
        <v>184</v>
      </c>
      <c r="J4" s="7" t="s">
        <v>3698</v>
      </c>
      <c r="K4" s="7" t="s">
        <v>3699</v>
      </c>
      <c r="L4" s="8">
        <v>41946</v>
      </c>
    </row>
    <row r="5" spans="1:12" x14ac:dyDescent="0.2">
      <c r="A5" s="84" t="s">
        <v>795</v>
      </c>
      <c r="D5" s="7" t="str">
        <f>VLOOKUP(G5,Cedentes!$G$2:$G$126,1,0)</f>
        <v>08737</v>
      </c>
      <c r="E5" s="7" t="s">
        <v>3567</v>
      </c>
      <c r="F5" s="7" t="s">
        <v>60</v>
      </c>
      <c r="G5" s="45" t="s">
        <v>61</v>
      </c>
      <c r="H5" s="7" t="s">
        <v>62</v>
      </c>
      <c r="I5" s="7" t="s">
        <v>57</v>
      </c>
      <c r="J5" s="7" t="s">
        <v>796</v>
      </c>
      <c r="K5" s="7" t="s">
        <v>797</v>
      </c>
      <c r="L5" s="8">
        <v>37673</v>
      </c>
    </row>
    <row r="6" spans="1:12" x14ac:dyDescent="0.2">
      <c r="A6" s="84" t="s">
        <v>798</v>
      </c>
      <c r="D6" s="7" t="str">
        <f>VLOOKUP(G6,Cedentes!$G$2:$G$126,1,0)</f>
        <v>02895</v>
      </c>
      <c r="E6" s="7" t="s">
        <v>64</v>
      </c>
      <c r="F6" s="7" t="s">
        <v>65</v>
      </c>
      <c r="G6" s="45" t="s">
        <v>66</v>
      </c>
      <c r="H6" s="7" t="s">
        <v>67</v>
      </c>
      <c r="I6" s="7" t="s">
        <v>57</v>
      </c>
      <c r="J6" s="7" t="s">
        <v>799</v>
      </c>
      <c r="K6" s="7" t="s">
        <v>800</v>
      </c>
      <c r="L6" s="8">
        <v>38230</v>
      </c>
    </row>
    <row r="7" spans="1:12" x14ac:dyDescent="0.2">
      <c r="A7" s="84" t="s">
        <v>3659</v>
      </c>
      <c r="D7" s="7" t="str">
        <f>VLOOKUP(G7,Cedentes!$G$2:$G$126,1,0)</f>
        <v>06467</v>
      </c>
      <c r="E7" s="7" t="s">
        <v>68</v>
      </c>
      <c r="F7" s="7" t="s">
        <v>69</v>
      </c>
      <c r="G7" s="45" t="s">
        <v>70</v>
      </c>
      <c r="H7" s="7" t="s">
        <v>71</v>
      </c>
      <c r="I7" s="7" t="s">
        <v>57</v>
      </c>
      <c r="J7" s="7" t="s">
        <v>799</v>
      </c>
      <c r="K7" s="7" t="s">
        <v>800</v>
      </c>
      <c r="L7" s="8" t="s">
        <v>38</v>
      </c>
    </row>
    <row r="8" spans="1:12" x14ac:dyDescent="0.2">
      <c r="A8" s="84" t="s">
        <v>801</v>
      </c>
      <c r="D8" s="7" t="str">
        <f>VLOOKUP(G8,Cedentes!$G$2:$G$126,1,0)</f>
        <v>06211</v>
      </c>
      <c r="E8" s="7" t="s">
        <v>381</v>
      </c>
      <c r="F8" s="7" t="s">
        <v>382</v>
      </c>
      <c r="G8" s="45" t="s">
        <v>383</v>
      </c>
      <c r="H8" s="7" t="s">
        <v>802</v>
      </c>
      <c r="I8" s="7" t="s">
        <v>57</v>
      </c>
      <c r="J8" s="7" t="s">
        <v>803</v>
      </c>
      <c r="K8" s="7" t="s">
        <v>804</v>
      </c>
      <c r="L8" s="8">
        <v>35265</v>
      </c>
    </row>
    <row r="9" spans="1:12" x14ac:dyDescent="0.2">
      <c r="A9" s="84" t="s">
        <v>805</v>
      </c>
      <c r="D9" s="7" t="str">
        <f>VLOOKUP(G9,Cedentes!$G$2:$G$126,1,0)</f>
        <v>05177</v>
      </c>
      <c r="E9" s="48" t="s">
        <v>79</v>
      </c>
      <c r="F9" s="48" t="s">
        <v>80</v>
      </c>
      <c r="G9" s="49" t="s">
        <v>81</v>
      </c>
      <c r="H9" s="48" t="s">
        <v>806</v>
      </c>
      <c r="I9" s="48" t="s">
        <v>57</v>
      </c>
      <c r="J9" s="48" t="s">
        <v>807</v>
      </c>
      <c r="K9" s="48" t="s">
        <v>808</v>
      </c>
      <c r="L9" s="50">
        <v>34333</v>
      </c>
    </row>
    <row r="10" spans="1:12" x14ac:dyDescent="0.2">
      <c r="A10" s="84" t="s">
        <v>809</v>
      </c>
      <c r="D10" s="7" t="str">
        <f>VLOOKUP(G10,Cedentes!$G$2:$G$126,1,0)</f>
        <v>06491</v>
      </c>
      <c r="E10" s="7" t="s">
        <v>138</v>
      </c>
      <c r="F10" s="7" t="s">
        <v>139</v>
      </c>
      <c r="G10" s="45" t="s">
        <v>140</v>
      </c>
      <c r="H10" s="7" t="s">
        <v>141</v>
      </c>
      <c r="I10" s="7" t="s">
        <v>142</v>
      </c>
      <c r="J10" s="7" t="s">
        <v>810</v>
      </c>
      <c r="K10" s="7" t="s">
        <v>811</v>
      </c>
      <c r="L10" s="8">
        <v>36474</v>
      </c>
    </row>
    <row r="11" spans="1:12" x14ac:dyDescent="0.2">
      <c r="A11" s="51" t="s">
        <v>812</v>
      </c>
      <c r="D11" s="7" t="str">
        <f>VLOOKUP(G11,Cedentes!$G$2:$G$126,1,0)</f>
        <v>05819</v>
      </c>
      <c r="E11" s="7" t="s">
        <v>84</v>
      </c>
      <c r="F11" s="7" t="s">
        <v>85</v>
      </c>
      <c r="G11" s="45" t="s">
        <v>86</v>
      </c>
      <c r="H11" s="7" t="s">
        <v>87</v>
      </c>
      <c r="I11" s="7" t="s">
        <v>88</v>
      </c>
      <c r="J11" s="7" t="s">
        <v>813</v>
      </c>
      <c r="K11" s="7" t="s">
        <v>814</v>
      </c>
      <c r="L11" s="8">
        <v>35153</v>
      </c>
    </row>
    <row r="12" spans="1:12" x14ac:dyDescent="0.2">
      <c r="A12" s="51" t="s">
        <v>815</v>
      </c>
      <c r="D12" s="7" t="str">
        <f>VLOOKUP(G12,Cedentes!$G$2:$G$126,1,0)</f>
        <v>03387</v>
      </c>
      <c r="E12" s="7" t="s">
        <v>3663</v>
      </c>
      <c r="F12" s="7" t="s">
        <v>816</v>
      </c>
      <c r="G12" s="45" t="s">
        <v>92</v>
      </c>
      <c r="H12" s="7" t="s">
        <v>3625</v>
      </c>
      <c r="I12" s="7" t="s">
        <v>94</v>
      </c>
      <c r="K12" s="7" t="s">
        <v>3478</v>
      </c>
      <c r="L12" s="8">
        <v>41581</v>
      </c>
    </row>
    <row r="13" spans="1:12" ht="15" x14ac:dyDescent="0.2">
      <c r="A13" s="82"/>
      <c r="D13" s="7" t="str">
        <f>VLOOKUP(G13,Cedentes!$G$2:$G$126,1,0)</f>
        <v>02798</v>
      </c>
      <c r="E13" s="7" t="s">
        <v>96</v>
      </c>
      <c r="F13" s="7" t="s">
        <v>97</v>
      </c>
      <c r="G13" s="45" t="s">
        <v>98</v>
      </c>
      <c r="H13" s="7" t="s">
        <v>99</v>
      </c>
      <c r="I13" s="7" t="s">
        <v>57</v>
      </c>
      <c r="J13" s="7" t="s">
        <v>803</v>
      </c>
      <c r="K13" s="7" t="s">
        <v>3700</v>
      </c>
      <c r="L13" s="8">
        <v>40890</v>
      </c>
    </row>
    <row r="14" spans="1:12" x14ac:dyDescent="0.2">
      <c r="A14" s="83" t="s">
        <v>46</v>
      </c>
      <c r="D14" s="7" t="str">
        <f>VLOOKUP(G14,Cedentes!$G$2:$G$126,1,0)</f>
        <v>02119</v>
      </c>
      <c r="E14" s="7" t="s">
        <v>174</v>
      </c>
      <c r="F14" s="7" t="s">
        <v>175</v>
      </c>
      <c r="G14" s="45" t="s">
        <v>176</v>
      </c>
      <c r="H14" s="7" t="s">
        <v>817</v>
      </c>
      <c r="I14" s="7" t="s">
        <v>111</v>
      </c>
      <c r="J14" s="7" t="s">
        <v>818</v>
      </c>
      <c r="K14" s="7" t="s">
        <v>819</v>
      </c>
      <c r="L14" s="8">
        <v>38190</v>
      </c>
    </row>
    <row r="15" spans="1:12" x14ac:dyDescent="0.2">
      <c r="A15" s="84" t="s">
        <v>3565</v>
      </c>
      <c r="D15" s="7" t="str">
        <f>VLOOKUP(G15,Cedentes!$G$2:$G$126,1,0)</f>
        <v>02143</v>
      </c>
      <c r="E15" s="7" t="s">
        <v>101</v>
      </c>
      <c r="F15" s="7" t="s">
        <v>102</v>
      </c>
      <c r="G15" s="45" t="s">
        <v>103</v>
      </c>
      <c r="H15" s="7" t="s">
        <v>104</v>
      </c>
      <c r="I15" s="7" t="s">
        <v>105</v>
      </c>
      <c r="J15" s="7" t="s">
        <v>821</v>
      </c>
      <c r="K15" s="7" t="s">
        <v>822</v>
      </c>
      <c r="L15" s="8">
        <v>37392</v>
      </c>
    </row>
    <row r="16" spans="1:12" x14ac:dyDescent="0.2">
      <c r="A16" s="84" t="s">
        <v>823</v>
      </c>
      <c r="D16" s="7" t="str">
        <f>VLOOKUP(G16,Cedentes!$G$2:$G$126,1,0)</f>
        <v>05533</v>
      </c>
      <c r="E16" s="7" t="s">
        <v>143</v>
      </c>
      <c r="F16" s="7" t="s">
        <v>144</v>
      </c>
      <c r="G16" s="45" t="s">
        <v>145</v>
      </c>
      <c r="H16" s="7" t="s">
        <v>146</v>
      </c>
      <c r="I16" s="7" t="s">
        <v>111</v>
      </c>
      <c r="J16" s="7" t="s">
        <v>824</v>
      </c>
      <c r="K16" s="7" t="s">
        <v>825</v>
      </c>
      <c r="L16" s="8">
        <v>29461</v>
      </c>
    </row>
    <row r="17" spans="1:12" x14ac:dyDescent="0.2">
      <c r="A17" s="84" t="s">
        <v>3660</v>
      </c>
      <c r="D17" s="7" t="str">
        <f>VLOOKUP(G17,Cedentes!$G$2:$G$126,1,0)</f>
        <v>02461</v>
      </c>
      <c r="E17" s="7" t="s">
        <v>107</v>
      </c>
      <c r="F17" s="7" t="s">
        <v>108</v>
      </c>
      <c r="G17" s="45" t="s">
        <v>109</v>
      </c>
      <c r="H17" s="7" t="s">
        <v>826</v>
      </c>
      <c r="I17" s="7" t="s">
        <v>111</v>
      </c>
      <c r="J17" s="7" t="s">
        <v>827</v>
      </c>
      <c r="K17" s="7" t="s">
        <v>828</v>
      </c>
      <c r="L17" s="8">
        <v>40471</v>
      </c>
    </row>
    <row r="18" spans="1:12" x14ac:dyDescent="0.2">
      <c r="A18" s="84" t="s">
        <v>3661</v>
      </c>
      <c r="D18" s="7" t="str">
        <f>VLOOKUP(G18,Cedentes!$G$2:$G$126,1,0)</f>
        <v>02852</v>
      </c>
      <c r="E18" s="7" t="s">
        <v>3666</v>
      </c>
      <c r="F18" s="7" t="s">
        <v>3701</v>
      </c>
      <c r="G18" s="45" t="s">
        <v>3702</v>
      </c>
      <c r="H18" s="7" t="s">
        <v>3703</v>
      </c>
      <c r="I18" s="7" t="s">
        <v>57</v>
      </c>
      <c r="J18" s="7" t="s">
        <v>1803</v>
      </c>
      <c r="K18" s="7" t="s">
        <v>858</v>
      </c>
      <c r="L18" s="8">
        <v>41876</v>
      </c>
    </row>
    <row r="19" spans="1:12" x14ac:dyDescent="0.2">
      <c r="A19" s="84" t="s">
        <v>3662</v>
      </c>
      <c r="D19" s="7" t="str">
        <f>VLOOKUP(G19,Cedentes!$G$2:$G$126,1,0)</f>
        <v>05355</v>
      </c>
      <c r="E19" s="7" t="s">
        <v>457</v>
      </c>
      <c r="F19" s="7" t="s">
        <v>458</v>
      </c>
      <c r="G19" s="45" t="s">
        <v>459</v>
      </c>
      <c r="H19" s="7" t="s">
        <v>829</v>
      </c>
      <c r="I19" s="7" t="s">
        <v>111</v>
      </c>
      <c r="J19" s="7" t="s">
        <v>830</v>
      </c>
      <c r="K19" s="7" t="s">
        <v>831</v>
      </c>
      <c r="L19" s="8">
        <v>36559</v>
      </c>
    </row>
    <row r="20" spans="1:12" x14ac:dyDescent="0.2">
      <c r="A20" s="84" t="s">
        <v>3566</v>
      </c>
      <c r="D20" s="7" t="str">
        <f>VLOOKUP(G20,Cedentes!$G$2:$G$126,1,0)</f>
        <v>05274</v>
      </c>
      <c r="E20" s="7" t="s">
        <v>114</v>
      </c>
      <c r="F20" s="7" t="s">
        <v>115</v>
      </c>
      <c r="G20" s="45" t="s">
        <v>116</v>
      </c>
      <c r="H20" s="7" t="s">
        <v>117</v>
      </c>
      <c r="I20" s="7" t="s">
        <v>118</v>
      </c>
      <c r="J20" s="7" t="s">
        <v>832</v>
      </c>
      <c r="K20" s="7" t="s">
        <v>833</v>
      </c>
      <c r="L20" s="8">
        <v>28292</v>
      </c>
    </row>
    <row r="21" spans="1:12" x14ac:dyDescent="0.2">
      <c r="A21" s="51" t="s">
        <v>812</v>
      </c>
      <c r="D21" s="7" t="str">
        <f>VLOOKUP(G21,Cedentes!$G$2:$G$126,1,0)</f>
        <v>05231</v>
      </c>
      <c r="E21" s="7" t="s">
        <v>120</v>
      </c>
      <c r="F21" s="7" t="s">
        <v>121</v>
      </c>
      <c r="G21" s="45" t="s">
        <v>122</v>
      </c>
      <c r="H21" s="7" t="s">
        <v>123</v>
      </c>
      <c r="I21" s="7" t="s">
        <v>111</v>
      </c>
      <c r="J21" s="7" t="s">
        <v>835</v>
      </c>
      <c r="K21" s="7" t="s">
        <v>836</v>
      </c>
      <c r="L21" s="8">
        <v>37659</v>
      </c>
    </row>
    <row r="22" spans="1:12" ht="15" x14ac:dyDescent="0.2">
      <c r="A22" s="82"/>
      <c r="D22" s="7" t="str">
        <f>VLOOKUP(G22,Cedentes!$G$2:$G$126,1,0)</f>
        <v>01414</v>
      </c>
      <c r="E22" s="7" t="s">
        <v>3569</v>
      </c>
      <c r="F22" s="7" t="s">
        <v>126</v>
      </c>
      <c r="G22" s="45" t="s">
        <v>127</v>
      </c>
      <c r="H22" s="7" t="s">
        <v>128</v>
      </c>
      <c r="I22" s="7" t="s">
        <v>57</v>
      </c>
      <c r="J22" s="7" t="s">
        <v>837</v>
      </c>
      <c r="K22" s="7" t="s">
        <v>838</v>
      </c>
      <c r="L22" s="8">
        <v>38740</v>
      </c>
    </row>
    <row r="23" spans="1:12" x14ac:dyDescent="0.2">
      <c r="A23" s="83" t="s">
        <v>3567</v>
      </c>
      <c r="D23" s="7" t="str">
        <f>VLOOKUP(G23,Cedentes!$G$2:$G$126,1,0)</f>
        <v>06912</v>
      </c>
      <c r="E23" s="7" t="s">
        <v>131</v>
      </c>
      <c r="F23" s="7" t="s">
        <v>132</v>
      </c>
      <c r="G23" s="45" t="s">
        <v>133</v>
      </c>
      <c r="H23" s="7" t="s">
        <v>3626</v>
      </c>
      <c r="I23" s="7" t="s">
        <v>57</v>
      </c>
      <c r="J23" s="7" t="s">
        <v>942</v>
      </c>
      <c r="K23" s="7" t="s">
        <v>3627</v>
      </c>
      <c r="L23" s="8">
        <v>32917</v>
      </c>
    </row>
    <row r="24" spans="1:12" x14ac:dyDescent="0.2">
      <c r="A24" s="84" t="s">
        <v>839</v>
      </c>
      <c r="D24" s="7" t="str">
        <f>VLOOKUP(G24,Cedentes!$G$2:$G$126,1,0)</f>
        <v>05312</v>
      </c>
      <c r="E24" s="7" t="s">
        <v>147</v>
      </c>
      <c r="F24" s="7" t="s">
        <v>148</v>
      </c>
      <c r="G24" s="45" t="s">
        <v>149</v>
      </c>
      <c r="H24" s="7" t="s">
        <v>146</v>
      </c>
      <c r="I24" s="7" t="s">
        <v>111</v>
      </c>
      <c r="J24" s="7" t="s">
        <v>824</v>
      </c>
      <c r="K24" s="7" t="s">
        <v>825</v>
      </c>
      <c r="L24" s="8">
        <v>37328</v>
      </c>
    </row>
    <row r="25" spans="1:12" x14ac:dyDescent="0.2">
      <c r="A25" s="84" t="s">
        <v>842</v>
      </c>
      <c r="D25" s="7" t="str">
        <f>VLOOKUP(G25,Cedentes!$G$2:$G$126,1,0)</f>
        <v>05444</v>
      </c>
      <c r="E25" s="7" t="s">
        <v>3572</v>
      </c>
      <c r="F25" s="7" t="s">
        <v>151</v>
      </c>
      <c r="G25" s="45" t="s">
        <v>152</v>
      </c>
      <c r="H25" s="7" t="s">
        <v>153</v>
      </c>
      <c r="I25" s="7" t="s">
        <v>57</v>
      </c>
      <c r="J25" s="7" t="s">
        <v>840</v>
      </c>
      <c r="K25" s="7" t="s">
        <v>841</v>
      </c>
      <c r="L25" s="8">
        <v>30473</v>
      </c>
    </row>
    <row r="26" spans="1:12" x14ac:dyDescent="0.2">
      <c r="A26" s="84" t="s">
        <v>843</v>
      </c>
      <c r="D26" s="7" t="str">
        <f>VLOOKUP(G26,Cedentes!$G$2:$G$126,1,0)</f>
        <v>06866</v>
      </c>
      <c r="E26" s="7" t="s">
        <v>154</v>
      </c>
      <c r="F26" s="7" t="s">
        <v>155</v>
      </c>
      <c r="G26" s="45" t="s">
        <v>156</v>
      </c>
      <c r="H26" s="7" t="s">
        <v>141</v>
      </c>
      <c r="I26" s="7" t="s">
        <v>142</v>
      </c>
      <c r="J26" s="7" t="s">
        <v>810</v>
      </c>
      <c r="K26" s="7" t="s">
        <v>811</v>
      </c>
      <c r="L26" s="8">
        <v>37483</v>
      </c>
    </row>
    <row r="27" spans="1:12" x14ac:dyDescent="0.2">
      <c r="A27" s="84" t="s">
        <v>847</v>
      </c>
      <c r="D27" s="7" t="str">
        <f>VLOOKUP(G27,Cedentes!$G$2:$G$126,1,0)</f>
        <v>04561</v>
      </c>
      <c r="E27" s="7" t="s">
        <v>393</v>
      </c>
      <c r="F27" s="7" t="s">
        <v>394</v>
      </c>
      <c r="G27" s="45" t="s">
        <v>395</v>
      </c>
      <c r="H27" s="7" t="s">
        <v>844</v>
      </c>
      <c r="I27" s="7" t="s">
        <v>57</v>
      </c>
      <c r="J27" s="7" t="s">
        <v>845</v>
      </c>
      <c r="K27" s="7" t="s">
        <v>846</v>
      </c>
      <c r="L27" s="8">
        <v>38399</v>
      </c>
    </row>
    <row r="28" spans="1:12" x14ac:dyDescent="0.2">
      <c r="A28" s="84" t="s">
        <v>848</v>
      </c>
      <c r="D28" s="7" t="str">
        <f>VLOOKUP(G28,Cedentes!$G$2:$G$126,1,0)</f>
        <v>04707</v>
      </c>
      <c r="E28" s="7" t="s">
        <v>159</v>
      </c>
      <c r="F28" s="7" t="s">
        <v>160</v>
      </c>
      <c r="G28" s="45" t="s">
        <v>161</v>
      </c>
      <c r="H28" s="7" t="s">
        <v>162</v>
      </c>
      <c r="I28" s="7" t="s">
        <v>57</v>
      </c>
      <c r="J28" s="7" t="s">
        <v>845</v>
      </c>
      <c r="K28" s="7" t="s">
        <v>846</v>
      </c>
      <c r="L28" s="8">
        <v>37400</v>
      </c>
    </row>
    <row r="29" spans="1:12" x14ac:dyDescent="0.2">
      <c r="A29" s="84" t="s">
        <v>851</v>
      </c>
      <c r="D29" s="7" t="str">
        <f>VLOOKUP(G29,Cedentes!$G$2:$G$126,1,0)</f>
        <v>06181</v>
      </c>
      <c r="E29" s="7" t="s">
        <v>163</v>
      </c>
      <c r="F29" s="7" t="s">
        <v>164</v>
      </c>
      <c r="G29" s="45" t="s">
        <v>165</v>
      </c>
      <c r="H29" s="7" t="s">
        <v>849</v>
      </c>
      <c r="I29" s="7" t="s">
        <v>57</v>
      </c>
      <c r="J29" s="7" t="s">
        <v>803</v>
      </c>
      <c r="K29" s="7" t="s">
        <v>850</v>
      </c>
      <c r="L29" s="8">
        <v>35632</v>
      </c>
    </row>
    <row r="30" spans="1:12" x14ac:dyDescent="0.2">
      <c r="A30" s="51" t="s">
        <v>812</v>
      </c>
      <c r="D30" s="7" t="str">
        <f>VLOOKUP(G30,Cedentes!$G$2:$G$126,1,0)</f>
        <v>02437</v>
      </c>
      <c r="E30" s="7" t="s">
        <v>169</v>
      </c>
      <c r="F30" s="7" t="s">
        <v>170</v>
      </c>
      <c r="G30" s="45" t="s">
        <v>171</v>
      </c>
      <c r="H30" s="7" t="s">
        <v>172</v>
      </c>
      <c r="I30" s="7" t="s">
        <v>57</v>
      </c>
      <c r="J30" s="7" t="s">
        <v>852</v>
      </c>
      <c r="K30" s="7" t="s">
        <v>853</v>
      </c>
      <c r="L30" s="8">
        <v>41263</v>
      </c>
    </row>
    <row r="31" spans="1:12" x14ac:dyDescent="0.2">
      <c r="A31" s="51" t="s">
        <v>815</v>
      </c>
      <c r="D31" s="7" t="str">
        <f>VLOOKUP(G31,Cedentes!$G$2:$G$126,1,0)</f>
        <v>02682</v>
      </c>
      <c r="E31" s="7" t="s">
        <v>3573</v>
      </c>
      <c r="F31" s="7" t="s">
        <v>3628</v>
      </c>
      <c r="G31" s="45" t="s">
        <v>3654</v>
      </c>
      <c r="H31" s="7" t="s">
        <v>3704</v>
      </c>
      <c r="I31" s="7" t="s">
        <v>57</v>
      </c>
      <c r="J31" s="7" t="s">
        <v>3705</v>
      </c>
      <c r="K31" s="7" t="s">
        <v>853</v>
      </c>
      <c r="L31" s="8">
        <v>41744</v>
      </c>
    </row>
    <row r="32" spans="1:12" ht="15" x14ac:dyDescent="0.2">
      <c r="A32" s="82"/>
      <c r="D32" s="7" t="str">
        <f>VLOOKUP(G32,Cedentes!$G$2:$G$126,1,0)</f>
        <v>05631</v>
      </c>
      <c r="E32" s="7" t="s">
        <v>180</v>
      </c>
      <c r="F32" s="7" t="s">
        <v>181</v>
      </c>
      <c r="G32" s="45" t="s">
        <v>182</v>
      </c>
      <c r="H32" s="7" t="s">
        <v>183</v>
      </c>
      <c r="I32" s="7" t="s">
        <v>184</v>
      </c>
      <c r="J32" s="7" t="s">
        <v>854</v>
      </c>
      <c r="K32" s="7" t="s">
        <v>855</v>
      </c>
      <c r="L32" s="8">
        <v>37071</v>
      </c>
    </row>
    <row r="33" spans="1:12" x14ac:dyDescent="0.2">
      <c r="A33" s="83" t="s">
        <v>64</v>
      </c>
      <c r="D33" s="7" t="str">
        <f>VLOOKUP(G33,Cedentes!$G$2:$G$126,1,0)</f>
        <v>08141</v>
      </c>
      <c r="E33" s="7" t="s">
        <v>185</v>
      </c>
      <c r="F33" s="7" t="s">
        <v>186</v>
      </c>
      <c r="G33" s="45" t="s">
        <v>187</v>
      </c>
      <c r="H33" s="7" t="s">
        <v>188</v>
      </c>
      <c r="I33" s="7" t="s">
        <v>184</v>
      </c>
      <c r="J33" s="7" t="s">
        <v>854</v>
      </c>
      <c r="K33" s="7" t="s">
        <v>856</v>
      </c>
      <c r="L33" s="8">
        <v>37375</v>
      </c>
    </row>
    <row r="34" spans="1:12" x14ac:dyDescent="0.2">
      <c r="A34" s="84" t="s">
        <v>861</v>
      </c>
      <c r="D34" s="7" t="str">
        <f>VLOOKUP(G34,Cedentes!$G$2:$G$126,1,0)</f>
        <v>01741</v>
      </c>
      <c r="E34" s="7" t="s">
        <v>3577</v>
      </c>
      <c r="F34" s="7" t="s">
        <v>3479</v>
      </c>
      <c r="G34" s="45" t="s">
        <v>196</v>
      </c>
      <c r="H34" s="7" t="s">
        <v>201</v>
      </c>
      <c r="I34" s="7" t="s">
        <v>111</v>
      </c>
      <c r="J34" s="7" t="s">
        <v>857</v>
      </c>
      <c r="K34" s="7" t="s">
        <v>3480</v>
      </c>
      <c r="L34" s="8">
        <v>41627</v>
      </c>
    </row>
    <row r="35" spans="1:12" x14ac:dyDescent="0.2">
      <c r="A35" s="84" t="s">
        <v>863</v>
      </c>
      <c r="D35" s="7" t="str">
        <f>VLOOKUP(G35,Cedentes!$G$2:$G$126,1,0)</f>
        <v>04251</v>
      </c>
      <c r="E35" s="7" t="s">
        <v>859</v>
      </c>
      <c r="F35" s="7" t="s">
        <v>199</v>
      </c>
      <c r="G35" s="45" t="s">
        <v>200</v>
      </c>
      <c r="H35" s="7" t="s">
        <v>201</v>
      </c>
      <c r="I35" s="7" t="s">
        <v>111</v>
      </c>
      <c r="J35" s="7" t="s">
        <v>857</v>
      </c>
      <c r="K35" s="7" t="s">
        <v>860</v>
      </c>
      <c r="L35" s="8">
        <v>39342</v>
      </c>
    </row>
    <row r="36" spans="1:12" x14ac:dyDescent="0.2">
      <c r="A36" s="84" t="s">
        <v>866</v>
      </c>
      <c r="D36" s="7" t="str">
        <f>VLOOKUP(G36,Cedentes!$G$2:$G$126,1,0)</f>
        <v>02933</v>
      </c>
      <c r="E36" s="7" t="s">
        <v>203</v>
      </c>
      <c r="F36" s="7" t="s">
        <v>204</v>
      </c>
      <c r="G36" s="45" t="s">
        <v>205</v>
      </c>
      <c r="H36" s="7" t="s">
        <v>3706</v>
      </c>
      <c r="I36" s="7" t="s">
        <v>57</v>
      </c>
      <c r="J36" s="7" t="s">
        <v>862</v>
      </c>
      <c r="K36" s="7" t="s">
        <v>865</v>
      </c>
      <c r="L36" s="8">
        <v>38945</v>
      </c>
    </row>
    <row r="37" spans="1:12" x14ac:dyDescent="0.2">
      <c r="A37" s="84" t="s">
        <v>868</v>
      </c>
      <c r="D37" s="7" t="str">
        <f>VLOOKUP(G37,Cedentes!$G$2:$G$126,1,0)</f>
        <v>06548</v>
      </c>
      <c r="E37" s="7" t="s">
        <v>864</v>
      </c>
      <c r="F37" s="7" t="s">
        <v>208</v>
      </c>
      <c r="G37" s="45" t="s">
        <v>209</v>
      </c>
      <c r="H37" s="7" t="s">
        <v>3707</v>
      </c>
      <c r="I37" s="7" t="s">
        <v>57</v>
      </c>
      <c r="J37" s="7" t="s">
        <v>862</v>
      </c>
      <c r="K37" s="7" t="s">
        <v>865</v>
      </c>
      <c r="L37" s="8">
        <v>36483</v>
      </c>
    </row>
    <row r="38" spans="1:12" x14ac:dyDescent="0.2">
      <c r="A38" s="84" t="s">
        <v>870</v>
      </c>
      <c r="D38" s="7" t="str">
        <f>VLOOKUP(G38,Cedentes!$G$2:$G$126,1,0)</f>
        <v>06017</v>
      </c>
      <c r="E38" s="7" t="s">
        <v>216</v>
      </c>
      <c r="F38" s="7" t="s">
        <v>217</v>
      </c>
      <c r="G38" s="45" t="s">
        <v>218</v>
      </c>
      <c r="H38" s="7" t="s">
        <v>219</v>
      </c>
      <c r="I38" s="7" t="s">
        <v>94</v>
      </c>
      <c r="J38" s="7" t="s">
        <v>867</v>
      </c>
      <c r="K38" s="7" t="s">
        <v>3708</v>
      </c>
      <c r="L38" s="8">
        <v>34030</v>
      </c>
    </row>
    <row r="39" spans="1:12" x14ac:dyDescent="0.2">
      <c r="A39" s="84" t="s">
        <v>874</v>
      </c>
      <c r="D39" s="7" t="str">
        <f>VLOOKUP(G39,Cedentes!$G$2:$G$126,1,0)</f>
        <v>06998</v>
      </c>
      <c r="E39" s="7" t="s">
        <v>221</v>
      </c>
      <c r="F39" s="7" t="s">
        <v>222</v>
      </c>
      <c r="G39" s="45" t="s">
        <v>223</v>
      </c>
      <c r="H39" s="7" t="s">
        <v>3630</v>
      </c>
      <c r="I39" s="7" t="s">
        <v>57</v>
      </c>
      <c r="J39" s="7" t="s">
        <v>869</v>
      </c>
      <c r="K39" s="7" t="s">
        <v>3631</v>
      </c>
      <c r="L39" s="8">
        <v>33057</v>
      </c>
    </row>
    <row r="40" spans="1:12" x14ac:dyDescent="0.2">
      <c r="A40" s="51" t="s">
        <v>812</v>
      </c>
      <c r="D40" s="7" t="str">
        <f>VLOOKUP(G40,Cedentes!$G$2:$G$126,1,0)</f>
        <v>05011</v>
      </c>
      <c r="E40" s="7" t="s">
        <v>871</v>
      </c>
      <c r="F40" s="7" t="s">
        <v>227</v>
      </c>
      <c r="G40" s="45" t="s">
        <v>228</v>
      </c>
      <c r="H40" s="7" t="s">
        <v>229</v>
      </c>
      <c r="I40" s="7" t="s">
        <v>57</v>
      </c>
      <c r="J40" s="7" t="s">
        <v>872</v>
      </c>
      <c r="K40" s="7" t="s">
        <v>873</v>
      </c>
      <c r="L40" s="8">
        <v>33533</v>
      </c>
    </row>
    <row r="41" spans="1:12" x14ac:dyDescent="0.2">
      <c r="A41" s="51" t="s">
        <v>815</v>
      </c>
      <c r="D41" s="7" t="str">
        <f>VLOOKUP(G41,Cedentes!$G$2:$G$126,1,0)</f>
        <v>03328</v>
      </c>
      <c r="E41" s="7" t="s">
        <v>231</v>
      </c>
      <c r="F41" s="7" t="s">
        <v>232</v>
      </c>
      <c r="G41" s="45" t="s">
        <v>233</v>
      </c>
      <c r="H41" s="7" t="s">
        <v>234</v>
      </c>
      <c r="I41" s="7" t="s">
        <v>57</v>
      </c>
      <c r="J41" s="7" t="s">
        <v>875</v>
      </c>
      <c r="K41" s="7" t="s">
        <v>876</v>
      </c>
      <c r="L41" s="8">
        <v>38530</v>
      </c>
    </row>
    <row r="42" spans="1:12" ht="15" x14ac:dyDescent="0.2">
      <c r="A42" s="82"/>
      <c r="D42" s="7" t="str">
        <f>VLOOKUP(G42,Cedentes!$G$2:$G$126,1,0)</f>
        <v>06301</v>
      </c>
      <c r="E42" s="7" t="s">
        <v>319</v>
      </c>
      <c r="F42" s="7" t="s">
        <v>320</v>
      </c>
      <c r="G42" s="45" t="s">
        <v>321</v>
      </c>
      <c r="H42" s="7" t="s">
        <v>322</v>
      </c>
      <c r="I42" s="7" t="s">
        <v>111</v>
      </c>
      <c r="J42" s="7" t="s">
        <v>877</v>
      </c>
      <c r="K42" s="7" t="s">
        <v>878</v>
      </c>
      <c r="L42" s="8">
        <v>37427</v>
      </c>
    </row>
    <row r="43" spans="1:12" x14ac:dyDescent="0.2">
      <c r="A43" s="83" t="s">
        <v>68</v>
      </c>
      <c r="D43" s="7" t="str">
        <f>VLOOKUP(G43,Cedentes!$G$2:$G$126,1,0)</f>
        <v>05045</v>
      </c>
      <c r="E43" s="7" t="s">
        <v>73</v>
      </c>
      <c r="F43" s="7" t="s">
        <v>74</v>
      </c>
      <c r="G43" s="45" t="s">
        <v>75</v>
      </c>
      <c r="H43" s="7" t="s">
        <v>76</v>
      </c>
      <c r="I43" s="7" t="s">
        <v>77</v>
      </c>
      <c r="J43" s="7" t="s">
        <v>879</v>
      </c>
      <c r="K43" s="7" t="s">
        <v>880</v>
      </c>
      <c r="L43" s="8">
        <v>15328</v>
      </c>
    </row>
    <row r="44" spans="1:12" x14ac:dyDescent="0.2">
      <c r="A44" s="84" t="s">
        <v>883</v>
      </c>
      <c r="D44" s="7" t="str">
        <f>VLOOKUP(G44,Cedentes!$G$2:$G$126,1,0)</f>
        <v>06785</v>
      </c>
      <c r="E44" s="7" t="s">
        <v>385</v>
      </c>
      <c r="F44" s="7" t="s">
        <v>386</v>
      </c>
      <c r="G44" s="45" t="s">
        <v>387</v>
      </c>
      <c r="H44" s="7" t="s">
        <v>414</v>
      </c>
      <c r="I44" s="7" t="s">
        <v>57</v>
      </c>
      <c r="J44" s="7" t="s">
        <v>803</v>
      </c>
      <c r="K44" s="7" t="s">
        <v>850</v>
      </c>
      <c r="L44" s="8">
        <v>35501</v>
      </c>
    </row>
    <row r="45" spans="1:12" x14ac:dyDescent="0.2">
      <c r="A45" s="84" t="s">
        <v>888</v>
      </c>
      <c r="D45" s="7" t="str">
        <f>VLOOKUP(G45,Cedentes!$G$2:$G$126,1,0)</f>
        <v>06688</v>
      </c>
      <c r="E45" s="7" t="s">
        <v>389</v>
      </c>
      <c r="F45" s="7" t="s">
        <v>390</v>
      </c>
      <c r="G45" s="45" t="s">
        <v>391</v>
      </c>
      <c r="H45" s="7" t="s">
        <v>392</v>
      </c>
      <c r="I45" s="7" t="s">
        <v>57</v>
      </c>
      <c r="J45" s="7" t="s">
        <v>881</v>
      </c>
      <c r="K45" s="7" t="s">
        <v>882</v>
      </c>
      <c r="L45" s="8">
        <v>25244</v>
      </c>
    </row>
    <row r="46" spans="1:12" x14ac:dyDescent="0.2">
      <c r="A46" s="84" t="s">
        <v>891</v>
      </c>
      <c r="D46" s="7" t="str">
        <f>VLOOKUP(G46,Cedentes!$G$2:$G$126,1,0)</f>
        <v>05193</v>
      </c>
      <c r="E46" s="7" t="s">
        <v>884</v>
      </c>
      <c r="F46" s="7" t="s">
        <v>190</v>
      </c>
      <c r="G46" s="45" t="s">
        <v>191</v>
      </c>
      <c r="H46" s="7" t="s">
        <v>885</v>
      </c>
      <c r="I46" s="7" t="s">
        <v>193</v>
      </c>
      <c r="J46" s="7" t="s">
        <v>886</v>
      </c>
      <c r="K46" s="7" t="s">
        <v>887</v>
      </c>
      <c r="L46" s="8">
        <v>26954</v>
      </c>
    </row>
    <row r="47" spans="1:12" x14ac:dyDescent="0.2">
      <c r="A47" s="84" t="s">
        <v>868</v>
      </c>
      <c r="D47" s="7" t="str">
        <f>VLOOKUP(G47,Cedentes!$G$2:$G$126,1,0)</f>
        <v>05690</v>
      </c>
      <c r="E47" s="7" t="s">
        <v>269</v>
      </c>
      <c r="F47" s="7" t="s">
        <v>270</v>
      </c>
      <c r="G47" s="45" t="s">
        <v>271</v>
      </c>
      <c r="H47" s="7" t="s">
        <v>272</v>
      </c>
      <c r="I47" s="7" t="s">
        <v>273</v>
      </c>
      <c r="J47" s="7" t="s">
        <v>889</v>
      </c>
      <c r="K47" s="7" t="s">
        <v>890</v>
      </c>
      <c r="L47" s="8">
        <v>16152</v>
      </c>
    </row>
    <row r="48" spans="1:12" x14ac:dyDescent="0.2">
      <c r="A48" s="84" t="s">
        <v>896</v>
      </c>
      <c r="D48" s="7" t="str">
        <f>VLOOKUP(G48,Cedentes!$G$2:$G$126,1,0)</f>
        <v>06131</v>
      </c>
      <c r="E48" s="7" t="s">
        <v>441</v>
      </c>
      <c r="F48" s="7" t="s">
        <v>442</v>
      </c>
      <c r="G48" s="45" t="s">
        <v>443</v>
      </c>
      <c r="H48" s="7" t="s">
        <v>444</v>
      </c>
      <c r="I48" s="7" t="s">
        <v>57</v>
      </c>
      <c r="J48" s="7" t="s">
        <v>892</v>
      </c>
      <c r="K48" s="7" t="s">
        <v>893</v>
      </c>
      <c r="L48" s="8">
        <v>36174</v>
      </c>
    </row>
    <row r="49" spans="1:12" x14ac:dyDescent="0.2">
      <c r="A49" s="84" t="s">
        <v>834</v>
      </c>
      <c r="D49" s="7" t="str">
        <f>VLOOKUP(G49,Cedentes!$G$2:$G$126,1,0)</f>
        <v>02879</v>
      </c>
      <c r="E49" s="7" t="s">
        <v>236</v>
      </c>
      <c r="F49" s="7" t="s">
        <v>237</v>
      </c>
      <c r="G49" s="45" t="s">
        <v>238</v>
      </c>
      <c r="H49" s="7" t="s">
        <v>239</v>
      </c>
      <c r="I49" s="7" t="s">
        <v>111</v>
      </c>
      <c r="J49" s="7" t="s">
        <v>894</v>
      </c>
      <c r="K49" s="7" t="s">
        <v>895</v>
      </c>
      <c r="L49" s="8">
        <v>40795</v>
      </c>
    </row>
    <row r="50" spans="1:12" x14ac:dyDescent="0.2">
      <c r="A50" s="51" t="s">
        <v>812</v>
      </c>
      <c r="D50" s="7" t="str">
        <f>VLOOKUP(G50,Cedentes!$G$2:$G$126,1,0)</f>
        <v>05053</v>
      </c>
      <c r="E50" s="7" t="s">
        <v>240</v>
      </c>
      <c r="F50" s="7" t="s">
        <v>241</v>
      </c>
      <c r="G50" s="45" t="s">
        <v>242</v>
      </c>
      <c r="H50" s="7" t="s">
        <v>243</v>
      </c>
      <c r="I50" s="7" t="s">
        <v>193</v>
      </c>
      <c r="J50" s="7" t="s">
        <v>897</v>
      </c>
      <c r="K50" s="7" t="s">
        <v>898</v>
      </c>
      <c r="L50" s="8">
        <v>35461</v>
      </c>
    </row>
    <row r="51" spans="1:12" x14ac:dyDescent="0.2">
      <c r="A51" s="51" t="s">
        <v>815</v>
      </c>
      <c r="D51" s="7" t="str">
        <f>VLOOKUP(G51,Cedentes!$G$2:$G$126,1,0)</f>
        <v>02721</v>
      </c>
      <c r="E51" s="7" t="s">
        <v>245</v>
      </c>
      <c r="F51" s="7" t="s">
        <v>246</v>
      </c>
      <c r="G51" s="45" t="s">
        <v>247</v>
      </c>
      <c r="H51" s="7" t="s">
        <v>248</v>
      </c>
      <c r="I51" s="7" t="s">
        <v>57</v>
      </c>
      <c r="J51" s="7" t="s">
        <v>813</v>
      </c>
      <c r="K51" s="7" t="s">
        <v>899</v>
      </c>
      <c r="L51" s="8">
        <v>38729</v>
      </c>
    </row>
    <row r="52" spans="1:12" ht="15" x14ac:dyDescent="0.2">
      <c r="A52" s="82"/>
      <c r="D52" s="7" t="str">
        <f>VLOOKUP(G52,Cedentes!$G$2:$G$126,1,0)</f>
        <v>02020</v>
      </c>
      <c r="E52" s="7" t="s">
        <v>249</v>
      </c>
      <c r="F52" s="7" t="s">
        <v>250</v>
      </c>
      <c r="G52" s="45" t="s">
        <v>251</v>
      </c>
      <c r="H52" s="7" t="s">
        <v>252</v>
      </c>
      <c r="I52" s="7" t="s">
        <v>57</v>
      </c>
      <c r="J52" s="7" t="s">
        <v>813</v>
      </c>
      <c r="K52" s="7" t="s">
        <v>899</v>
      </c>
      <c r="L52" s="8">
        <v>38729</v>
      </c>
    </row>
    <row r="53" spans="1:12" x14ac:dyDescent="0.2">
      <c r="A53" s="83" t="s">
        <v>381</v>
      </c>
      <c r="D53" s="7" t="str">
        <f>VLOOKUP(G53,Cedentes!$G$2:$G$126,1,0)</f>
        <v>01619</v>
      </c>
      <c r="E53" s="7" t="s">
        <v>255</v>
      </c>
      <c r="F53" s="7" t="s">
        <v>256</v>
      </c>
      <c r="G53" s="45" t="s">
        <v>257</v>
      </c>
      <c r="H53" s="7" t="s">
        <v>258</v>
      </c>
      <c r="I53" s="7" t="s">
        <v>57</v>
      </c>
      <c r="J53" s="7" t="s">
        <v>840</v>
      </c>
      <c r="K53" s="7" t="s">
        <v>900</v>
      </c>
      <c r="L53" s="8">
        <v>39391</v>
      </c>
    </row>
    <row r="54" spans="1:12" x14ac:dyDescent="0.2">
      <c r="A54" s="84" t="s">
        <v>906</v>
      </c>
      <c r="D54" s="7" t="str">
        <f>VLOOKUP(G54,Cedentes!$G$2:$G$126,1,0)</f>
        <v>01490</v>
      </c>
      <c r="E54" s="7" t="s">
        <v>376</v>
      </c>
      <c r="F54" s="7" t="s">
        <v>377</v>
      </c>
      <c r="G54" s="45" t="s">
        <v>378</v>
      </c>
      <c r="H54" s="7" t="s">
        <v>3632</v>
      </c>
      <c r="I54" s="7" t="s">
        <v>111</v>
      </c>
      <c r="J54" s="7" t="s">
        <v>901</v>
      </c>
      <c r="K54" s="7" t="s">
        <v>902</v>
      </c>
      <c r="L54" s="8">
        <v>41054</v>
      </c>
    </row>
    <row r="55" spans="1:12" x14ac:dyDescent="0.2">
      <c r="A55" s="84" t="s">
        <v>908</v>
      </c>
      <c r="D55" s="7" t="str">
        <f>VLOOKUP(G55,Cedentes!$G$2:$G$126,1,0)</f>
        <v>04812</v>
      </c>
      <c r="E55" s="7" t="s">
        <v>260</v>
      </c>
      <c r="F55" s="7" t="s">
        <v>261</v>
      </c>
      <c r="G55" s="45" t="s">
        <v>262</v>
      </c>
      <c r="H55" s="7" t="s">
        <v>903</v>
      </c>
      <c r="I55" s="7" t="s">
        <v>57</v>
      </c>
      <c r="J55" s="7" t="s">
        <v>904</v>
      </c>
      <c r="K55" s="7" t="s">
        <v>905</v>
      </c>
      <c r="L55" s="8">
        <v>37706</v>
      </c>
    </row>
    <row r="56" spans="1:12" x14ac:dyDescent="0.2">
      <c r="A56" s="84" t="s">
        <v>911</v>
      </c>
      <c r="D56" s="7" t="str">
        <f>VLOOKUP(G56,Cedentes!$G$2:$G$126,1,0)</f>
        <v>04359</v>
      </c>
      <c r="E56" s="7" t="s">
        <v>264</v>
      </c>
      <c r="F56" s="7" t="s">
        <v>265</v>
      </c>
      <c r="G56" s="45" t="s">
        <v>266</v>
      </c>
      <c r="H56" s="7" t="s">
        <v>903</v>
      </c>
      <c r="I56" s="7" t="s">
        <v>57</v>
      </c>
      <c r="J56" s="7" t="s">
        <v>904</v>
      </c>
      <c r="K56" s="7" t="s">
        <v>907</v>
      </c>
      <c r="L56" s="8">
        <v>37061</v>
      </c>
    </row>
    <row r="57" spans="1:12" x14ac:dyDescent="0.2">
      <c r="A57" s="84" t="s">
        <v>914</v>
      </c>
      <c r="D57" s="7" t="str">
        <f>VLOOKUP(G57,Cedentes!$G$2:$G$126,1,0)</f>
        <v>04669</v>
      </c>
      <c r="E57" s="7" t="s">
        <v>275</v>
      </c>
      <c r="F57" s="7" t="s">
        <v>276</v>
      </c>
      <c r="G57" s="45" t="s">
        <v>277</v>
      </c>
      <c r="H57" s="7" t="s">
        <v>278</v>
      </c>
      <c r="I57" s="7" t="s">
        <v>88</v>
      </c>
      <c r="J57" s="7" t="s">
        <v>909</v>
      </c>
      <c r="K57" s="7" t="s">
        <v>910</v>
      </c>
      <c r="L57" s="8">
        <v>40301</v>
      </c>
    </row>
    <row r="58" spans="1:12" x14ac:dyDescent="0.2">
      <c r="A58" s="84" t="s">
        <v>915</v>
      </c>
      <c r="D58" s="7" t="str">
        <f>VLOOKUP(G58,Cedentes!$G$2:$G$126,1,0)</f>
        <v>06122</v>
      </c>
      <c r="E58" s="7" t="s">
        <v>281</v>
      </c>
      <c r="F58" s="7" t="s">
        <v>282</v>
      </c>
      <c r="G58" s="45" t="s">
        <v>283</v>
      </c>
      <c r="H58" s="7" t="s">
        <v>284</v>
      </c>
      <c r="I58" s="7" t="s">
        <v>57</v>
      </c>
      <c r="J58" s="7" t="s">
        <v>912</v>
      </c>
      <c r="K58" s="7" t="s">
        <v>913</v>
      </c>
      <c r="L58" s="8">
        <v>36803</v>
      </c>
    </row>
    <row r="59" spans="1:12" x14ac:dyDescent="0.2">
      <c r="A59" s="84" t="s">
        <v>916</v>
      </c>
      <c r="D59" s="7" t="str">
        <f>VLOOKUP(G59,Cedentes!$G$2:$G$126,1,0)</f>
        <v>05908</v>
      </c>
      <c r="E59" s="7" t="s">
        <v>295</v>
      </c>
      <c r="F59" s="7" t="s">
        <v>296</v>
      </c>
      <c r="G59" s="45" t="s">
        <v>297</v>
      </c>
      <c r="H59" s="7" t="s">
        <v>3709</v>
      </c>
      <c r="I59" s="7" t="s">
        <v>111</v>
      </c>
      <c r="J59" s="7" t="s">
        <v>917</v>
      </c>
      <c r="K59" s="7" t="s">
        <v>918</v>
      </c>
      <c r="L59" s="8">
        <v>26997</v>
      </c>
    </row>
    <row r="60" spans="1:12" x14ac:dyDescent="0.2">
      <c r="A60" s="51" t="s">
        <v>812</v>
      </c>
      <c r="D60" s="7" t="str">
        <f>VLOOKUP(G60,Cedentes!$G$2:$G$126,1,0)</f>
        <v>06793</v>
      </c>
      <c r="E60" s="7" t="s">
        <v>300</v>
      </c>
      <c r="F60" s="7" t="s">
        <v>301</v>
      </c>
      <c r="G60" s="45" t="s">
        <v>302</v>
      </c>
      <c r="H60" s="7" t="s">
        <v>3710</v>
      </c>
      <c r="I60" s="7" t="s">
        <v>193</v>
      </c>
      <c r="J60" s="7" t="s">
        <v>3711</v>
      </c>
      <c r="K60" s="7" t="s">
        <v>920</v>
      </c>
      <c r="L60" s="8">
        <v>31014</v>
      </c>
    </row>
    <row r="61" spans="1:12" ht="15" x14ac:dyDescent="0.2">
      <c r="A61" s="82"/>
      <c r="D61" s="7" t="str">
        <f>VLOOKUP(G61,Cedentes!$G$2:$G$126,1,0)</f>
        <v>06572</v>
      </c>
      <c r="E61" s="7" t="s">
        <v>305</v>
      </c>
      <c r="F61" s="7" t="s">
        <v>306</v>
      </c>
      <c r="G61" s="45" t="s">
        <v>307</v>
      </c>
      <c r="H61" s="7" t="s">
        <v>308</v>
      </c>
      <c r="I61" s="7" t="s">
        <v>57</v>
      </c>
      <c r="J61" s="7" t="s">
        <v>921</v>
      </c>
      <c r="K61" s="7" t="s">
        <v>922</v>
      </c>
      <c r="L61" s="8">
        <v>35440</v>
      </c>
    </row>
    <row r="62" spans="1:12" x14ac:dyDescent="0.2">
      <c r="A62" s="83" t="s">
        <v>79</v>
      </c>
      <c r="D62" s="7" t="str">
        <f>VLOOKUP(G62,Cedentes!$G$2:$G$126,1,0)</f>
        <v>01571</v>
      </c>
      <c r="E62" s="7" t="s">
        <v>3581</v>
      </c>
      <c r="F62" s="7" t="s">
        <v>3633</v>
      </c>
      <c r="G62" s="45" t="s">
        <v>3655</v>
      </c>
      <c r="H62" s="7" t="s">
        <v>3712</v>
      </c>
      <c r="I62" s="7" t="s">
        <v>88</v>
      </c>
      <c r="J62" s="7" t="s">
        <v>921</v>
      </c>
      <c r="K62" s="7" t="s">
        <v>3713</v>
      </c>
      <c r="L62" s="8">
        <v>41886</v>
      </c>
    </row>
    <row r="63" spans="1:12" x14ac:dyDescent="0.2">
      <c r="A63" s="84" t="s">
        <v>925</v>
      </c>
      <c r="D63" s="7" t="str">
        <f>VLOOKUP(G63,Cedentes!$G$2:$G$126,1,0)</f>
        <v>06106</v>
      </c>
      <c r="E63" s="7" t="s">
        <v>311</v>
      </c>
      <c r="F63" s="7" t="s">
        <v>312</v>
      </c>
      <c r="G63" s="45" t="s">
        <v>313</v>
      </c>
      <c r="H63" s="7" t="s">
        <v>314</v>
      </c>
      <c r="I63" s="7" t="s">
        <v>94</v>
      </c>
      <c r="J63" s="7" t="s">
        <v>923</v>
      </c>
      <c r="K63" s="7" t="s">
        <v>924</v>
      </c>
      <c r="L63" s="8">
        <v>36321</v>
      </c>
    </row>
    <row r="64" spans="1:12" x14ac:dyDescent="0.2">
      <c r="A64" s="84" t="s">
        <v>929</v>
      </c>
      <c r="D64" s="7" t="str">
        <f>VLOOKUP(G64,Cedentes!$G$2:$G$126,1,0)</f>
        <v>04740</v>
      </c>
      <c r="E64" s="7" t="s">
        <v>315</v>
      </c>
      <c r="F64" s="7" t="s">
        <v>316</v>
      </c>
      <c r="G64" s="45" t="s">
        <v>317</v>
      </c>
      <c r="H64" s="7" t="s">
        <v>926</v>
      </c>
      <c r="I64" s="7" t="s">
        <v>57</v>
      </c>
      <c r="J64" s="7" t="s">
        <v>927</v>
      </c>
      <c r="K64" s="7" t="s">
        <v>928</v>
      </c>
      <c r="L64" s="8">
        <v>37726</v>
      </c>
    </row>
    <row r="65" spans="1:12" x14ac:dyDescent="0.2">
      <c r="A65" s="84" t="s">
        <v>930</v>
      </c>
      <c r="D65" s="7" t="str">
        <f>VLOOKUP(G65,Cedentes!$G$2:$G$126,1,0)</f>
        <v>05142</v>
      </c>
      <c r="E65" s="7" t="s">
        <v>323</v>
      </c>
      <c r="F65" s="7" t="s">
        <v>324</v>
      </c>
      <c r="G65" s="45" t="s">
        <v>325</v>
      </c>
      <c r="H65" s="7" t="s">
        <v>326</v>
      </c>
      <c r="I65" s="7" t="s">
        <v>111</v>
      </c>
      <c r="J65" s="7" t="s">
        <v>877</v>
      </c>
      <c r="K65" s="7" t="s">
        <v>878</v>
      </c>
      <c r="L65" s="8">
        <v>35422</v>
      </c>
    </row>
    <row r="66" spans="1:12" x14ac:dyDescent="0.2">
      <c r="A66" s="84" t="s">
        <v>933</v>
      </c>
      <c r="D66" s="7" t="str">
        <f>VLOOKUP(G66,Cedentes!$G$2:$G$126,1,0)</f>
        <v>05843</v>
      </c>
      <c r="E66" s="7" t="s">
        <v>362</v>
      </c>
      <c r="F66" s="7" t="s">
        <v>363</v>
      </c>
      <c r="G66" s="45" t="s">
        <v>364</v>
      </c>
      <c r="H66" s="7" t="s">
        <v>365</v>
      </c>
      <c r="I66" s="7" t="s">
        <v>57</v>
      </c>
      <c r="J66" s="7" t="s">
        <v>931</v>
      </c>
      <c r="K66" s="7" t="s">
        <v>932</v>
      </c>
      <c r="L66" s="8">
        <v>26353</v>
      </c>
    </row>
    <row r="67" spans="1:12" x14ac:dyDescent="0.2">
      <c r="A67" s="84" t="s">
        <v>935</v>
      </c>
      <c r="D67" s="7" t="str">
        <f>VLOOKUP(G67,Cedentes!$G$2:$G$126,1,0)</f>
        <v>06921</v>
      </c>
      <c r="E67" s="7" t="s">
        <v>331</v>
      </c>
      <c r="F67" s="7" t="s">
        <v>332</v>
      </c>
      <c r="G67" s="45" t="s">
        <v>333</v>
      </c>
      <c r="H67" s="7" t="s">
        <v>334</v>
      </c>
      <c r="I67" s="7" t="s">
        <v>193</v>
      </c>
      <c r="J67" s="7" t="s">
        <v>919</v>
      </c>
      <c r="K67" s="7" t="s">
        <v>934</v>
      </c>
      <c r="L67" s="8">
        <v>32871</v>
      </c>
    </row>
    <row r="68" spans="1:12" x14ac:dyDescent="0.2">
      <c r="A68" s="84" t="s">
        <v>937</v>
      </c>
      <c r="D68" s="7" t="str">
        <f>VLOOKUP(G68,Cedentes!$G$2:$G$126,1,0)</f>
        <v>06173</v>
      </c>
      <c r="E68" s="7" t="s">
        <v>335</v>
      </c>
      <c r="F68" s="7" t="s">
        <v>336</v>
      </c>
      <c r="G68" s="45" t="s">
        <v>337</v>
      </c>
      <c r="H68" s="7" t="s">
        <v>936</v>
      </c>
      <c r="I68" s="7" t="s">
        <v>193</v>
      </c>
      <c r="J68" s="7" t="s">
        <v>919</v>
      </c>
      <c r="K68" s="7" t="s">
        <v>934</v>
      </c>
      <c r="L68" s="8" t="s">
        <v>38</v>
      </c>
    </row>
    <row r="69" spans="1:12" x14ac:dyDescent="0.2">
      <c r="A69" s="51" t="s">
        <v>812</v>
      </c>
      <c r="D69" s="7" t="str">
        <f>VLOOKUP(G69,Cedentes!$G$2:$G$126,1,0)</f>
        <v>03182</v>
      </c>
      <c r="E69" s="7" t="s">
        <v>341</v>
      </c>
      <c r="F69" s="7" t="s">
        <v>342</v>
      </c>
      <c r="G69" s="45" t="s">
        <v>343</v>
      </c>
      <c r="H69" s="7" t="s">
        <v>938</v>
      </c>
      <c r="I69" s="7" t="s">
        <v>57</v>
      </c>
      <c r="J69" s="7" t="s">
        <v>939</v>
      </c>
      <c r="K69" s="7" t="s">
        <v>940</v>
      </c>
      <c r="L69" s="8">
        <v>39205</v>
      </c>
    </row>
    <row r="70" spans="1:12" x14ac:dyDescent="0.2">
      <c r="A70" s="51" t="s">
        <v>815</v>
      </c>
      <c r="D70" s="7" t="str">
        <f>VLOOKUP(G70,Cedentes!$G$2:$G$126,1,0)</f>
        <v>05321</v>
      </c>
      <c r="E70" s="7" t="s">
        <v>3585</v>
      </c>
      <c r="F70" s="7" t="s">
        <v>346</v>
      </c>
      <c r="G70" s="45" t="s">
        <v>347</v>
      </c>
      <c r="H70" s="7" t="s">
        <v>941</v>
      </c>
      <c r="I70" s="7" t="s">
        <v>57</v>
      </c>
      <c r="J70" s="7" t="s">
        <v>942</v>
      </c>
      <c r="K70" s="7" t="s">
        <v>943</v>
      </c>
      <c r="L70" s="8">
        <v>31166</v>
      </c>
    </row>
    <row r="71" spans="1:12" ht="15" x14ac:dyDescent="0.2">
      <c r="A71" s="82"/>
      <c r="D71" s="7" t="str">
        <f>VLOOKUP(G71,Cedentes!$G$2:$G$126,1,0)</f>
        <v>01775</v>
      </c>
      <c r="E71" s="7" t="s">
        <v>3683</v>
      </c>
      <c r="F71" s="7" t="s">
        <v>3714</v>
      </c>
      <c r="G71" s="45" t="s">
        <v>3715</v>
      </c>
      <c r="H71" s="7" t="s">
        <v>3716</v>
      </c>
      <c r="I71" s="7" t="s">
        <v>57</v>
      </c>
      <c r="J71" s="7" t="s">
        <v>942</v>
      </c>
      <c r="K71" s="7" t="s">
        <v>943</v>
      </c>
      <c r="L71" s="8" t="s">
        <v>38</v>
      </c>
    </row>
    <row r="72" spans="1:12" x14ac:dyDescent="0.2">
      <c r="A72" s="83" t="s">
        <v>138</v>
      </c>
      <c r="D72" s="7" t="str">
        <f>VLOOKUP(G72,Cedentes!$G$2:$G$126,1,0)</f>
        <v>05096</v>
      </c>
      <c r="E72" s="7" t="s">
        <v>349</v>
      </c>
      <c r="F72" s="7" t="s">
        <v>350</v>
      </c>
      <c r="G72" s="45" t="s">
        <v>351</v>
      </c>
      <c r="H72" s="7" t="s">
        <v>944</v>
      </c>
      <c r="I72" s="7" t="s">
        <v>57</v>
      </c>
      <c r="J72" s="7" t="s">
        <v>942</v>
      </c>
      <c r="K72" s="7" t="s">
        <v>945</v>
      </c>
      <c r="L72" s="8">
        <v>36740</v>
      </c>
    </row>
    <row r="73" spans="1:12" x14ac:dyDescent="0.2">
      <c r="A73" s="84" t="s">
        <v>949</v>
      </c>
      <c r="D73" s="7" t="str">
        <f>VLOOKUP(G73,Cedentes!$G$2:$G$126,1,0)</f>
        <v>05436</v>
      </c>
      <c r="E73" s="7" t="s">
        <v>354</v>
      </c>
      <c r="F73" s="7" t="s">
        <v>355</v>
      </c>
      <c r="G73" s="45" t="s">
        <v>356</v>
      </c>
      <c r="H73" s="7" t="s">
        <v>946</v>
      </c>
      <c r="I73" s="7" t="s">
        <v>94</v>
      </c>
      <c r="J73" s="7" t="s">
        <v>947</v>
      </c>
      <c r="K73" s="7" t="s">
        <v>948</v>
      </c>
      <c r="L73" s="8">
        <v>33571</v>
      </c>
    </row>
    <row r="74" spans="1:12" x14ac:dyDescent="0.2">
      <c r="A74" s="84" t="s">
        <v>953</v>
      </c>
      <c r="D74" s="7" t="str">
        <f>VLOOKUP(G74,Cedentes!$G$2:$G$126,1,0)</f>
        <v>03727</v>
      </c>
      <c r="E74" s="7" t="s">
        <v>358</v>
      </c>
      <c r="F74" s="7" t="s">
        <v>359</v>
      </c>
      <c r="G74" s="45" t="s">
        <v>360</v>
      </c>
      <c r="H74" s="7" t="s">
        <v>3717</v>
      </c>
      <c r="I74" s="7" t="s">
        <v>94</v>
      </c>
      <c r="J74" s="7" t="s">
        <v>947</v>
      </c>
      <c r="K74" s="7" t="s">
        <v>948</v>
      </c>
      <c r="L74" s="8">
        <v>39307</v>
      </c>
    </row>
    <row r="75" spans="1:12" x14ac:dyDescent="0.2">
      <c r="A75" s="84" t="s">
        <v>956</v>
      </c>
      <c r="D75" s="7" t="str">
        <f>VLOOKUP(G75,Cedentes!$G$2:$G$126,1,0)</f>
        <v>04634</v>
      </c>
      <c r="E75" s="7" t="s">
        <v>543</v>
      </c>
      <c r="F75" s="7" t="s">
        <v>544</v>
      </c>
      <c r="G75" s="45" t="s">
        <v>545</v>
      </c>
      <c r="H75" s="7" t="s">
        <v>950</v>
      </c>
      <c r="I75" s="7" t="s">
        <v>547</v>
      </c>
      <c r="J75" s="7" t="s">
        <v>951</v>
      </c>
      <c r="K75" s="7" t="s">
        <v>952</v>
      </c>
      <c r="L75" s="8">
        <v>38015</v>
      </c>
    </row>
    <row r="76" spans="1:12" x14ac:dyDescent="0.2">
      <c r="A76" s="84" t="s">
        <v>957</v>
      </c>
      <c r="D76" s="7" t="str">
        <f>VLOOKUP(G76,Cedentes!$G$2:$G$126,1,0)</f>
        <v>06360</v>
      </c>
      <c r="E76" s="7" t="s">
        <v>487</v>
      </c>
      <c r="F76" s="7" t="s">
        <v>488</v>
      </c>
      <c r="G76" s="45" t="s">
        <v>489</v>
      </c>
      <c r="H76" s="7" t="s">
        <v>490</v>
      </c>
      <c r="I76" s="7" t="s">
        <v>111</v>
      </c>
      <c r="J76" s="7" t="s">
        <v>954</v>
      </c>
      <c r="K76" s="7" t="s">
        <v>955</v>
      </c>
      <c r="L76" s="8">
        <v>25602</v>
      </c>
    </row>
    <row r="77" spans="1:12" x14ac:dyDescent="0.2">
      <c r="A77" s="84" t="s">
        <v>958</v>
      </c>
      <c r="D77" s="7" t="str">
        <f>VLOOKUP(G77,Cedentes!$G$2:$G$126,1,0)</f>
        <v>05185</v>
      </c>
      <c r="E77" s="7" t="s">
        <v>366</v>
      </c>
      <c r="F77" s="7" t="s">
        <v>367</v>
      </c>
      <c r="G77" s="45" t="s">
        <v>368</v>
      </c>
      <c r="H77" s="7" t="s">
        <v>369</v>
      </c>
      <c r="I77" s="7" t="s">
        <v>57</v>
      </c>
      <c r="J77" s="7" t="s">
        <v>931</v>
      </c>
      <c r="K77" s="7" t="s">
        <v>932</v>
      </c>
      <c r="L77" s="8">
        <v>37048</v>
      </c>
    </row>
    <row r="78" spans="1:12" x14ac:dyDescent="0.2">
      <c r="A78" s="84" t="s">
        <v>959</v>
      </c>
      <c r="D78" s="7" t="str">
        <f>VLOOKUP(G78,Cedentes!$G$2:$G$126,1,0)</f>
        <v>02062</v>
      </c>
      <c r="E78" s="7" t="s">
        <v>211</v>
      </c>
      <c r="F78" s="7" t="s">
        <v>212</v>
      </c>
      <c r="G78" s="45" t="s">
        <v>213</v>
      </c>
      <c r="H78" s="7" t="s">
        <v>3718</v>
      </c>
      <c r="I78" s="7" t="s">
        <v>57</v>
      </c>
      <c r="J78" s="7" t="s">
        <v>862</v>
      </c>
      <c r="K78" s="7" t="s">
        <v>865</v>
      </c>
      <c r="L78" s="8">
        <v>38576</v>
      </c>
    </row>
    <row r="79" spans="1:12" x14ac:dyDescent="0.2">
      <c r="A79" s="51" t="s">
        <v>812</v>
      </c>
      <c r="D79" s="7" t="str">
        <f>VLOOKUP(G79,Cedentes!$G$2:$G$126,1,0)</f>
        <v>06858</v>
      </c>
      <c r="E79" s="7" t="s">
        <v>411</v>
      </c>
      <c r="F79" s="7" t="s">
        <v>412</v>
      </c>
      <c r="G79" s="45" t="s">
        <v>413</v>
      </c>
      <c r="H79" s="7" t="s">
        <v>414</v>
      </c>
      <c r="I79" s="7" t="s">
        <v>57</v>
      </c>
      <c r="J79" s="7" t="s">
        <v>803</v>
      </c>
      <c r="K79" s="7" t="s">
        <v>850</v>
      </c>
      <c r="L79" s="8">
        <v>32798</v>
      </c>
    </row>
    <row r="80" spans="1:12" x14ac:dyDescent="0.2">
      <c r="A80" s="51" t="s">
        <v>815</v>
      </c>
      <c r="D80" s="7" t="str">
        <f>VLOOKUP(G80,Cedentes!$G$2:$G$126,1,0)</f>
        <v>03298</v>
      </c>
      <c r="E80" s="7" t="s">
        <v>3689</v>
      </c>
      <c r="F80" s="7" t="s">
        <v>402</v>
      </c>
      <c r="G80" s="45" t="s">
        <v>403</v>
      </c>
      <c r="H80" s="7" t="s">
        <v>960</v>
      </c>
      <c r="I80" s="7" t="s">
        <v>57</v>
      </c>
      <c r="J80" s="7" t="s">
        <v>803</v>
      </c>
      <c r="K80" s="7" t="s">
        <v>961</v>
      </c>
      <c r="L80" s="8">
        <v>36661</v>
      </c>
    </row>
    <row r="81" spans="1:12" ht="15" x14ac:dyDescent="0.2">
      <c r="A81" s="82"/>
      <c r="D81" s="7" t="str">
        <f>VLOOKUP(G81,Cedentes!$G$2:$G$126,1,0)</f>
        <v>06718</v>
      </c>
      <c r="E81" s="7" t="s">
        <v>397</v>
      </c>
      <c r="F81" s="7" t="s">
        <v>398</v>
      </c>
      <c r="G81" s="45" t="s">
        <v>399</v>
      </c>
      <c r="H81" s="7" t="s">
        <v>960</v>
      </c>
      <c r="I81" s="7" t="s">
        <v>57</v>
      </c>
      <c r="J81" s="7" t="s">
        <v>803</v>
      </c>
      <c r="K81" s="7" t="s">
        <v>961</v>
      </c>
      <c r="L81" s="8">
        <v>39204</v>
      </c>
    </row>
    <row r="82" spans="1:12" x14ac:dyDescent="0.2">
      <c r="A82" s="83" t="s">
        <v>84</v>
      </c>
      <c r="D82" s="7" t="str">
        <f>VLOOKUP(G82,Cedentes!$G$2:$G$126,1,0)</f>
        <v>06238</v>
      </c>
      <c r="E82" s="7" t="s">
        <v>405</v>
      </c>
      <c r="F82" s="7" t="s">
        <v>406</v>
      </c>
      <c r="G82" s="45" t="s">
        <v>407</v>
      </c>
      <c r="H82" s="7" t="s">
        <v>3635</v>
      </c>
      <c r="I82" s="7" t="s">
        <v>57</v>
      </c>
      <c r="J82" s="7" t="s">
        <v>803</v>
      </c>
      <c r="K82" s="7" t="s">
        <v>850</v>
      </c>
      <c r="L82" s="8">
        <v>26736</v>
      </c>
    </row>
    <row r="83" spans="1:12" x14ac:dyDescent="0.2">
      <c r="A83" s="84" t="s">
        <v>962</v>
      </c>
      <c r="D83" s="7" t="str">
        <f>VLOOKUP(G83,Cedentes!$G$2:$G$126,1,0)</f>
        <v>05665</v>
      </c>
      <c r="E83" s="7" t="s">
        <v>408</v>
      </c>
      <c r="F83" s="7" t="s">
        <v>409</v>
      </c>
      <c r="G83" s="45" t="s">
        <v>410</v>
      </c>
      <c r="H83" s="7" t="s">
        <v>3635</v>
      </c>
      <c r="I83" s="7" t="s">
        <v>57</v>
      </c>
      <c r="J83" s="7" t="s">
        <v>803</v>
      </c>
      <c r="K83" s="7" t="s">
        <v>850</v>
      </c>
      <c r="L83" s="8">
        <v>34857</v>
      </c>
    </row>
    <row r="84" spans="1:12" x14ac:dyDescent="0.2">
      <c r="A84" s="84" t="s">
        <v>966</v>
      </c>
      <c r="D84" s="7" t="str">
        <f>VLOOKUP(G84,Cedentes!$G$2:$G$126,1,0)</f>
        <v>05720</v>
      </c>
      <c r="E84" s="7" t="s">
        <v>614</v>
      </c>
      <c r="F84" s="7" t="s">
        <v>615</v>
      </c>
      <c r="G84" s="45" t="s">
        <v>616</v>
      </c>
      <c r="H84" s="7" t="s">
        <v>2300</v>
      </c>
      <c r="I84" s="7" t="s">
        <v>88</v>
      </c>
      <c r="J84" s="7" t="s">
        <v>1055</v>
      </c>
      <c r="K84" s="7" t="s">
        <v>3719</v>
      </c>
      <c r="L84" s="8">
        <v>34711</v>
      </c>
    </row>
    <row r="85" spans="1:12" x14ac:dyDescent="0.2">
      <c r="A85" s="84" t="s">
        <v>970</v>
      </c>
      <c r="D85" s="7" t="str">
        <f>VLOOKUP(G85,Cedentes!$G$2:$G$126,1,0)</f>
        <v>06084</v>
      </c>
      <c r="E85" s="7" t="s">
        <v>963</v>
      </c>
      <c r="F85" s="7" t="s">
        <v>421</v>
      </c>
      <c r="G85" s="45" t="s">
        <v>422</v>
      </c>
      <c r="H85" s="7" t="s">
        <v>423</v>
      </c>
      <c r="I85" s="7" t="s">
        <v>193</v>
      </c>
      <c r="J85" s="7" t="s">
        <v>964</v>
      </c>
      <c r="K85" s="7" t="s">
        <v>965</v>
      </c>
      <c r="L85" s="8">
        <v>34187</v>
      </c>
    </row>
    <row r="86" spans="1:12" x14ac:dyDescent="0.2">
      <c r="A86" s="84" t="s">
        <v>973</v>
      </c>
      <c r="D86" s="7" t="str">
        <f>VLOOKUP(G86,Cedentes!$G$2:$G$126,1,0)</f>
        <v>06351</v>
      </c>
      <c r="E86" s="7" t="s">
        <v>426</v>
      </c>
      <c r="F86" s="7" t="s">
        <v>427</v>
      </c>
      <c r="G86" s="45" t="s">
        <v>428</v>
      </c>
      <c r="H86" s="7" t="s">
        <v>967</v>
      </c>
      <c r="I86" s="7" t="s">
        <v>57</v>
      </c>
      <c r="J86" s="7" t="s">
        <v>968</v>
      </c>
      <c r="K86" s="7" t="s">
        <v>969</v>
      </c>
      <c r="L86" s="8">
        <v>35639</v>
      </c>
    </row>
    <row r="87" spans="1:12" x14ac:dyDescent="0.2">
      <c r="A87" s="84" t="s">
        <v>977</v>
      </c>
      <c r="D87" s="7" t="str">
        <f>VLOOKUP(G87,Cedentes!$G$2:$G$126,1,0)</f>
        <v>06602</v>
      </c>
      <c r="E87" s="7" t="s">
        <v>431</v>
      </c>
      <c r="F87" s="7" t="s">
        <v>432</v>
      </c>
      <c r="G87" s="45" t="s">
        <v>433</v>
      </c>
      <c r="H87" s="7" t="s">
        <v>434</v>
      </c>
      <c r="I87" s="7" t="s">
        <v>57</v>
      </c>
      <c r="J87" s="7" t="s">
        <v>971</v>
      </c>
      <c r="K87" s="7" t="s">
        <v>972</v>
      </c>
      <c r="L87" s="8">
        <v>37239</v>
      </c>
    </row>
    <row r="88" spans="1:12" x14ac:dyDescent="0.2">
      <c r="A88" s="84" t="s">
        <v>981</v>
      </c>
      <c r="D88" s="7" t="str">
        <f>VLOOKUP(G88,Cedentes!$G$2:$G$126,1,0)</f>
        <v>02101</v>
      </c>
      <c r="E88" s="7" t="s">
        <v>974</v>
      </c>
      <c r="F88" s="7" t="s">
        <v>437</v>
      </c>
      <c r="G88" s="45" t="s">
        <v>438</v>
      </c>
      <c r="H88" s="7" t="s">
        <v>439</v>
      </c>
      <c r="I88" s="7" t="s">
        <v>111</v>
      </c>
      <c r="J88" s="7" t="s">
        <v>975</v>
      </c>
      <c r="K88" s="7" t="s">
        <v>976</v>
      </c>
      <c r="L88" s="8">
        <v>38111</v>
      </c>
    </row>
    <row r="89" spans="1:12" x14ac:dyDescent="0.2">
      <c r="A89" s="51" t="s">
        <v>812</v>
      </c>
      <c r="D89" s="7" t="str">
        <f>VLOOKUP(G89,Cedentes!$G$2:$G$126,1,0)</f>
        <v>05754</v>
      </c>
      <c r="E89" s="7" t="s">
        <v>978</v>
      </c>
      <c r="F89" s="7" t="s">
        <v>447</v>
      </c>
      <c r="G89" s="45" t="s">
        <v>448</v>
      </c>
      <c r="H89" s="7" t="s">
        <v>449</v>
      </c>
      <c r="I89" s="7" t="s">
        <v>88</v>
      </c>
      <c r="J89" s="7" t="s">
        <v>979</v>
      </c>
      <c r="K89" s="7" t="s">
        <v>980</v>
      </c>
      <c r="L89" s="8">
        <v>34100</v>
      </c>
    </row>
    <row r="90" spans="1:12" x14ac:dyDescent="0.2">
      <c r="A90" s="51" t="s">
        <v>815</v>
      </c>
      <c r="D90" s="7" t="str">
        <f>VLOOKUP(G90,Cedentes!$G$2:$G$126,1,0)</f>
        <v>06653</v>
      </c>
      <c r="E90" s="7" t="s">
        <v>982</v>
      </c>
      <c r="F90" s="7" t="s">
        <v>453</v>
      </c>
      <c r="G90" s="45" t="s">
        <v>454</v>
      </c>
      <c r="H90" s="7" t="s">
        <v>983</v>
      </c>
      <c r="I90" s="7" t="s">
        <v>88</v>
      </c>
      <c r="J90" s="7" t="s">
        <v>984</v>
      </c>
      <c r="K90" s="7" t="s">
        <v>985</v>
      </c>
      <c r="L90" s="8">
        <v>27649</v>
      </c>
    </row>
    <row r="91" spans="1:12" ht="15" x14ac:dyDescent="0.2">
      <c r="A91" s="82"/>
      <c r="D91" s="7" t="str">
        <f>VLOOKUP(G91,Cedentes!$G$2:$G$126,1,0)</f>
        <v>05886</v>
      </c>
      <c r="E91" s="7" t="s">
        <v>3587</v>
      </c>
      <c r="F91" s="7" t="s">
        <v>462</v>
      </c>
      <c r="G91" s="45" t="s">
        <v>463</v>
      </c>
      <c r="H91" s="7" t="s">
        <v>986</v>
      </c>
      <c r="I91" s="7" t="s">
        <v>57</v>
      </c>
      <c r="J91" s="7" t="s">
        <v>987</v>
      </c>
      <c r="K91" s="7" t="s">
        <v>988</v>
      </c>
      <c r="L91" s="8">
        <v>16600</v>
      </c>
    </row>
    <row r="92" spans="1:12" x14ac:dyDescent="0.2">
      <c r="A92" s="83" t="s">
        <v>3663</v>
      </c>
      <c r="D92" s="7" t="str">
        <f>VLOOKUP(G92,Cedentes!$G$2:$G$126,1,0)</f>
        <v>06033</v>
      </c>
      <c r="E92" s="7" t="s">
        <v>989</v>
      </c>
      <c r="F92" s="7" t="s">
        <v>466</v>
      </c>
      <c r="G92" s="45" t="s">
        <v>467</v>
      </c>
      <c r="H92" s="7" t="s">
        <v>3636</v>
      </c>
      <c r="I92" s="7" t="s">
        <v>57</v>
      </c>
      <c r="J92" s="7" t="s">
        <v>990</v>
      </c>
      <c r="K92" s="7" t="s">
        <v>988</v>
      </c>
      <c r="L92" s="8">
        <v>35613</v>
      </c>
    </row>
    <row r="93" spans="1:12" x14ac:dyDescent="0.2">
      <c r="A93" s="84" t="s">
        <v>997</v>
      </c>
      <c r="D93" s="7" t="str">
        <f>VLOOKUP(G93,Cedentes!$G$2:$G$126,1,0)</f>
        <v>03069</v>
      </c>
      <c r="E93" s="7" t="s">
        <v>471</v>
      </c>
      <c r="F93" s="7" t="s">
        <v>472</v>
      </c>
      <c r="G93" s="45" t="s">
        <v>473</v>
      </c>
      <c r="H93" s="7" t="s">
        <v>991</v>
      </c>
      <c r="I93" s="7" t="s">
        <v>135</v>
      </c>
      <c r="J93" s="7" t="s">
        <v>992</v>
      </c>
      <c r="K93" s="7" t="s">
        <v>993</v>
      </c>
      <c r="L93" s="8">
        <v>40234</v>
      </c>
    </row>
    <row r="94" spans="1:12" x14ac:dyDescent="0.2">
      <c r="A94" s="84" t="s">
        <v>1000</v>
      </c>
      <c r="D94" s="7" t="str">
        <f>VLOOKUP(G94,Cedentes!$G$2:$G$126,1,0)</f>
        <v>05401</v>
      </c>
      <c r="E94" s="7" t="s">
        <v>476</v>
      </c>
      <c r="F94" s="7" t="s">
        <v>477</v>
      </c>
      <c r="G94" s="45" t="s">
        <v>478</v>
      </c>
      <c r="H94" s="7" t="s">
        <v>994</v>
      </c>
      <c r="I94" s="7" t="s">
        <v>77</v>
      </c>
      <c r="J94" s="7" t="s">
        <v>995</v>
      </c>
      <c r="K94" s="7" t="s">
        <v>996</v>
      </c>
      <c r="L94" s="8">
        <v>36004</v>
      </c>
    </row>
    <row r="95" spans="1:12" x14ac:dyDescent="0.2">
      <c r="A95" s="84" t="s">
        <v>3568</v>
      </c>
      <c r="D95" s="7" t="str">
        <f>VLOOKUP(G95,Cedentes!$G$2:$G$126,1,0)</f>
        <v>03794</v>
      </c>
      <c r="E95" s="7" t="s">
        <v>482</v>
      </c>
      <c r="F95" s="7" t="s">
        <v>483</v>
      </c>
      <c r="G95" s="45" t="s">
        <v>484</v>
      </c>
      <c r="H95" s="7" t="s">
        <v>485</v>
      </c>
      <c r="I95" s="7" t="s">
        <v>135</v>
      </c>
      <c r="J95" s="7" t="s">
        <v>998</v>
      </c>
      <c r="K95" s="7" t="s">
        <v>999</v>
      </c>
      <c r="L95" s="8">
        <v>38334</v>
      </c>
    </row>
    <row r="96" spans="1:12" x14ac:dyDescent="0.2">
      <c r="A96" s="84" t="s">
        <v>3664</v>
      </c>
      <c r="D96" s="7" t="str">
        <f>VLOOKUP(G96,Cedentes!$G$2:$G$126,1,0)</f>
        <v>05282</v>
      </c>
      <c r="E96" s="7" t="s">
        <v>491</v>
      </c>
      <c r="F96" s="7" t="s">
        <v>492</v>
      </c>
      <c r="G96" s="45" t="s">
        <v>493</v>
      </c>
      <c r="H96" s="7" t="s">
        <v>494</v>
      </c>
      <c r="I96" s="7" t="s">
        <v>111</v>
      </c>
      <c r="J96" s="7" t="s">
        <v>954</v>
      </c>
      <c r="K96" s="7" t="s">
        <v>1001</v>
      </c>
      <c r="L96" s="8">
        <v>37603</v>
      </c>
    </row>
    <row r="97" spans="1:12" x14ac:dyDescent="0.2">
      <c r="A97" s="84" t="s">
        <v>3448</v>
      </c>
      <c r="D97" s="7" t="str">
        <f>VLOOKUP(G97,Cedentes!$G$2:$G$126,1,0)</f>
        <v>05941</v>
      </c>
      <c r="E97" s="7" t="s">
        <v>496</v>
      </c>
      <c r="F97" s="7" t="s">
        <v>497</v>
      </c>
      <c r="G97" s="45" t="s">
        <v>498</v>
      </c>
      <c r="H97" s="7" t="s">
        <v>3637</v>
      </c>
      <c r="I97" s="7" t="s">
        <v>57</v>
      </c>
      <c r="J97" s="7" t="s">
        <v>1002</v>
      </c>
      <c r="K97" s="7" t="s">
        <v>1003</v>
      </c>
      <c r="L97" s="8">
        <v>37597</v>
      </c>
    </row>
    <row r="98" spans="1:12" x14ac:dyDescent="0.2">
      <c r="A98" s="84" t="s">
        <v>1007</v>
      </c>
      <c r="D98" s="7" t="str">
        <f>VLOOKUP(G98,Cedentes!$G$2:$G$126,1,0)</f>
        <v>06751</v>
      </c>
      <c r="E98" s="7" t="s">
        <v>1004</v>
      </c>
      <c r="F98" s="7" t="s">
        <v>502</v>
      </c>
      <c r="G98" s="45" t="s">
        <v>503</v>
      </c>
      <c r="H98" s="7" t="s">
        <v>504</v>
      </c>
      <c r="I98" s="7" t="s">
        <v>88</v>
      </c>
      <c r="J98" s="7" t="s">
        <v>803</v>
      </c>
      <c r="K98" s="7" t="s">
        <v>1005</v>
      </c>
      <c r="L98" s="8">
        <v>35632</v>
      </c>
    </row>
    <row r="99" spans="1:12" x14ac:dyDescent="0.2">
      <c r="A99" s="51" t="s">
        <v>812</v>
      </c>
      <c r="D99" s="7" t="str">
        <f>VLOOKUP(G99,Cedentes!$G$2:$G$126,1,0)</f>
        <v>01007</v>
      </c>
      <c r="E99" s="7" t="s">
        <v>506</v>
      </c>
      <c r="F99" s="7" t="s">
        <v>507</v>
      </c>
      <c r="G99" s="45" t="s">
        <v>508</v>
      </c>
      <c r="H99" s="7" t="s">
        <v>509</v>
      </c>
      <c r="I99" s="7" t="s">
        <v>193</v>
      </c>
      <c r="J99" s="7" t="s">
        <v>897</v>
      </c>
      <c r="K99" s="7" t="s">
        <v>1006</v>
      </c>
      <c r="L99" s="8">
        <v>34642</v>
      </c>
    </row>
    <row r="100" spans="1:12" ht="15" x14ac:dyDescent="0.2">
      <c r="A100" s="82"/>
      <c r="D100" s="7" t="str">
        <f>VLOOKUP(G100,Cedentes!$G$2:$G$126,1,0)</f>
        <v>01627</v>
      </c>
      <c r="E100" s="7" t="s">
        <v>512</v>
      </c>
      <c r="F100" s="7" t="s">
        <v>513</v>
      </c>
      <c r="G100" s="45" t="s">
        <v>514</v>
      </c>
      <c r="H100" s="7" t="s">
        <v>515</v>
      </c>
      <c r="I100" s="7" t="s">
        <v>57</v>
      </c>
      <c r="J100" s="7" t="s">
        <v>1008</v>
      </c>
      <c r="K100" s="7" t="s">
        <v>1009</v>
      </c>
      <c r="L100" s="8">
        <v>37981</v>
      </c>
    </row>
    <row r="101" spans="1:12" x14ac:dyDescent="0.2">
      <c r="A101" s="83" t="s">
        <v>96</v>
      </c>
      <c r="D101" s="7" t="str">
        <f>VLOOKUP(G101,Cedentes!$G$2:$G$126,1,0)</f>
        <v>09938</v>
      </c>
      <c r="E101" s="7" t="s">
        <v>516</v>
      </c>
      <c r="F101" s="7" t="s">
        <v>517</v>
      </c>
      <c r="G101" s="45" t="s">
        <v>518</v>
      </c>
      <c r="H101" s="7" t="s">
        <v>519</v>
      </c>
      <c r="I101" s="7" t="s">
        <v>520</v>
      </c>
      <c r="J101" s="7" t="s">
        <v>1008</v>
      </c>
      <c r="K101" s="7" t="s">
        <v>1009</v>
      </c>
      <c r="L101" s="8">
        <v>34961</v>
      </c>
    </row>
    <row r="102" spans="1:12" x14ac:dyDescent="0.2">
      <c r="A102" s="84" t="s">
        <v>1014</v>
      </c>
      <c r="D102" s="7" t="str">
        <f>VLOOKUP(G102,Cedentes!$G$2:$G$126,1,0)</f>
        <v>02950</v>
      </c>
      <c r="E102" s="7" t="s">
        <v>522</v>
      </c>
      <c r="F102" s="7" t="s">
        <v>523</v>
      </c>
      <c r="G102" s="45" t="s">
        <v>524</v>
      </c>
      <c r="H102" s="7" t="s">
        <v>525</v>
      </c>
      <c r="I102" s="7" t="s">
        <v>526</v>
      </c>
      <c r="J102" s="7" t="s">
        <v>1010</v>
      </c>
      <c r="K102" s="7" t="s">
        <v>1011</v>
      </c>
      <c r="L102" s="8">
        <v>41263</v>
      </c>
    </row>
    <row r="103" spans="1:12" x14ac:dyDescent="0.2">
      <c r="A103" s="84" t="s">
        <v>1017</v>
      </c>
      <c r="D103" s="7" t="str">
        <f>VLOOKUP(G103,Cedentes!$G$2:$G$126,1,0)</f>
        <v>06335</v>
      </c>
      <c r="E103" s="7" t="s">
        <v>538</v>
      </c>
      <c r="F103" s="7" t="s">
        <v>539</v>
      </c>
      <c r="G103" s="45" t="s">
        <v>540</v>
      </c>
      <c r="H103" s="7" t="s">
        <v>1012</v>
      </c>
      <c r="I103" s="7" t="s">
        <v>57</v>
      </c>
      <c r="J103" s="7" t="s">
        <v>875</v>
      </c>
      <c r="K103" s="7" t="s">
        <v>1013</v>
      </c>
      <c r="L103" s="8">
        <v>35661</v>
      </c>
    </row>
    <row r="104" spans="1:12" x14ac:dyDescent="0.2">
      <c r="A104" s="84" t="s">
        <v>1020</v>
      </c>
      <c r="D104" s="7" t="str">
        <f>VLOOKUP(G104,Cedentes!$G$2:$G$126,1,0)</f>
        <v>03271</v>
      </c>
      <c r="E104" s="7" t="s">
        <v>371</v>
      </c>
      <c r="F104" s="7" t="s">
        <v>372</v>
      </c>
      <c r="G104" s="45" t="s">
        <v>373</v>
      </c>
      <c r="H104" s="7" t="s">
        <v>374</v>
      </c>
      <c r="I104" s="7" t="s">
        <v>111</v>
      </c>
      <c r="J104" s="7" t="s">
        <v>1015</v>
      </c>
      <c r="K104" s="7" t="s">
        <v>1016</v>
      </c>
      <c r="L104" s="8">
        <v>39184</v>
      </c>
    </row>
    <row r="105" spans="1:12" x14ac:dyDescent="0.2">
      <c r="A105" s="84" t="s">
        <v>914</v>
      </c>
      <c r="D105" s="7" t="str">
        <f>VLOOKUP(G105,Cedentes!$G$2:$G$126,1,0)</f>
        <v>06831</v>
      </c>
      <c r="E105" s="7" t="s">
        <v>3692</v>
      </c>
      <c r="F105" s="7" t="s">
        <v>549</v>
      </c>
      <c r="G105" s="45" t="s">
        <v>550</v>
      </c>
      <c r="H105" s="7" t="s">
        <v>551</v>
      </c>
      <c r="I105" s="7" t="s">
        <v>111</v>
      </c>
      <c r="J105" s="7" t="s">
        <v>1018</v>
      </c>
      <c r="K105" s="7" t="s">
        <v>1019</v>
      </c>
      <c r="L105" s="8">
        <v>37270</v>
      </c>
    </row>
    <row r="106" spans="1:12" x14ac:dyDescent="0.2">
      <c r="A106" s="84" t="s">
        <v>3665</v>
      </c>
      <c r="D106" s="7" t="str">
        <f>VLOOKUP(G106,Cedentes!$G$2:$G$126,1,0)</f>
        <v>04928</v>
      </c>
      <c r="E106" s="7" t="s">
        <v>553</v>
      </c>
      <c r="F106" s="7" t="s">
        <v>554</v>
      </c>
      <c r="G106" s="45" t="s">
        <v>555</v>
      </c>
      <c r="H106" s="7" t="s">
        <v>1021</v>
      </c>
      <c r="I106" s="7" t="s">
        <v>57</v>
      </c>
      <c r="J106" s="7" t="s">
        <v>1022</v>
      </c>
      <c r="K106" s="7" t="s">
        <v>1023</v>
      </c>
      <c r="L106" s="8">
        <v>41205</v>
      </c>
    </row>
    <row r="107" spans="1:12" x14ac:dyDescent="0.2">
      <c r="A107" s="84" t="s">
        <v>1028</v>
      </c>
      <c r="D107" s="7" t="str">
        <f>VLOOKUP(G107,Cedentes!$G$2:$G$126,1,0)</f>
        <v>04952</v>
      </c>
      <c r="E107" s="7" t="s">
        <v>558</v>
      </c>
      <c r="F107" s="7" t="s">
        <v>559</v>
      </c>
      <c r="G107" s="45" t="s">
        <v>560</v>
      </c>
      <c r="H107" s="7" t="s">
        <v>1024</v>
      </c>
      <c r="I107" s="7" t="s">
        <v>94</v>
      </c>
      <c r="J107" s="7" t="s">
        <v>1025</v>
      </c>
      <c r="K107" s="7" t="s">
        <v>3720</v>
      </c>
      <c r="L107" s="8">
        <v>41295</v>
      </c>
    </row>
    <row r="108" spans="1:12" x14ac:dyDescent="0.2">
      <c r="A108" s="51" t="s">
        <v>812</v>
      </c>
      <c r="D108" s="7" t="str">
        <f>VLOOKUP(G108,Cedentes!$G$2:$G$126,1,0)</f>
        <v>06696</v>
      </c>
      <c r="E108" s="7" t="s">
        <v>567</v>
      </c>
      <c r="F108" s="7" t="s">
        <v>568</v>
      </c>
      <c r="G108" s="45" t="s">
        <v>569</v>
      </c>
      <c r="H108" s="7" t="s">
        <v>566</v>
      </c>
      <c r="I108" s="7" t="s">
        <v>111</v>
      </c>
      <c r="J108" s="7" t="s">
        <v>1026</v>
      </c>
      <c r="K108" s="7" t="s">
        <v>1027</v>
      </c>
      <c r="L108" s="8">
        <v>35659</v>
      </c>
    </row>
    <row r="109" spans="1:12" ht="15" x14ac:dyDescent="0.2">
      <c r="A109" s="82"/>
      <c r="D109" s="7" t="str">
        <f>VLOOKUP(G109,Cedentes!$G$2:$G$126,1,0)</f>
        <v>05118</v>
      </c>
      <c r="E109" s="7" t="s">
        <v>1029</v>
      </c>
      <c r="F109" s="7" t="s">
        <v>564</v>
      </c>
      <c r="G109" s="45" t="s">
        <v>565</v>
      </c>
      <c r="H109" s="7" t="s">
        <v>566</v>
      </c>
      <c r="I109" s="7" t="s">
        <v>111</v>
      </c>
      <c r="J109" s="7" t="s">
        <v>1026</v>
      </c>
      <c r="K109" s="7" t="s">
        <v>1027</v>
      </c>
      <c r="L109" s="8">
        <v>27870</v>
      </c>
    </row>
    <row r="110" spans="1:12" x14ac:dyDescent="0.2">
      <c r="A110" s="83" t="s">
        <v>174</v>
      </c>
      <c r="D110" s="7" t="str">
        <f>VLOOKUP(G110,Cedentes!$G$2:$G$126,1,0)</f>
        <v>06220</v>
      </c>
      <c r="E110" s="7" t="s">
        <v>570</v>
      </c>
      <c r="F110" s="7" t="s">
        <v>571</v>
      </c>
      <c r="G110" s="45" t="s">
        <v>572</v>
      </c>
      <c r="H110" s="7" t="s">
        <v>566</v>
      </c>
      <c r="I110" s="7" t="s">
        <v>111</v>
      </c>
      <c r="J110" s="7" t="s">
        <v>1026</v>
      </c>
      <c r="K110" s="7" t="s">
        <v>1027</v>
      </c>
      <c r="L110" s="8">
        <v>37651</v>
      </c>
    </row>
    <row r="111" spans="1:12" x14ac:dyDescent="0.2">
      <c r="A111" s="84" t="s">
        <v>1035</v>
      </c>
      <c r="D111" s="7" t="str">
        <f>VLOOKUP(G111,Cedentes!$G$2:$G$126,1,0)</f>
        <v>05991</v>
      </c>
      <c r="E111" s="7" t="s">
        <v>3590</v>
      </c>
      <c r="F111" s="7" t="s">
        <v>580</v>
      </c>
      <c r="G111" s="45" t="s">
        <v>581</v>
      </c>
      <c r="H111" s="7" t="s">
        <v>1030</v>
      </c>
      <c r="I111" s="7" t="s">
        <v>57</v>
      </c>
      <c r="J111" s="7" t="s">
        <v>1031</v>
      </c>
      <c r="K111" s="7" t="s">
        <v>1032</v>
      </c>
      <c r="L111" s="8">
        <v>40073</v>
      </c>
    </row>
    <row r="112" spans="1:12" x14ac:dyDescent="0.2">
      <c r="A112" s="84" t="s">
        <v>1038</v>
      </c>
      <c r="D112" s="7" t="str">
        <f>VLOOKUP(G112,Cedentes!$G$2:$G$126,1,0)</f>
        <v>06190</v>
      </c>
      <c r="E112" s="7" t="s">
        <v>574</v>
      </c>
      <c r="F112" s="7" t="s">
        <v>575</v>
      </c>
      <c r="G112" s="45" t="s">
        <v>576</v>
      </c>
      <c r="H112" s="7" t="s">
        <v>577</v>
      </c>
      <c r="I112" s="7" t="s">
        <v>57</v>
      </c>
      <c r="J112" s="7" t="s">
        <v>1033</v>
      </c>
      <c r="K112" s="7" t="s">
        <v>1034</v>
      </c>
      <c r="L112" s="8">
        <v>34626</v>
      </c>
    </row>
    <row r="113" spans="1:12" x14ac:dyDescent="0.2">
      <c r="A113" s="84" t="s">
        <v>1042</v>
      </c>
      <c r="D113" s="7" t="str">
        <f>VLOOKUP(G113,Cedentes!$G$2:$G$126,1,0)</f>
        <v>02801</v>
      </c>
      <c r="E113" s="7" t="s">
        <v>584</v>
      </c>
      <c r="F113" s="7" t="s">
        <v>585</v>
      </c>
      <c r="G113" s="45" t="s">
        <v>586</v>
      </c>
      <c r="H113" s="7" t="s">
        <v>587</v>
      </c>
      <c r="I113" s="7" t="s">
        <v>193</v>
      </c>
      <c r="J113" s="7" t="s">
        <v>1036</v>
      </c>
      <c r="K113" s="7" t="s">
        <v>1037</v>
      </c>
      <c r="L113" s="8">
        <v>41425</v>
      </c>
    </row>
    <row r="114" spans="1:12" x14ac:dyDescent="0.2">
      <c r="A114" s="84" t="s">
        <v>1043</v>
      </c>
      <c r="D114" s="7" t="str">
        <f>VLOOKUP(G114,Cedentes!$G$2:$G$126,1,0)</f>
        <v>06947</v>
      </c>
      <c r="E114" s="7" t="s">
        <v>589</v>
      </c>
      <c r="F114" s="7" t="s">
        <v>590</v>
      </c>
      <c r="G114" s="45" t="s">
        <v>591</v>
      </c>
      <c r="H114" s="7" t="s">
        <v>1039</v>
      </c>
      <c r="I114" s="7" t="s">
        <v>57</v>
      </c>
      <c r="J114" s="7" t="s">
        <v>1040</v>
      </c>
      <c r="K114" s="7" t="s">
        <v>1041</v>
      </c>
      <c r="L114" s="8">
        <v>32917</v>
      </c>
    </row>
    <row r="115" spans="1:12" x14ac:dyDescent="0.2">
      <c r="A115" s="84" t="s">
        <v>1047</v>
      </c>
      <c r="D115" s="7" t="str">
        <f>VLOOKUP(G115,Cedentes!$G$2:$G$126,1,0)</f>
        <v>01970</v>
      </c>
      <c r="E115" s="7" t="s">
        <v>593</v>
      </c>
      <c r="F115" s="7" t="s">
        <v>594</v>
      </c>
      <c r="G115" s="45" t="s">
        <v>595</v>
      </c>
      <c r="H115" s="7" t="s">
        <v>596</v>
      </c>
      <c r="I115" s="7" t="s">
        <v>57</v>
      </c>
      <c r="J115" s="7" t="s">
        <v>1040</v>
      </c>
      <c r="K115" s="7" t="s">
        <v>1041</v>
      </c>
      <c r="L115" s="8">
        <v>41557</v>
      </c>
    </row>
    <row r="116" spans="1:12" x14ac:dyDescent="0.2">
      <c r="A116" s="84" t="s">
        <v>1048</v>
      </c>
      <c r="D116" s="7" t="str">
        <f>VLOOKUP(G116,Cedentes!$G$2:$G$126,1,0)</f>
        <v>03671</v>
      </c>
      <c r="E116" s="7" t="s">
        <v>1044</v>
      </c>
      <c r="F116" s="7" t="s">
        <v>599</v>
      </c>
      <c r="G116" s="45" t="s">
        <v>600</v>
      </c>
      <c r="H116" s="7" t="s">
        <v>1045</v>
      </c>
      <c r="I116" s="7" t="s">
        <v>57</v>
      </c>
      <c r="J116" s="7" t="s">
        <v>796</v>
      </c>
      <c r="K116" s="7" t="s">
        <v>1046</v>
      </c>
      <c r="L116" s="8">
        <v>39211</v>
      </c>
    </row>
    <row r="117" spans="1:12" x14ac:dyDescent="0.2">
      <c r="A117" s="51" t="s">
        <v>812</v>
      </c>
      <c r="D117" s="7" t="str">
        <f>VLOOKUP(G117,Cedentes!$G$2:$G$126,1,0)</f>
        <v>05657</v>
      </c>
      <c r="E117" s="7" t="s">
        <v>327</v>
      </c>
      <c r="F117" s="7" t="s">
        <v>328</v>
      </c>
      <c r="G117" s="45" t="s">
        <v>329</v>
      </c>
      <c r="H117" s="7" t="s">
        <v>330</v>
      </c>
      <c r="I117" s="7" t="s">
        <v>111</v>
      </c>
      <c r="J117" s="7" t="s">
        <v>877</v>
      </c>
      <c r="K117" s="7" t="s">
        <v>878</v>
      </c>
      <c r="L117" s="8">
        <v>34092</v>
      </c>
    </row>
    <row r="118" spans="1:12" ht="15" x14ac:dyDescent="0.2">
      <c r="A118" s="82"/>
      <c r="D118" s="7" t="str">
        <f>VLOOKUP(G118,Cedentes!$G$2:$G$126,1,0)</f>
        <v>06378</v>
      </c>
      <c r="E118" s="7" t="s">
        <v>415</v>
      </c>
      <c r="F118" s="7" t="s">
        <v>416</v>
      </c>
      <c r="G118" s="45" t="s">
        <v>417</v>
      </c>
      <c r="H118" s="7" t="s">
        <v>1049</v>
      </c>
      <c r="I118" s="7" t="s">
        <v>57</v>
      </c>
      <c r="J118" s="7" t="s">
        <v>803</v>
      </c>
      <c r="K118" s="7" t="s">
        <v>850</v>
      </c>
      <c r="L118" s="8">
        <v>37046</v>
      </c>
    </row>
    <row r="119" spans="1:12" x14ac:dyDescent="0.2">
      <c r="A119" s="83" t="s">
        <v>101</v>
      </c>
      <c r="D119" s="7" t="str">
        <f>VLOOKUP(G119,Cedentes!$G$2:$G$126,1,0)</f>
        <v>06530</v>
      </c>
      <c r="E119" s="7" t="s">
        <v>603</v>
      </c>
      <c r="F119" s="7" t="s">
        <v>604</v>
      </c>
      <c r="G119" s="45" t="s">
        <v>605</v>
      </c>
      <c r="H119" s="7" t="s">
        <v>606</v>
      </c>
      <c r="I119" s="7" t="s">
        <v>607</v>
      </c>
      <c r="J119" s="7" t="s">
        <v>1050</v>
      </c>
      <c r="K119" s="7" t="s">
        <v>1051</v>
      </c>
      <c r="L119" s="8">
        <v>36451</v>
      </c>
    </row>
    <row r="120" spans="1:12" x14ac:dyDescent="0.2">
      <c r="A120" s="84" t="s">
        <v>1057</v>
      </c>
      <c r="D120" s="7" t="str">
        <f>VLOOKUP(G120,Cedentes!$G$2:$G$126,1,0)</f>
        <v>01431</v>
      </c>
      <c r="E120" s="7" t="s">
        <v>609</v>
      </c>
      <c r="F120" s="7" t="s">
        <v>610</v>
      </c>
      <c r="G120" s="45" t="s">
        <v>611</v>
      </c>
      <c r="H120" s="7" t="s">
        <v>612</v>
      </c>
      <c r="I120" s="7" t="s">
        <v>57</v>
      </c>
      <c r="J120" s="7" t="s">
        <v>1052</v>
      </c>
      <c r="K120" s="7" t="s">
        <v>1053</v>
      </c>
      <c r="L120" s="8">
        <v>40903</v>
      </c>
    </row>
    <row r="121" spans="1:12" x14ac:dyDescent="0.2">
      <c r="A121" s="84" t="s">
        <v>1062</v>
      </c>
      <c r="D121" s="7" t="str">
        <f>VLOOKUP(G121,Cedentes!$G$2:$G$126,1,0)</f>
        <v>06416</v>
      </c>
      <c r="E121" s="7" t="s">
        <v>1054</v>
      </c>
      <c r="F121" s="7" t="s">
        <v>619</v>
      </c>
      <c r="G121" s="45" t="s">
        <v>620</v>
      </c>
      <c r="H121" s="7" t="s">
        <v>621</v>
      </c>
      <c r="I121" s="7" t="s">
        <v>57</v>
      </c>
      <c r="J121" s="7" t="s">
        <v>1055</v>
      </c>
      <c r="K121" s="7" t="s">
        <v>1056</v>
      </c>
      <c r="L121" s="8">
        <v>35925</v>
      </c>
    </row>
    <row r="122" spans="1:12" x14ac:dyDescent="0.2">
      <c r="A122" s="84" t="s">
        <v>1065</v>
      </c>
      <c r="D122" s="7" t="str">
        <f>VLOOKUP(G122,Cedentes!$G$2:$G$126,1,0)</f>
        <v>05495</v>
      </c>
      <c r="E122" s="7" t="s">
        <v>1058</v>
      </c>
      <c r="F122" s="7" t="s">
        <v>624</v>
      </c>
      <c r="G122" s="45" t="s">
        <v>625</v>
      </c>
      <c r="H122" s="7" t="s">
        <v>1059</v>
      </c>
      <c r="I122" s="7" t="s">
        <v>135</v>
      </c>
      <c r="J122" s="7" t="s">
        <v>1060</v>
      </c>
      <c r="K122" s="7" t="s">
        <v>1061</v>
      </c>
      <c r="L122" s="8">
        <v>14208</v>
      </c>
    </row>
    <row r="123" spans="1:12" x14ac:dyDescent="0.2">
      <c r="A123" s="84" t="s">
        <v>1067</v>
      </c>
      <c r="D123" s="7" t="str">
        <f>VLOOKUP(G123,Cedentes!$G$2:$G$126,1,0)</f>
        <v>05070</v>
      </c>
      <c r="E123" s="7" t="s">
        <v>533</v>
      </c>
      <c r="F123" s="7" t="s">
        <v>534</v>
      </c>
      <c r="G123" s="45" t="s">
        <v>535</v>
      </c>
      <c r="H123" s="7" t="s">
        <v>536</v>
      </c>
      <c r="I123" s="7" t="s">
        <v>57</v>
      </c>
      <c r="J123" s="7" t="s">
        <v>1063</v>
      </c>
      <c r="K123" s="7" t="s">
        <v>1064</v>
      </c>
      <c r="L123" s="8">
        <v>33081</v>
      </c>
    </row>
    <row r="124" spans="1:12" x14ac:dyDescent="0.2">
      <c r="A124" s="84" t="s">
        <v>1068</v>
      </c>
      <c r="D124" s="7" t="str">
        <f>VLOOKUP(G124,Cedentes!$G$2:$G$126,1,0)</f>
        <v>06564</v>
      </c>
      <c r="E124" s="7" t="s">
        <v>529</v>
      </c>
      <c r="F124" s="7" t="s">
        <v>530</v>
      </c>
      <c r="G124" s="45" t="s">
        <v>531</v>
      </c>
      <c r="H124" s="7" t="s">
        <v>532</v>
      </c>
      <c r="I124" s="7" t="s">
        <v>57</v>
      </c>
      <c r="J124" s="7" t="s">
        <v>1066</v>
      </c>
      <c r="K124" s="7" t="s">
        <v>1064</v>
      </c>
      <c r="L124" s="8">
        <v>37971</v>
      </c>
    </row>
    <row r="125" spans="1:12" x14ac:dyDescent="0.2">
      <c r="A125" s="84" t="s">
        <v>1069</v>
      </c>
      <c r="D125" s="7" t="str">
        <f>VLOOKUP(G125,Cedentes!$G$2:$G$126,1,0)</f>
        <v>06157</v>
      </c>
      <c r="E125" s="7" t="s">
        <v>627</v>
      </c>
      <c r="F125" s="7" t="s">
        <v>628</v>
      </c>
      <c r="G125" s="45" t="s">
        <v>629</v>
      </c>
      <c r="H125" s="7" t="s">
        <v>3721</v>
      </c>
      <c r="I125" s="7" t="s">
        <v>57</v>
      </c>
      <c r="J125" s="7" t="s">
        <v>2332</v>
      </c>
      <c r="K125" s="7" t="s">
        <v>3722</v>
      </c>
      <c r="L125" s="8">
        <v>35137</v>
      </c>
    </row>
    <row r="126" spans="1:12" x14ac:dyDescent="0.2">
      <c r="A126" s="51" t="s">
        <v>812</v>
      </c>
      <c r="G126" s="45"/>
      <c r="L126" s="8"/>
    </row>
    <row r="127" spans="1:12" ht="15" x14ac:dyDescent="0.2">
      <c r="A127" s="82"/>
      <c r="G127" s="45"/>
      <c r="L127" s="8"/>
    </row>
    <row r="128" spans="1:12" x14ac:dyDescent="0.2">
      <c r="A128" s="83" t="s">
        <v>143</v>
      </c>
      <c r="G128" s="45"/>
      <c r="L128" s="8"/>
    </row>
    <row r="129" spans="1:12" x14ac:dyDescent="0.2">
      <c r="A129" s="84" t="s">
        <v>1070</v>
      </c>
      <c r="G129" s="45"/>
      <c r="L129" s="8"/>
    </row>
    <row r="130" spans="1:12" x14ac:dyDescent="0.2">
      <c r="A130" s="84" t="s">
        <v>1071</v>
      </c>
      <c r="G130" s="45"/>
      <c r="L130" s="8"/>
    </row>
    <row r="131" spans="1:12" x14ac:dyDescent="0.2">
      <c r="A131" s="84" t="s">
        <v>1072</v>
      </c>
      <c r="G131" s="45"/>
      <c r="L131" s="8"/>
    </row>
    <row r="132" spans="1:12" x14ac:dyDescent="0.2">
      <c r="A132" s="84" t="s">
        <v>1073</v>
      </c>
      <c r="G132" s="45"/>
      <c r="L132" s="8"/>
    </row>
    <row r="133" spans="1:12" x14ac:dyDescent="0.2">
      <c r="A133" s="84" t="s">
        <v>1074</v>
      </c>
      <c r="G133" s="45"/>
      <c r="L133" s="8"/>
    </row>
    <row r="134" spans="1:12" x14ac:dyDescent="0.2">
      <c r="A134" s="84" t="s">
        <v>1075</v>
      </c>
      <c r="G134" s="45"/>
      <c r="L134" s="8"/>
    </row>
    <row r="135" spans="1:12" x14ac:dyDescent="0.2">
      <c r="A135" s="51" t="s">
        <v>812</v>
      </c>
      <c r="G135" s="45"/>
      <c r="L135" s="8"/>
    </row>
    <row r="136" spans="1:12" x14ac:dyDescent="0.2">
      <c r="A136" s="51" t="s">
        <v>815</v>
      </c>
      <c r="G136" s="45"/>
      <c r="L136" s="8"/>
    </row>
    <row r="137" spans="1:12" ht="15" x14ac:dyDescent="0.2">
      <c r="A137" s="82"/>
      <c r="G137" s="45"/>
      <c r="L137" s="8"/>
    </row>
    <row r="138" spans="1:12" x14ac:dyDescent="0.2">
      <c r="A138" s="83" t="s">
        <v>107</v>
      </c>
      <c r="G138" s="45"/>
      <c r="L138" s="8"/>
    </row>
    <row r="139" spans="1:12" x14ac:dyDescent="0.2">
      <c r="A139" s="84" t="s">
        <v>1076</v>
      </c>
      <c r="G139" s="45"/>
      <c r="L139" s="8"/>
    </row>
    <row r="140" spans="1:12" x14ac:dyDescent="0.2">
      <c r="A140" s="84" t="s">
        <v>1077</v>
      </c>
      <c r="G140" s="45"/>
      <c r="L140" s="8"/>
    </row>
    <row r="141" spans="1:12" x14ac:dyDescent="0.2">
      <c r="A141" s="84" t="s">
        <v>1078</v>
      </c>
      <c r="G141" s="45"/>
      <c r="L141" s="8"/>
    </row>
    <row r="142" spans="1:12" x14ac:dyDescent="0.2">
      <c r="A142" s="84" t="s">
        <v>1079</v>
      </c>
      <c r="G142" s="45"/>
      <c r="L142" s="8"/>
    </row>
    <row r="143" spans="1:12" x14ac:dyDescent="0.2">
      <c r="A143" s="84" t="s">
        <v>1080</v>
      </c>
      <c r="G143" s="45"/>
      <c r="L143" s="8"/>
    </row>
    <row r="144" spans="1:12" x14ac:dyDescent="0.2">
      <c r="A144" s="84" t="s">
        <v>1081</v>
      </c>
      <c r="G144" s="45"/>
      <c r="L144" s="8"/>
    </row>
    <row r="145" spans="1:12" x14ac:dyDescent="0.2">
      <c r="A145" s="51" t="s">
        <v>812</v>
      </c>
      <c r="G145" s="45"/>
      <c r="L145" s="8"/>
    </row>
    <row r="146" spans="1:12" x14ac:dyDescent="0.2">
      <c r="A146" s="51" t="s">
        <v>815</v>
      </c>
      <c r="G146" s="45"/>
      <c r="L146" s="8"/>
    </row>
    <row r="147" spans="1:12" ht="15" x14ac:dyDescent="0.2">
      <c r="A147" s="82"/>
      <c r="G147" s="45"/>
      <c r="L147" s="8"/>
    </row>
    <row r="148" spans="1:12" x14ac:dyDescent="0.2">
      <c r="A148" s="83" t="s">
        <v>3666</v>
      </c>
      <c r="G148" s="45"/>
      <c r="L148" s="8"/>
    </row>
    <row r="149" spans="1:12" x14ac:dyDescent="0.2">
      <c r="A149" s="84" t="s">
        <v>3667</v>
      </c>
      <c r="G149" s="45"/>
      <c r="L149" s="8"/>
    </row>
    <row r="150" spans="1:12" x14ac:dyDescent="0.2">
      <c r="A150" s="84" t="s">
        <v>3668</v>
      </c>
      <c r="G150" s="45"/>
      <c r="L150" s="8"/>
    </row>
    <row r="151" spans="1:12" x14ac:dyDescent="0.2">
      <c r="A151" s="84" t="s">
        <v>3669</v>
      </c>
      <c r="G151" s="45"/>
      <c r="L151" s="8"/>
    </row>
    <row r="152" spans="1:12" x14ac:dyDescent="0.2">
      <c r="A152" s="84" t="s">
        <v>1961</v>
      </c>
      <c r="G152" s="45"/>
      <c r="L152" s="8"/>
    </row>
    <row r="153" spans="1:12" x14ac:dyDescent="0.2">
      <c r="A153" s="84" t="s">
        <v>1154</v>
      </c>
      <c r="G153" s="45"/>
      <c r="L153" s="8"/>
    </row>
    <row r="154" spans="1:12" x14ac:dyDescent="0.2">
      <c r="A154" s="84" t="s">
        <v>3670</v>
      </c>
      <c r="G154" s="45"/>
      <c r="L154" s="8"/>
    </row>
    <row r="155" spans="1:12" x14ac:dyDescent="0.2">
      <c r="A155" s="51" t="s">
        <v>812</v>
      </c>
      <c r="G155" s="45"/>
      <c r="L155" s="8"/>
    </row>
    <row r="156" spans="1:12" ht="15" x14ac:dyDescent="0.2">
      <c r="A156" s="82"/>
      <c r="G156" s="45"/>
      <c r="L156" s="8"/>
    </row>
    <row r="157" spans="1:12" x14ac:dyDescent="0.2">
      <c r="A157" s="83" t="s">
        <v>457</v>
      </c>
      <c r="G157" s="45"/>
      <c r="L157" s="8"/>
    </row>
    <row r="158" spans="1:12" x14ac:dyDescent="0.2">
      <c r="A158" s="84" t="s">
        <v>1082</v>
      </c>
      <c r="G158" s="45"/>
      <c r="L158" s="8"/>
    </row>
    <row r="159" spans="1:12" x14ac:dyDescent="0.2">
      <c r="A159" s="84" t="s">
        <v>1083</v>
      </c>
      <c r="G159" s="45"/>
      <c r="L159" s="8"/>
    </row>
    <row r="160" spans="1:12" x14ac:dyDescent="0.2">
      <c r="A160" s="84" t="s">
        <v>1084</v>
      </c>
      <c r="G160" s="45"/>
      <c r="L160" s="8"/>
    </row>
    <row r="161" spans="1:12" x14ac:dyDescent="0.2">
      <c r="A161" s="84" t="s">
        <v>1085</v>
      </c>
      <c r="G161" s="45"/>
      <c r="L161" s="8"/>
    </row>
    <row r="162" spans="1:12" x14ac:dyDescent="0.2">
      <c r="A162" s="84" t="s">
        <v>1086</v>
      </c>
      <c r="G162" s="45"/>
      <c r="L162" s="8"/>
    </row>
    <row r="163" spans="1:12" x14ac:dyDescent="0.2">
      <c r="A163" s="84" t="s">
        <v>1087</v>
      </c>
      <c r="G163" s="45"/>
      <c r="L163" s="8"/>
    </row>
    <row r="164" spans="1:12" x14ac:dyDescent="0.2">
      <c r="A164" s="51" t="s">
        <v>812</v>
      </c>
      <c r="G164" s="45"/>
      <c r="L164" s="8"/>
    </row>
    <row r="165" spans="1:12" x14ac:dyDescent="0.2">
      <c r="A165" s="51" t="s">
        <v>815</v>
      </c>
      <c r="G165" s="45"/>
      <c r="L165" s="8"/>
    </row>
    <row r="166" spans="1:12" ht="15" x14ac:dyDescent="0.2">
      <c r="A166" s="82"/>
      <c r="G166" s="45"/>
      <c r="L166" s="8"/>
    </row>
    <row r="167" spans="1:12" x14ac:dyDescent="0.2">
      <c r="A167" s="83" t="s">
        <v>114</v>
      </c>
      <c r="G167" s="45"/>
      <c r="L167" s="8"/>
    </row>
    <row r="168" spans="1:12" x14ac:dyDescent="0.2">
      <c r="A168" s="84" t="s">
        <v>1088</v>
      </c>
      <c r="G168" s="45"/>
      <c r="L168" s="8"/>
    </row>
    <row r="169" spans="1:12" x14ac:dyDescent="0.2">
      <c r="A169" s="84" t="s">
        <v>1089</v>
      </c>
      <c r="G169" s="45"/>
      <c r="L169" s="8"/>
    </row>
    <row r="170" spans="1:12" x14ac:dyDescent="0.2">
      <c r="A170" s="84" t="s">
        <v>1090</v>
      </c>
      <c r="G170" s="45"/>
      <c r="L170" s="8"/>
    </row>
    <row r="171" spans="1:12" x14ac:dyDescent="0.2">
      <c r="A171" s="84" t="s">
        <v>1091</v>
      </c>
      <c r="G171" s="45"/>
      <c r="L171" s="8"/>
    </row>
    <row r="172" spans="1:12" x14ac:dyDescent="0.2">
      <c r="A172" s="84" t="s">
        <v>3671</v>
      </c>
      <c r="G172" s="45"/>
      <c r="L172" s="8"/>
    </row>
    <row r="173" spans="1:12" x14ac:dyDescent="0.2">
      <c r="A173" s="84" t="s">
        <v>1092</v>
      </c>
      <c r="G173" s="45"/>
      <c r="L173" s="8"/>
    </row>
    <row r="174" spans="1:12" x14ac:dyDescent="0.2">
      <c r="A174" s="51" t="s">
        <v>812</v>
      </c>
      <c r="G174" s="45"/>
      <c r="L174" s="8"/>
    </row>
    <row r="175" spans="1:12" ht="15" x14ac:dyDescent="0.2">
      <c r="A175" s="82"/>
      <c r="G175" s="45"/>
      <c r="L175" s="8"/>
    </row>
    <row r="176" spans="1:12" x14ac:dyDescent="0.2">
      <c r="A176" s="83" t="s">
        <v>120</v>
      </c>
      <c r="G176" s="45"/>
      <c r="L176" s="8"/>
    </row>
    <row r="177" spans="1:12" x14ac:dyDescent="0.2">
      <c r="A177" s="84" t="s">
        <v>1093</v>
      </c>
      <c r="G177" s="45"/>
      <c r="L177" s="8"/>
    </row>
    <row r="178" spans="1:12" x14ac:dyDescent="0.2">
      <c r="A178" s="84" t="s">
        <v>1094</v>
      </c>
      <c r="G178" s="45"/>
      <c r="L178" s="8"/>
    </row>
    <row r="179" spans="1:12" x14ac:dyDescent="0.2">
      <c r="A179" s="84" t="s">
        <v>1095</v>
      </c>
      <c r="G179" s="45"/>
      <c r="L179" s="8"/>
    </row>
    <row r="180" spans="1:12" x14ac:dyDescent="0.2">
      <c r="A180" s="84" t="s">
        <v>1096</v>
      </c>
      <c r="G180" s="45"/>
      <c r="L180" s="8"/>
    </row>
    <row r="181" spans="1:12" x14ac:dyDescent="0.2">
      <c r="A181" s="84" t="s">
        <v>1097</v>
      </c>
      <c r="G181" s="45"/>
      <c r="L181" s="8"/>
    </row>
    <row r="182" spans="1:12" x14ac:dyDescent="0.2">
      <c r="A182" s="84" t="s">
        <v>1098</v>
      </c>
      <c r="G182" s="45"/>
      <c r="L182" s="8"/>
    </row>
    <row r="183" spans="1:12" x14ac:dyDescent="0.2">
      <c r="A183" s="51" t="s">
        <v>812</v>
      </c>
      <c r="G183" s="45"/>
      <c r="L183" s="8"/>
    </row>
    <row r="184" spans="1:12" ht="15" x14ac:dyDescent="0.2">
      <c r="A184" s="82"/>
      <c r="G184" s="45"/>
      <c r="L184" s="8"/>
    </row>
    <row r="185" spans="1:12" x14ac:dyDescent="0.2">
      <c r="A185" s="83" t="s">
        <v>3569</v>
      </c>
      <c r="G185" s="45"/>
      <c r="L185" s="8"/>
    </row>
    <row r="186" spans="1:12" x14ac:dyDescent="0.2">
      <c r="A186" s="84" t="s">
        <v>1099</v>
      </c>
      <c r="G186" s="45"/>
      <c r="L186" s="8"/>
    </row>
    <row r="187" spans="1:12" x14ac:dyDescent="0.2">
      <c r="A187" s="84" t="s">
        <v>1100</v>
      </c>
      <c r="G187" s="45"/>
      <c r="L187" s="8"/>
    </row>
    <row r="188" spans="1:12" x14ac:dyDescent="0.2">
      <c r="A188" s="84" t="s">
        <v>1101</v>
      </c>
      <c r="G188" s="45"/>
      <c r="L188" s="8"/>
    </row>
    <row r="189" spans="1:12" x14ac:dyDescent="0.2">
      <c r="A189" s="84" t="s">
        <v>1102</v>
      </c>
      <c r="G189" s="45"/>
      <c r="L189" s="8"/>
    </row>
    <row r="190" spans="1:12" x14ac:dyDescent="0.2">
      <c r="A190" s="84" t="s">
        <v>1103</v>
      </c>
      <c r="G190" s="45"/>
      <c r="L190" s="8"/>
    </row>
    <row r="191" spans="1:12" x14ac:dyDescent="0.2">
      <c r="A191" s="84" t="s">
        <v>1104</v>
      </c>
      <c r="G191" s="45"/>
      <c r="L191" s="8"/>
    </row>
    <row r="192" spans="1:12" x14ac:dyDescent="0.2">
      <c r="A192" s="51" t="s">
        <v>812</v>
      </c>
      <c r="G192" s="45"/>
      <c r="L192" s="8"/>
    </row>
    <row r="193" spans="1:12" x14ac:dyDescent="0.2">
      <c r="A193" s="51" t="s">
        <v>815</v>
      </c>
      <c r="G193" s="45"/>
      <c r="L193" s="8"/>
    </row>
    <row r="194" spans="1:12" ht="15" x14ac:dyDescent="0.2">
      <c r="A194" s="82"/>
      <c r="G194" s="45"/>
      <c r="L194" s="8"/>
    </row>
    <row r="195" spans="1:12" x14ac:dyDescent="0.2">
      <c r="A195" s="83" t="s">
        <v>131</v>
      </c>
      <c r="G195" s="45"/>
      <c r="L195" s="8"/>
    </row>
    <row r="196" spans="1:12" x14ac:dyDescent="0.2">
      <c r="A196" s="84" t="s">
        <v>1105</v>
      </c>
      <c r="G196" s="45"/>
      <c r="L196" s="8"/>
    </row>
    <row r="197" spans="1:12" x14ac:dyDescent="0.2">
      <c r="A197" s="84" t="s">
        <v>1106</v>
      </c>
      <c r="G197" s="45"/>
      <c r="L197" s="8"/>
    </row>
    <row r="198" spans="1:12" x14ac:dyDescent="0.2">
      <c r="A198" s="84" t="s">
        <v>3570</v>
      </c>
      <c r="G198" s="45"/>
      <c r="L198" s="8"/>
    </row>
    <row r="199" spans="1:12" x14ac:dyDescent="0.2">
      <c r="A199" s="84" t="s">
        <v>1338</v>
      </c>
      <c r="G199" s="45"/>
      <c r="L199" s="8"/>
    </row>
    <row r="200" spans="1:12" x14ac:dyDescent="0.2">
      <c r="A200" s="84" t="s">
        <v>3571</v>
      </c>
      <c r="G200" s="45"/>
      <c r="L200" s="8"/>
    </row>
    <row r="201" spans="1:12" x14ac:dyDescent="0.2">
      <c r="A201" s="84" t="s">
        <v>1107</v>
      </c>
      <c r="G201" s="45"/>
      <c r="L201" s="8"/>
    </row>
    <row r="202" spans="1:12" x14ac:dyDescent="0.2">
      <c r="A202" s="51" t="s">
        <v>812</v>
      </c>
      <c r="G202" s="45"/>
      <c r="L202" s="8"/>
    </row>
    <row r="203" spans="1:12" x14ac:dyDescent="0.2">
      <c r="A203" s="51" t="s">
        <v>815</v>
      </c>
      <c r="G203" s="45"/>
      <c r="L203" s="8"/>
    </row>
    <row r="204" spans="1:12" ht="15" x14ac:dyDescent="0.2">
      <c r="A204" s="82"/>
      <c r="G204" s="45"/>
      <c r="L204" s="8"/>
    </row>
    <row r="205" spans="1:12" x14ac:dyDescent="0.2">
      <c r="A205" s="83" t="s">
        <v>147</v>
      </c>
      <c r="G205" s="45"/>
      <c r="L205" s="8"/>
    </row>
    <row r="206" spans="1:12" x14ac:dyDescent="0.2">
      <c r="A206" s="84" t="s">
        <v>1108</v>
      </c>
      <c r="G206" s="45"/>
      <c r="L206" s="8"/>
    </row>
    <row r="207" spans="1:12" x14ac:dyDescent="0.2">
      <c r="A207" s="84" t="s">
        <v>1109</v>
      </c>
      <c r="G207" s="45"/>
      <c r="L207" s="8"/>
    </row>
    <row r="208" spans="1:12" x14ac:dyDescent="0.2">
      <c r="A208" s="84" t="s">
        <v>1072</v>
      </c>
      <c r="G208" s="45"/>
      <c r="L208" s="8"/>
    </row>
    <row r="209" spans="1:12" x14ac:dyDescent="0.2">
      <c r="A209" s="84" t="s">
        <v>1073</v>
      </c>
      <c r="G209" s="45"/>
      <c r="L209" s="8"/>
    </row>
    <row r="210" spans="1:12" x14ac:dyDescent="0.2">
      <c r="A210" s="84" t="s">
        <v>1074</v>
      </c>
      <c r="G210" s="45"/>
      <c r="L210" s="8"/>
    </row>
    <row r="211" spans="1:12" x14ac:dyDescent="0.2">
      <c r="A211" s="84" t="s">
        <v>1110</v>
      </c>
      <c r="G211" s="45"/>
      <c r="L211" s="8"/>
    </row>
    <row r="212" spans="1:12" x14ac:dyDescent="0.2">
      <c r="A212" s="51" t="s">
        <v>812</v>
      </c>
      <c r="G212" s="45"/>
      <c r="L212" s="8"/>
    </row>
    <row r="213" spans="1:12" x14ac:dyDescent="0.2">
      <c r="A213" s="51" t="s">
        <v>815</v>
      </c>
      <c r="G213" s="45"/>
      <c r="L213" s="8"/>
    </row>
    <row r="214" spans="1:12" ht="15" x14ac:dyDescent="0.2">
      <c r="A214" s="82"/>
      <c r="G214" s="45"/>
      <c r="L214" s="8"/>
    </row>
    <row r="215" spans="1:12" x14ac:dyDescent="0.2">
      <c r="A215" s="83" t="s">
        <v>3572</v>
      </c>
      <c r="G215" s="45"/>
      <c r="L215" s="8"/>
    </row>
    <row r="216" spans="1:12" x14ac:dyDescent="0.2">
      <c r="A216" s="84" t="s">
        <v>1111</v>
      </c>
      <c r="G216" s="45"/>
      <c r="L216" s="8"/>
    </row>
    <row r="217" spans="1:12" x14ac:dyDescent="0.2">
      <c r="A217" s="84" t="s">
        <v>1112</v>
      </c>
      <c r="G217" s="45"/>
      <c r="L217" s="8"/>
    </row>
    <row r="218" spans="1:12" x14ac:dyDescent="0.2">
      <c r="A218" s="84" t="s">
        <v>1113</v>
      </c>
      <c r="G218" s="45"/>
      <c r="L218" s="8"/>
    </row>
    <row r="219" spans="1:12" x14ac:dyDescent="0.2">
      <c r="A219" s="84" t="s">
        <v>1114</v>
      </c>
      <c r="G219" s="45"/>
      <c r="L219" s="8"/>
    </row>
    <row r="220" spans="1:12" x14ac:dyDescent="0.2">
      <c r="A220" s="84" t="s">
        <v>1115</v>
      </c>
      <c r="G220" s="45"/>
      <c r="L220" s="8"/>
    </row>
    <row r="221" spans="1:12" x14ac:dyDescent="0.2">
      <c r="A221" s="84" t="s">
        <v>1116</v>
      </c>
      <c r="G221" s="45"/>
      <c r="L221" s="8"/>
    </row>
    <row r="222" spans="1:12" x14ac:dyDescent="0.2">
      <c r="A222" s="51" t="s">
        <v>812</v>
      </c>
      <c r="G222" s="45"/>
      <c r="L222" s="8"/>
    </row>
    <row r="223" spans="1:12" x14ac:dyDescent="0.2">
      <c r="A223" s="51" t="s">
        <v>815</v>
      </c>
      <c r="G223" s="45"/>
      <c r="L223" s="8"/>
    </row>
    <row r="224" spans="1:12" ht="15" x14ac:dyDescent="0.2">
      <c r="A224" s="82"/>
      <c r="G224" s="45"/>
      <c r="L224" s="8"/>
    </row>
    <row r="225" spans="1:12" x14ac:dyDescent="0.2">
      <c r="A225" s="83" t="s">
        <v>154</v>
      </c>
      <c r="G225" s="45"/>
      <c r="L225" s="8"/>
    </row>
    <row r="226" spans="1:12" x14ac:dyDescent="0.2">
      <c r="A226" s="84" t="s">
        <v>1117</v>
      </c>
      <c r="G226" s="45"/>
      <c r="L226" s="8"/>
    </row>
    <row r="227" spans="1:12" x14ac:dyDescent="0.2">
      <c r="A227" s="84" t="s">
        <v>1118</v>
      </c>
      <c r="G227" s="45"/>
      <c r="L227" s="8"/>
    </row>
    <row r="228" spans="1:12" x14ac:dyDescent="0.2">
      <c r="A228" s="84" t="s">
        <v>956</v>
      </c>
      <c r="G228" s="45"/>
      <c r="L228" s="8"/>
    </row>
    <row r="229" spans="1:12" x14ac:dyDescent="0.2">
      <c r="A229" s="84" t="s">
        <v>957</v>
      </c>
      <c r="G229" s="45"/>
      <c r="L229" s="8"/>
    </row>
    <row r="230" spans="1:12" x14ac:dyDescent="0.2">
      <c r="A230" s="84" t="s">
        <v>958</v>
      </c>
      <c r="G230" s="45"/>
      <c r="L230" s="8"/>
    </row>
    <row r="231" spans="1:12" x14ac:dyDescent="0.2">
      <c r="A231" s="84" t="s">
        <v>1119</v>
      </c>
      <c r="G231" s="45"/>
      <c r="L231" s="8"/>
    </row>
    <row r="232" spans="1:12" x14ac:dyDescent="0.2">
      <c r="A232" s="51" t="s">
        <v>812</v>
      </c>
      <c r="G232" s="45"/>
      <c r="L232" s="8"/>
    </row>
    <row r="233" spans="1:12" ht="15" x14ac:dyDescent="0.2">
      <c r="A233" s="82"/>
      <c r="G233" s="45"/>
      <c r="L233" s="8"/>
    </row>
    <row r="234" spans="1:12" x14ac:dyDescent="0.2">
      <c r="A234" s="83" t="s">
        <v>393</v>
      </c>
      <c r="G234" s="45"/>
      <c r="L234" s="8"/>
    </row>
    <row r="235" spans="1:12" x14ac:dyDescent="0.2">
      <c r="A235" s="84" t="s">
        <v>1120</v>
      </c>
      <c r="G235" s="45"/>
      <c r="L235" s="8"/>
    </row>
    <row r="236" spans="1:12" x14ac:dyDescent="0.2">
      <c r="A236" s="84" t="s">
        <v>1121</v>
      </c>
      <c r="G236" s="45"/>
      <c r="L236" s="8"/>
    </row>
    <row r="237" spans="1:12" x14ac:dyDescent="0.2">
      <c r="A237" s="84" t="s">
        <v>1122</v>
      </c>
      <c r="G237" s="45"/>
      <c r="L237" s="8"/>
    </row>
    <row r="238" spans="1:12" x14ac:dyDescent="0.2">
      <c r="A238" s="84" t="s">
        <v>1123</v>
      </c>
      <c r="G238" s="45"/>
      <c r="L238" s="8"/>
    </row>
    <row r="239" spans="1:12" x14ac:dyDescent="0.2">
      <c r="A239" s="84" t="s">
        <v>1124</v>
      </c>
      <c r="G239" s="45"/>
      <c r="L239" s="8"/>
    </row>
    <row r="240" spans="1:12" x14ac:dyDescent="0.2">
      <c r="A240" s="84" t="s">
        <v>1125</v>
      </c>
      <c r="G240" s="45"/>
      <c r="L240" s="8"/>
    </row>
    <row r="241" spans="1:12" x14ac:dyDescent="0.2">
      <c r="A241" s="51" t="s">
        <v>812</v>
      </c>
      <c r="G241" s="45"/>
      <c r="L241" s="8"/>
    </row>
    <row r="242" spans="1:12" ht="15" x14ac:dyDescent="0.2">
      <c r="A242" s="82"/>
      <c r="G242" s="45"/>
      <c r="L242" s="8"/>
    </row>
    <row r="243" spans="1:12" x14ac:dyDescent="0.2">
      <c r="A243" s="83" t="s">
        <v>159</v>
      </c>
      <c r="G243" s="45"/>
      <c r="L243" s="8"/>
    </row>
    <row r="244" spans="1:12" x14ac:dyDescent="0.2">
      <c r="A244" s="84" t="s">
        <v>1126</v>
      </c>
      <c r="G244" s="45"/>
      <c r="L244" s="8"/>
    </row>
    <row r="245" spans="1:12" x14ac:dyDescent="0.2">
      <c r="A245" s="84" t="s">
        <v>1127</v>
      </c>
      <c r="G245" s="45"/>
      <c r="L245" s="8"/>
    </row>
    <row r="246" spans="1:12" x14ac:dyDescent="0.2">
      <c r="A246" s="84" t="s">
        <v>1128</v>
      </c>
      <c r="G246" s="45"/>
      <c r="L246" s="8"/>
    </row>
    <row r="247" spans="1:12" x14ac:dyDescent="0.2">
      <c r="A247" s="84" t="s">
        <v>1123</v>
      </c>
      <c r="G247" s="45"/>
      <c r="L247" s="8"/>
    </row>
    <row r="248" spans="1:12" x14ac:dyDescent="0.2">
      <c r="A248" s="84" t="s">
        <v>1124</v>
      </c>
      <c r="G248" s="45"/>
      <c r="L248" s="8"/>
    </row>
    <row r="249" spans="1:12" x14ac:dyDescent="0.2">
      <c r="A249" s="84" t="s">
        <v>1129</v>
      </c>
      <c r="G249" s="45"/>
      <c r="L249" s="8"/>
    </row>
    <row r="250" spans="1:12" x14ac:dyDescent="0.2">
      <c r="A250" s="51" t="s">
        <v>812</v>
      </c>
      <c r="G250" s="45"/>
      <c r="L250" s="8"/>
    </row>
    <row r="251" spans="1:12" x14ac:dyDescent="0.2">
      <c r="A251" s="51" t="s">
        <v>815</v>
      </c>
      <c r="G251" s="45"/>
      <c r="L251" s="8"/>
    </row>
    <row r="252" spans="1:12" ht="15" x14ac:dyDescent="0.2">
      <c r="A252" s="82"/>
      <c r="G252" s="45"/>
      <c r="L252" s="8"/>
    </row>
    <row r="253" spans="1:12" x14ac:dyDescent="0.2">
      <c r="A253" s="83" t="s">
        <v>163</v>
      </c>
      <c r="G253" s="45"/>
      <c r="L253" s="8"/>
    </row>
    <row r="254" spans="1:12" x14ac:dyDescent="0.2">
      <c r="A254" s="84" t="s">
        <v>1130</v>
      </c>
      <c r="G254" s="45"/>
      <c r="L254" s="8"/>
    </row>
    <row r="255" spans="1:12" x14ac:dyDescent="0.2">
      <c r="A255" s="84" t="s">
        <v>1131</v>
      </c>
      <c r="G255" s="45"/>
      <c r="L255" s="8"/>
    </row>
    <row r="256" spans="1:12" x14ac:dyDescent="0.2">
      <c r="A256" s="84" t="s">
        <v>1132</v>
      </c>
      <c r="G256" s="45"/>
      <c r="L256" s="8"/>
    </row>
    <row r="257" spans="1:12" x14ac:dyDescent="0.2">
      <c r="A257" s="84" t="s">
        <v>914</v>
      </c>
      <c r="G257" s="45"/>
      <c r="L257" s="8"/>
    </row>
    <row r="258" spans="1:12" x14ac:dyDescent="0.2">
      <c r="A258" s="84" t="s">
        <v>1133</v>
      </c>
      <c r="G258" s="45"/>
      <c r="L258" s="8"/>
    </row>
    <row r="259" spans="1:12" x14ac:dyDescent="0.2">
      <c r="A259" s="84" t="s">
        <v>1134</v>
      </c>
      <c r="G259" s="45"/>
      <c r="L259" s="8"/>
    </row>
    <row r="260" spans="1:12" x14ac:dyDescent="0.2">
      <c r="A260" s="51" t="s">
        <v>812</v>
      </c>
      <c r="G260" s="45"/>
      <c r="L260" s="8"/>
    </row>
    <row r="261" spans="1:12" x14ac:dyDescent="0.2">
      <c r="A261" s="51" t="s">
        <v>815</v>
      </c>
      <c r="G261" s="45"/>
      <c r="L261" s="8"/>
    </row>
    <row r="262" spans="1:12" ht="15" x14ac:dyDescent="0.2">
      <c r="A262" s="82"/>
      <c r="G262" s="45"/>
      <c r="L262" s="8"/>
    </row>
    <row r="263" spans="1:12" x14ac:dyDescent="0.2">
      <c r="A263" s="83" t="s">
        <v>169</v>
      </c>
      <c r="G263" s="45"/>
      <c r="L263" s="8"/>
    </row>
    <row r="264" spans="1:12" x14ac:dyDescent="0.2">
      <c r="A264" s="84" t="s">
        <v>1135</v>
      </c>
      <c r="G264" s="45"/>
      <c r="L264" s="8"/>
    </row>
    <row r="265" spans="1:12" x14ac:dyDescent="0.2">
      <c r="A265" s="84" t="s">
        <v>1136</v>
      </c>
      <c r="G265" s="45"/>
      <c r="L265" s="8"/>
    </row>
    <row r="266" spans="1:12" x14ac:dyDescent="0.2">
      <c r="A266" s="84" t="s">
        <v>1137</v>
      </c>
      <c r="G266" s="45"/>
      <c r="L266" s="8"/>
    </row>
    <row r="267" spans="1:12" x14ac:dyDescent="0.2">
      <c r="A267" s="84" t="s">
        <v>1138</v>
      </c>
      <c r="G267" s="45"/>
      <c r="L267" s="8"/>
    </row>
    <row r="268" spans="1:12" x14ac:dyDescent="0.2">
      <c r="A268" s="84" t="s">
        <v>1139</v>
      </c>
      <c r="G268" s="45"/>
      <c r="L268" s="8"/>
    </row>
    <row r="269" spans="1:12" x14ac:dyDescent="0.2">
      <c r="A269" s="84" t="s">
        <v>1140</v>
      </c>
      <c r="G269" s="45"/>
      <c r="L269" s="8"/>
    </row>
    <row r="270" spans="1:12" x14ac:dyDescent="0.2">
      <c r="A270" s="51" t="s">
        <v>812</v>
      </c>
      <c r="G270" s="45"/>
      <c r="L270" s="8"/>
    </row>
    <row r="271" spans="1:12" ht="15" x14ac:dyDescent="0.2">
      <c r="A271" s="82"/>
      <c r="G271" s="45"/>
      <c r="L271" s="8"/>
    </row>
    <row r="272" spans="1:12" x14ac:dyDescent="0.2">
      <c r="A272" s="83" t="s">
        <v>3573</v>
      </c>
      <c r="G272" s="45"/>
      <c r="L272" s="8"/>
    </row>
    <row r="273" spans="1:12" x14ac:dyDescent="0.2">
      <c r="A273" s="84" t="s">
        <v>3574</v>
      </c>
      <c r="G273" s="45"/>
      <c r="L273" s="8"/>
    </row>
    <row r="274" spans="1:12" x14ac:dyDescent="0.2">
      <c r="A274" s="84" t="s">
        <v>3575</v>
      </c>
      <c r="G274" s="45"/>
      <c r="L274" s="8"/>
    </row>
    <row r="275" spans="1:12" x14ac:dyDescent="0.2">
      <c r="A275" s="84" t="s">
        <v>3672</v>
      </c>
      <c r="G275" s="45"/>
      <c r="L275" s="8"/>
    </row>
    <row r="276" spans="1:12" x14ac:dyDescent="0.2">
      <c r="A276" s="84" t="s">
        <v>3673</v>
      </c>
      <c r="G276" s="45"/>
      <c r="L276" s="8"/>
    </row>
    <row r="277" spans="1:12" x14ac:dyDescent="0.2">
      <c r="A277" s="84" t="s">
        <v>1139</v>
      </c>
      <c r="G277" s="45"/>
      <c r="L277" s="8"/>
    </row>
    <row r="278" spans="1:12" x14ac:dyDescent="0.2">
      <c r="A278" s="84" t="s">
        <v>3576</v>
      </c>
      <c r="G278" s="45"/>
      <c r="L278" s="8"/>
    </row>
    <row r="279" spans="1:12" x14ac:dyDescent="0.2">
      <c r="A279" s="51" t="s">
        <v>812</v>
      </c>
      <c r="G279" s="45"/>
      <c r="L279" s="8"/>
    </row>
    <row r="280" spans="1:12" ht="15" x14ac:dyDescent="0.2">
      <c r="A280" s="82"/>
      <c r="G280" s="45"/>
      <c r="L280" s="8"/>
    </row>
    <row r="281" spans="1:12" x14ac:dyDescent="0.2">
      <c r="A281" s="83" t="s">
        <v>180</v>
      </c>
      <c r="G281" s="45"/>
      <c r="L281" s="8"/>
    </row>
    <row r="282" spans="1:12" x14ac:dyDescent="0.2">
      <c r="A282" s="84" t="s">
        <v>1141</v>
      </c>
      <c r="G282" s="45"/>
      <c r="L282" s="8"/>
    </row>
    <row r="283" spans="1:12" x14ac:dyDescent="0.2">
      <c r="A283" s="84" t="s">
        <v>1142</v>
      </c>
      <c r="G283" s="45"/>
      <c r="L283" s="8"/>
    </row>
    <row r="284" spans="1:12" x14ac:dyDescent="0.2">
      <c r="A284" s="84" t="s">
        <v>1143</v>
      </c>
      <c r="G284" s="45"/>
      <c r="L284" s="8"/>
    </row>
    <row r="285" spans="1:12" x14ac:dyDescent="0.2">
      <c r="A285" s="84" t="s">
        <v>1144</v>
      </c>
      <c r="G285" s="45"/>
      <c r="L285" s="8"/>
    </row>
    <row r="286" spans="1:12" x14ac:dyDescent="0.2">
      <c r="A286" s="84" t="s">
        <v>1145</v>
      </c>
      <c r="G286" s="45"/>
      <c r="L286" s="8"/>
    </row>
    <row r="287" spans="1:12" x14ac:dyDescent="0.2">
      <c r="A287" s="84" t="s">
        <v>1146</v>
      </c>
      <c r="G287" s="45"/>
      <c r="L287" s="8"/>
    </row>
    <row r="288" spans="1:12" x14ac:dyDescent="0.2">
      <c r="A288" s="51" t="s">
        <v>812</v>
      </c>
      <c r="G288" s="45"/>
      <c r="L288" s="8"/>
    </row>
    <row r="289" spans="1:12" x14ac:dyDescent="0.2">
      <c r="A289" s="51" t="s">
        <v>815</v>
      </c>
      <c r="G289" s="45"/>
      <c r="L289" s="8"/>
    </row>
    <row r="290" spans="1:12" ht="15" x14ac:dyDescent="0.2">
      <c r="A290" s="82"/>
      <c r="G290" s="45"/>
      <c r="L290" s="8"/>
    </row>
    <row r="291" spans="1:12" x14ac:dyDescent="0.2">
      <c r="A291" s="83" t="s">
        <v>185</v>
      </c>
      <c r="G291" s="45"/>
      <c r="L291" s="8"/>
    </row>
    <row r="292" spans="1:12" x14ac:dyDescent="0.2">
      <c r="A292" s="84" t="s">
        <v>1147</v>
      </c>
      <c r="G292" s="45"/>
      <c r="L292" s="8"/>
    </row>
    <row r="293" spans="1:12" x14ac:dyDescent="0.2">
      <c r="A293" s="84" t="s">
        <v>1148</v>
      </c>
      <c r="G293" s="45"/>
      <c r="L293" s="8"/>
    </row>
    <row r="294" spans="1:12" x14ac:dyDescent="0.2">
      <c r="A294" s="84" t="s">
        <v>1149</v>
      </c>
      <c r="G294" s="45"/>
      <c r="L294" s="8"/>
    </row>
    <row r="295" spans="1:12" x14ac:dyDescent="0.2">
      <c r="A295" s="84" t="s">
        <v>1144</v>
      </c>
      <c r="G295" s="45"/>
      <c r="L295" s="8"/>
    </row>
    <row r="296" spans="1:12" x14ac:dyDescent="0.2">
      <c r="A296" s="84" t="s">
        <v>1150</v>
      </c>
      <c r="G296" s="45"/>
      <c r="L296" s="8"/>
    </row>
    <row r="297" spans="1:12" x14ac:dyDescent="0.2">
      <c r="A297" s="84" t="s">
        <v>1151</v>
      </c>
      <c r="G297" s="45"/>
      <c r="L297" s="8"/>
    </row>
    <row r="298" spans="1:12" x14ac:dyDescent="0.2">
      <c r="A298" s="51" t="s">
        <v>812</v>
      </c>
      <c r="G298" s="45"/>
      <c r="L298" s="8"/>
    </row>
    <row r="299" spans="1:12" ht="15" x14ac:dyDescent="0.2">
      <c r="A299" s="82"/>
      <c r="G299" s="45"/>
      <c r="L299" s="8"/>
    </row>
    <row r="300" spans="1:12" x14ac:dyDescent="0.2">
      <c r="A300" s="83" t="s">
        <v>3577</v>
      </c>
      <c r="G300" s="45"/>
      <c r="L300" s="8"/>
    </row>
    <row r="301" spans="1:12" x14ac:dyDescent="0.2">
      <c r="A301" s="84" t="s">
        <v>3449</v>
      </c>
      <c r="G301" s="45"/>
      <c r="L301" s="8"/>
    </row>
    <row r="302" spans="1:12" x14ac:dyDescent="0.2">
      <c r="A302" s="84" t="s">
        <v>1152</v>
      </c>
      <c r="G302" s="45"/>
      <c r="L302" s="8"/>
    </row>
    <row r="303" spans="1:12" x14ac:dyDescent="0.2">
      <c r="A303" s="84" t="s">
        <v>1158</v>
      </c>
      <c r="G303" s="45"/>
      <c r="L303" s="8"/>
    </row>
    <row r="304" spans="1:12" x14ac:dyDescent="0.2">
      <c r="A304" s="84" t="s">
        <v>1153</v>
      </c>
      <c r="G304" s="45"/>
      <c r="L304" s="8"/>
    </row>
    <row r="305" spans="1:12" x14ac:dyDescent="0.2">
      <c r="A305" s="84" t="s">
        <v>3450</v>
      </c>
      <c r="G305" s="45"/>
      <c r="L305" s="8"/>
    </row>
    <row r="306" spans="1:12" x14ac:dyDescent="0.2">
      <c r="A306" s="84" t="s">
        <v>1155</v>
      </c>
      <c r="G306" s="45"/>
      <c r="L306" s="8"/>
    </row>
    <row r="307" spans="1:12" x14ac:dyDescent="0.2">
      <c r="A307" s="51" t="s">
        <v>812</v>
      </c>
      <c r="G307" s="45"/>
      <c r="L307" s="8"/>
    </row>
    <row r="308" spans="1:12" ht="15" x14ac:dyDescent="0.2">
      <c r="A308" s="82"/>
      <c r="G308" s="45"/>
      <c r="L308" s="8"/>
    </row>
    <row r="309" spans="1:12" x14ac:dyDescent="0.2">
      <c r="A309" s="83" t="s">
        <v>859</v>
      </c>
      <c r="G309" s="45"/>
      <c r="L309" s="8"/>
    </row>
    <row r="310" spans="1:12" x14ac:dyDescent="0.2">
      <c r="A310" s="84" t="s">
        <v>1156</v>
      </c>
      <c r="G310" s="45"/>
      <c r="L310" s="8"/>
    </row>
    <row r="311" spans="1:12" x14ac:dyDescent="0.2">
      <c r="A311" s="84" t="s">
        <v>1157</v>
      </c>
      <c r="G311" s="45"/>
      <c r="L311" s="8"/>
    </row>
    <row r="312" spans="1:12" x14ac:dyDescent="0.2">
      <c r="A312" s="84" t="s">
        <v>1158</v>
      </c>
      <c r="G312" s="45"/>
      <c r="L312" s="8"/>
    </row>
    <row r="313" spans="1:12" x14ac:dyDescent="0.2">
      <c r="A313" s="84" t="s">
        <v>1153</v>
      </c>
      <c r="G313" s="45"/>
      <c r="L313" s="8"/>
    </row>
    <row r="314" spans="1:12" x14ac:dyDescent="0.2">
      <c r="A314" s="84" t="s">
        <v>1159</v>
      </c>
      <c r="G314" s="45"/>
      <c r="L314" s="8"/>
    </row>
    <row r="315" spans="1:12" x14ac:dyDescent="0.2">
      <c r="A315" s="84" t="s">
        <v>1160</v>
      </c>
      <c r="G315" s="45"/>
      <c r="L315" s="8"/>
    </row>
    <row r="316" spans="1:12" x14ac:dyDescent="0.2">
      <c r="A316" s="51" t="s">
        <v>812</v>
      </c>
      <c r="G316" s="45"/>
      <c r="L316" s="8"/>
    </row>
    <row r="317" spans="1:12" ht="15" x14ac:dyDescent="0.2">
      <c r="A317" s="82"/>
      <c r="G317" s="45"/>
      <c r="L317" s="8"/>
    </row>
    <row r="318" spans="1:12" x14ac:dyDescent="0.2">
      <c r="A318" s="83" t="s">
        <v>203</v>
      </c>
      <c r="G318" s="45"/>
      <c r="L318" s="8"/>
    </row>
    <row r="319" spans="1:12" x14ac:dyDescent="0.2">
      <c r="A319" s="84" t="s">
        <v>1161</v>
      </c>
      <c r="G319" s="45"/>
      <c r="L319" s="8"/>
    </row>
    <row r="320" spans="1:12" x14ac:dyDescent="0.2">
      <c r="A320" s="84" t="s">
        <v>1162</v>
      </c>
      <c r="G320" s="45"/>
      <c r="L320" s="8"/>
    </row>
    <row r="321" spans="1:12" x14ac:dyDescent="0.2">
      <c r="A321" s="84" t="s">
        <v>3674</v>
      </c>
      <c r="G321" s="45"/>
      <c r="L321" s="8"/>
    </row>
    <row r="322" spans="1:12" x14ac:dyDescent="0.2">
      <c r="A322" s="84" t="s">
        <v>1163</v>
      </c>
      <c r="G322" s="45"/>
      <c r="L322" s="8"/>
    </row>
    <row r="323" spans="1:12" x14ac:dyDescent="0.2">
      <c r="A323" s="84" t="s">
        <v>3015</v>
      </c>
      <c r="G323" s="45"/>
      <c r="L323" s="8"/>
    </row>
    <row r="324" spans="1:12" x14ac:dyDescent="0.2">
      <c r="A324" s="84" t="s">
        <v>1164</v>
      </c>
      <c r="G324" s="45"/>
      <c r="L324" s="8"/>
    </row>
    <row r="325" spans="1:12" x14ac:dyDescent="0.2">
      <c r="A325" s="51" t="s">
        <v>812</v>
      </c>
      <c r="G325" s="45"/>
      <c r="L325" s="8"/>
    </row>
    <row r="326" spans="1:12" ht="15" x14ac:dyDescent="0.2">
      <c r="A326" s="82"/>
      <c r="G326" s="45"/>
      <c r="L326" s="8"/>
    </row>
    <row r="327" spans="1:12" x14ac:dyDescent="0.2">
      <c r="A327" s="83" t="s">
        <v>864</v>
      </c>
      <c r="G327" s="45"/>
      <c r="L327" s="8"/>
    </row>
    <row r="328" spans="1:12" x14ac:dyDescent="0.2">
      <c r="A328" s="84" t="s">
        <v>1165</v>
      </c>
      <c r="G328" s="45"/>
      <c r="L328" s="8"/>
    </row>
    <row r="329" spans="1:12" x14ac:dyDescent="0.2">
      <c r="A329" s="84" t="s">
        <v>1166</v>
      </c>
      <c r="G329" s="45"/>
      <c r="L329" s="8"/>
    </row>
    <row r="330" spans="1:12" x14ac:dyDescent="0.2">
      <c r="A330" s="84" t="s">
        <v>3675</v>
      </c>
      <c r="G330" s="45"/>
      <c r="L330" s="8"/>
    </row>
    <row r="331" spans="1:12" x14ac:dyDescent="0.2">
      <c r="A331" s="84" t="s">
        <v>1163</v>
      </c>
      <c r="G331" s="45"/>
      <c r="L331" s="8"/>
    </row>
    <row r="332" spans="1:12" x14ac:dyDescent="0.2">
      <c r="A332" s="84" t="s">
        <v>1167</v>
      </c>
      <c r="G332" s="45"/>
      <c r="L332" s="8"/>
    </row>
    <row r="333" spans="1:12" x14ac:dyDescent="0.2">
      <c r="A333" s="84" t="s">
        <v>1168</v>
      </c>
      <c r="G333" s="45"/>
      <c r="L333" s="8"/>
    </row>
    <row r="334" spans="1:12" x14ac:dyDescent="0.2">
      <c r="A334" s="51" t="s">
        <v>812</v>
      </c>
      <c r="G334" s="45"/>
      <c r="L334" s="8"/>
    </row>
    <row r="335" spans="1:12" ht="15" x14ac:dyDescent="0.2">
      <c r="A335" s="82"/>
      <c r="G335" s="45"/>
      <c r="L335" s="8"/>
    </row>
    <row r="336" spans="1:12" x14ac:dyDescent="0.2">
      <c r="A336" s="83" t="s">
        <v>216</v>
      </c>
      <c r="G336" s="45"/>
      <c r="L336" s="8"/>
    </row>
    <row r="337" spans="1:12" x14ac:dyDescent="0.2">
      <c r="A337" s="84" t="s">
        <v>1169</v>
      </c>
      <c r="G337" s="45"/>
      <c r="L337" s="8"/>
    </row>
    <row r="338" spans="1:12" x14ac:dyDescent="0.2">
      <c r="A338" s="84" t="s">
        <v>1170</v>
      </c>
      <c r="G338" s="45"/>
      <c r="L338" s="8"/>
    </row>
    <row r="339" spans="1:12" x14ac:dyDescent="0.2">
      <c r="A339" s="84" t="s">
        <v>1171</v>
      </c>
      <c r="G339" s="45"/>
      <c r="L339" s="8"/>
    </row>
    <row r="340" spans="1:12" x14ac:dyDescent="0.2">
      <c r="A340" s="84" t="s">
        <v>1172</v>
      </c>
      <c r="G340" s="45"/>
      <c r="L340" s="8"/>
    </row>
    <row r="341" spans="1:12" x14ac:dyDescent="0.2">
      <c r="A341" s="84" t="s">
        <v>3676</v>
      </c>
      <c r="G341" s="45"/>
      <c r="L341" s="8"/>
    </row>
    <row r="342" spans="1:12" x14ac:dyDescent="0.2">
      <c r="A342" s="84" t="s">
        <v>1173</v>
      </c>
      <c r="G342" s="45"/>
      <c r="L342" s="8"/>
    </row>
    <row r="343" spans="1:12" x14ac:dyDescent="0.2">
      <c r="A343" s="51" t="s">
        <v>812</v>
      </c>
      <c r="G343" s="45"/>
      <c r="L343" s="8"/>
    </row>
    <row r="344" spans="1:12" ht="15" x14ac:dyDescent="0.2">
      <c r="A344" s="82"/>
      <c r="G344" s="45"/>
      <c r="L344" s="8"/>
    </row>
    <row r="345" spans="1:12" x14ac:dyDescent="0.2">
      <c r="A345" s="83" t="s">
        <v>221</v>
      </c>
      <c r="G345" s="45"/>
      <c r="L345" s="8"/>
    </row>
    <row r="346" spans="1:12" x14ac:dyDescent="0.2">
      <c r="A346" s="84" t="s">
        <v>1174</v>
      </c>
      <c r="G346" s="45"/>
      <c r="L346" s="8"/>
    </row>
    <row r="347" spans="1:12" x14ac:dyDescent="0.2">
      <c r="A347" s="84" t="s">
        <v>1175</v>
      </c>
      <c r="G347" s="45"/>
      <c r="L347" s="8"/>
    </row>
    <row r="348" spans="1:12" x14ac:dyDescent="0.2">
      <c r="A348" s="84" t="s">
        <v>3578</v>
      </c>
      <c r="G348" s="45"/>
      <c r="L348" s="8"/>
    </row>
    <row r="349" spans="1:12" x14ac:dyDescent="0.2">
      <c r="A349" s="84" t="s">
        <v>1176</v>
      </c>
      <c r="G349" s="45"/>
      <c r="L349" s="8"/>
    </row>
    <row r="350" spans="1:12" x14ac:dyDescent="0.2">
      <c r="A350" s="84" t="s">
        <v>3579</v>
      </c>
      <c r="G350" s="45"/>
      <c r="L350" s="8"/>
    </row>
    <row r="351" spans="1:12" x14ac:dyDescent="0.2">
      <c r="A351" s="84" t="s">
        <v>1177</v>
      </c>
      <c r="G351" s="45"/>
      <c r="L351" s="8"/>
    </row>
    <row r="352" spans="1:12" x14ac:dyDescent="0.2">
      <c r="A352" s="51" t="s">
        <v>812</v>
      </c>
      <c r="G352" s="45"/>
      <c r="L352" s="8"/>
    </row>
    <row r="353" spans="1:12" x14ac:dyDescent="0.2">
      <c r="A353" s="51" t="s">
        <v>815</v>
      </c>
      <c r="G353" s="45"/>
      <c r="L353" s="8"/>
    </row>
    <row r="354" spans="1:12" ht="15" x14ac:dyDescent="0.2">
      <c r="A354" s="82"/>
      <c r="G354" s="45"/>
      <c r="L354" s="8"/>
    </row>
    <row r="355" spans="1:12" x14ac:dyDescent="0.2">
      <c r="A355" s="83" t="s">
        <v>871</v>
      </c>
      <c r="G355" s="45"/>
      <c r="L355" s="8"/>
    </row>
    <row r="356" spans="1:12" x14ac:dyDescent="0.2">
      <c r="A356" s="84" t="s">
        <v>1178</v>
      </c>
      <c r="G356" s="45"/>
      <c r="L356" s="8"/>
    </row>
    <row r="357" spans="1:12" x14ac:dyDescent="0.2">
      <c r="A357" s="84" t="s">
        <v>1179</v>
      </c>
      <c r="G357" s="45"/>
      <c r="L357" s="8"/>
    </row>
    <row r="358" spans="1:12" x14ac:dyDescent="0.2">
      <c r="A358" s="84" t="s">
        <v>1180</v>
      </c>
      <c r="G358" s="45"/>
      <c r="L358" s="8"/>
    </row>
    <row r="359" spans="1:12" x14ac:dyDescent="0.2">
      <c r="A359" s="84" t="s">
        <v>1181</v>
      </c>
      <c r="G359" s="45"/>
      <c r="L359" s="8"/>
    </row>
    <row r="360" spans="1:12" x14ac:dyDescent="0.2">
      <c r="A360" s="84" t="s">
        <v>1182</v>
      </c>
      <c r="G360" s="45"/>
      <c r="L360" s="8"/>
    </row>
    <row r="361" spans="1:12" x14ac:dyDescent="0.2">
      <c r="A361" s="84" t="s">
        <v>1183</v>
      </c>
      <c r="G361" s="45"/>
      <c r="L361" s="8"/>
    </row>
    <row r="362" spans="1:12" x14ac:dyDescent="0.2">
      <c r="A362" s="51" t="s">
        <v>812</v>
      </c>
      <c r="G362" s="45"/>
      <c r="L362" s="8"/>
    </row>
    <row r="363" spans="1:12" x14ac:dyDescent="0.2">
      <c r="A363" s="51" t="s">
        <v>815</v>
      </c>
      <c r="G363" s="45"/>
      <c r="L363" s="8"/>
    </row>
    <row r="364" spans="1:12" ht="15" x14ac:dyDescent="0.2">
      <c r="A364" s="82"/>
      <c r="G364" s="45"/>
      <c r="L364" s="8"/>
    </row>
    <row r="365" spans="1:12" x14ac:dyDescent="0.2">
      <c r="A365" s="83" t="s">
        <v>231</v>
      </c>
      <c r="G365" s="45"/>
      <c r="L365" s="8"/>
    </row>
    <row r="366" spans="1:12" x14ac:dyDescent="0.2">
      <c r="A366" s="84" t="s">
        <v>1184</v>
      </c>
      <c r="G366" s="45"/>
      <c r="L366" s="8"/>
    </row>
    <row r="367" spans="1:12" x14ac:dyDescent="0.2">
      <c r="A367" s="84" t="s">
        <v>1185</v>
      </c>
      <c r="G367" s="45"/>
      <c r="L367" s="8"/>
    </row>
    <row r="368" spans="1:12" x14ac:dyDescent="0.2">
      <c r="A368" s="84" t="s">
        <v>1186</v>
      </c>
      <c r="G368" s="45"/>
      <c r="L368" s="8"/>
    </row>
    <row r="369" spans="1:12" x14ac:dyDescent="0.2">
      <c r="A369" s="84" t="s">
        <v>1187</v>
      </c>
      <c r="G369" s="45"/>
      <c r="L369" s="8"/>
    </row>
    <row r="370" spans="1:12" x14ac:dyDescent="0.2">
      <c r="A370" s="84" t="s">
        <v>1188</v>
      </c>
      <c r="G370" s="45"/>
      <c r="L370" s="8"/>
    </row>
    <row r="371" spans="1:12" x14ac:dyDescent="0.2">
      <c r="A371" s="84" t="s">
        <v>1189</v>
      </c>
      <c r="G371" s="45"/>
      <c r="L371" s="8"/>
    </row>
    <row r="372" spans="1:12" x14ac:dyDescent="0.2">
      <c r="A372" s="51" t="s">
        <v>812</v>
      </c>
      <c r="G372" s="45"/>
      <c r="L372" s="8"/>
    </row>
    <row r="373" spans="1:12" ht="15" x14ac:dyDescent="0.2">
      <c r="A373" s="82"/>
      <c r="G373" s="45"/>
      <c r="L373" s="8"/>
    </row>
    <row r="374" spans="1:12" x14ac:dyDescent="0.2">
      <c r="A374" s="83" t="s">
        <v>319</v>
      </c>
      <c r="G374" s="45"/>
      <c r="L374" s="8"/>
    </row>
    <row r="375" spans="1:12" x14ac:dyDescent="0.2">
      <c r="A375" s="84" t="s">
        <v>1190</v>
      </c>
      <c r="G375" s="45"/>
      <c r="L375" s="8"/>
    </row>
    <row r="376" spans="1:12" x14ac:dyDescent="0.2">
      <c r="A376" s="84" t="s">
        <v>1191</v>
      </c>
      <c r="G376" s="45"/>
      <c r="L376" s="8"/>
    </row>
    <row r="377" spans="1:12" x14ac:dyDescent="0.2">
      <c r="A377" s="84" t="s">
        <v>1192</v>
      </c>
      <c r="G377" s="45"/>
      <c r="L377" s="8"/>
    </row>
    <row r="378" spans="1:12" x14ac:dyDescent="0.2">
      <c r="A378" s="84" t="s">
        <v>1193</v>
      </c>
      <c r="G378" s="45"/>
      <c r="L378" s="8"/>
    </row>
    <row r="379" spans="1:12" x14ac:dyDescent="0.2">
      <c r="A379" s="84" t="s">
        <v>1194</v>
      </c>
      <c r="G379" s="45"/>
      <c r="L379" s="8"/>
    </row>
    <row r="380" spans="1:12" x14ac:dyDescent="0.2">
      <c r="A380" s="84" t="s">
        <v>1195</v>
      </c>
      <c r="G380" s="45"/>
      <c r="L380" s="8"/>
    </row>
    <row r="381" spans="1:12" x14ac:dyDescent="0.2">
      <c r="A381" s="51" t="s">
        <v>812</v>
      </c>
      <c r="G381" s="45"/>
      <c r="L381" s="8"/>
    </row>
    <row r="382" spans="1:12" x14ac:dyDescent="0.2">
      <c r="A382" s="51" t="s">
        <v>815</v>
      </c>
      <c r="G382" s="45"/>
      <c r="L382" s="8"/>
    </row>
    <row r="383" spans="1:12" ht="15" x14ac:dyDescent="0.2">
      <c r="A383" s="82"/>
      <c r="G383" s="45"/>
      <c r="L383" s="8"/>
    </row>
    <row r="384" spans="1:12" x14ac:dyDescent="0.2">
      <c r="A384" s="83" t="s">
        <v>73</v>
      </c>
      <c r="G384" s="45"/>
      <c r="L384" s="8"/>
    </row>
    <row r="385" spans="1:12" x14ac:dyDescent="0.2">
      <c r="A385" s="84" t="s">
        <v>1196</v>
      </c>
      <c r="G385" s="45"/>
      <c r="L385" s="8"/>
    </row>
    <row r="386" spans="1:12" x14ac:dyDescent="0.2">
      <c r="A386" s="84" t="s">
        <v>1197</v>
      </c>
      <c r="G386" s="45"/>
      <c r="L386" s="8"/>
    </row>
    <row r="387" spans="1:12" x14ac:dyDescent="0.2">
      <c r="A387" s="84" t="s">
        <v>1198</v>
      </c>
      <c r="G387" s="45"/>
      <c r="L387" s="8"/>
    </row>
    <row r="388" spans="1:12" x14ac:dyDescent="0.2">
      <c r="A388" s="84" t="s">
        <v>1199</v>
      </c>
      <c r="G388" s="45"/>
      <c r="L388" s="8"/>
    </row>
    <row r="389" spans="1:12" x14ac:dyDescent="0.2">
      <c r="A389" s="84" t="s">
        <v>1200</v>
      </c>
      <c r="G389" s="45"/>
      <c r="L389" s="8"/>
    </row>
    <row r="390" spans="1:12" x14ac:dyDescent="0.2">
      <c r="A390" s="84" t="s">
        <v>1201</v>
      </c>
      <c r="G390" s="45"/>
      <c r="L390" s="8"/>
    </row>
    <row r="391" spans="1:12" x14ac:dyDescent="0.2">
      <c r="A391" s="51" t="s">
        <v>812</v>
      </c>
      <c r="G391" s="45"/>
      <c r="L391" s="8"/>
    </row>
    <row r="392" spans="1:12" ht="15" x14ac:dyDescent="0.2">
      <c r="A392" s="82"/>
      <c r="G392" s="45"/>
      <c r="L392" s="8"/>
    </row>
    <row r="393" spans="1:12" x14ac:dyDescent="0.2">
      <c r="A393" s="83" t="s">
        <v>385</v>
      </c>
      <c r="G393" s="45"/>
      <c r="L393" s="8"/>
    </row>
    <row r="394" spans="1:12" x14ac:dyDescent="0.2">
      <c r="A394" s="84" t="s">
        <v>1202</v>
      </c>
      <c r="G394" s="45"/>
      <c r="L394" s="8"/>
    </row>
    <row r="395" spans="1:12" x14ac:dyDescent="0.2">
      <c r="A395" s="84" t="s">
        <v>1203</v>
      </c>
      <c r="G395" s="45"/>
      <c r="L395" s="8"/>
    </row>
    <row r="396" spans="1:12" x14ac:dyDescent="0.2">
      <c r="A396" s="84" t="s">
        <v>1204</v>
      </c>
      <c r="G396" s="45"/>
      <c r="L396" s="8"/>
    </row>
    <row r="397" spans="1:12" x14ac:dyDescent="0.2">
      <c r="A397" s="84" t="s">
        <v>914</v>
      </c>
      <c r="G397" s="45"/>
      <c r="L397" s="8"/>
    </row>
    <row r="398" spans="1:12" x14ac:dyDescent="0.2">
      <c r="A398" s="84" t="s">
        <v>1133</v>
      </c>
      <c r="G398" s="45"/>
      <c r="L398" s="8"/>
    </row>
    <row r="399" spans="1:12" x14ac:dyDescent="0.2">
      <c r="A399" s="84" t="s">
        <v>1205</v>
      </c>
      <c r="G399" s="45"/>
      <c r="L399" s="8"/>
    </row>
    <row r="400" spans="1:12" x14ac:dyDescent="0.2">
      <c r="A400" s="51" t="s">
        <v>812</v>
      </c>
      <c r="G400" s="45"/>
      <c r="L400" s="8"/>
    </row>
    <row r="401" spans="1:12" ht="15" x14ac:dyDescent="0.2">
      <c r="A401" s="82"/>
      <c r="G401" s="45"/>
      <c r="L401" s="8"/>
    </row>
    <row r="402" spans="1:12" x14ac:dyDescent="0.2">
      <c r="A402" s="83" t="s">
        <v>389</v>
      </c>
      <c r="G402" s="45"/>
      <c r="L402" s="8"/>
    </row>
    <row r="403" spans="1:12" x14ac:dyDescent="0.2">
      <c r="A403" s="84" t="s">
        <v>1206</v>
      </c>
      <c r="G403" s="45"/>
      <c r="L403" s="8"/>
    </row>
    <row r="404" spans="1:12" x14ac:dyDescent="0.2">
      <c r="A404" s="84" t="s">
        <v>1207</v>
      </c>
      <c r="G404" s="45"/>
      <c r="L404" s="8"/>
    </row>
    <row r="405" spans="1:12" x14ac:dyDescent="0.2">
      <c r="A405" s="84" t="s">
        <v>1208</v>
      </c>
      <c r="G405" s="45"/>
      <c r="L405" s="8"/>
    </row>
    <row r="406" spans="1:12" x14ac:dyDescent="0.2">
      <c r="A406" s="84" t="s">
        <v>1209</v>
      </c>
      <c r="G406" s="45"/>
      <c r="L406" s="8"/>
    </row>
    <row r="407" spans="1:12" x14ac:dyDescent="0.2">
      <c r="A407" s="84" t="s">
        <v>1210</v>
      </c>
      <c r="G407" s="45"/>
      <c r="L407" s="8"/>
    </row>
    <row r="408" spans="1:12" x14ac:dyDescent="0.2">
      <c r="A408" s="84" t="s">
        <v>1211</v>
      </c>
      <c r="G408" s="45"/>
      <c r="L408" s="8"/>
    </row>
    <row r="409" spans="1:12" x14ac:dyDescent="0.2">
      <c r="A409" s="51" t="s">
        <v>812</v>
      </c>
      <c r="G409" s="45"/>
      <c r="L409" s="8"/>
    </row>
    <row r="410" spans="1:12" ht="15" x14ac:dyDescent="0.2">
      <c r="A410" s="82"/>
      <c r="G410" s="45"/>
      <c r="L410" s="8"/>
    </row>
    <row r="411" spans="1:12" x14ac:dyDescent="0.2">
      <c r="A411" s="83" t="s">
        <v>884</v>
      </c>
      <c r="G411" s="45"/>
      <c r="L411" s="8"/>
    </row>
    <row r="412" spans="1:12" x14ac:dyDescent="0.2">
      <c r="A412" s="84" t="s">
        <v>1212</v>
      </c>
      <c r="G412" s="45"/>
      <c r="L412" s="8"/>
    </row>
    <row r="413" spans="1:12" x14ac:dyDescent="0.2">
      <c r="A413" s="84" t="s">
        <v>1213</v>
      </c>
      <c r="G413" s="45"/>
      <c r="L413" s="8"/>
    </row>
    <row r="414" spans="1:12" x14ac:dyDescent="0.2">
      <c r="A414" s="84" t="s">
        <v>1214</v>
      </c>
      <c r="G414" s="45"/>
      <c r="L414" s="8"/>
    </row>
    <row r="415" spans="1:12" x14ac:dyDescent="0.2">
      <c r="A415" s="84" t="s">
        <v>1215</v>
      </c>
      <c r="G415" s="45"/>
      <c r="L415" s="8"/>
    </row>
    <row r="416" spans="1:12" x14ac:dyDescent="0.2">
      <c r="A416" s="84" t="s">
        <v>1216</v>
      </c>
      <c r="G416" s="45"/>
      <c r="L416" s="8"/>
    </row>
    <row r="417" spans="1:12" x14ac:dyDescent="0.2">
      <c r="A417" s="84" t="s">
        <v>1217</v>
      </c>
      <c r="G417" s="45"/>
      <c r="L417" s="8"/>
    </row>
    <row r="418" spans="1:12" x14ac:dyDescent="0.2">
      <c r="A418" s="51" t="s">
        <v>812</v>
      </c>
      <c r="G418" s="45"/>
      <c r="L418" s="8"/>
    </row>
    <row r="419" spans="1:12" ht="15" x14ac:dyDescent="0.2">
      <c r="A419" s="82"/>
      <c r="G419" s="45"/>
      <c r="L419" s="8"/>
    </row>
    <row r="420" spans="1:12" x14ac:dyDescent="0.2">
      <c r="A420" s="83" t="s">
        <v>269</v>
      </c>
      <c r="G420" s="45"/>
      <c r="L420" s="8"/>
    </row>
    <row r="421" spans="1:12" x14ac:dyDescent="0.2">
      <c r="A421" s="84" t="s">
        <v>1218</v>
      </c>
      <c r="G421" s="45"/>
      <c r="L421" s="8"/>
    </row>
    <row r="422" spans="1:12" x14ac:dyDescent="0.2">
      <c r="A422" s="84" t="s">
        <v>1219</v>
      </c>
      <c r="G422" s="45"/>
      <c r="L422" s="8"/>
    </row>
    <row r="423" spans="1:12" x14ac:dyDescent="0.2">
      <c r="A423" s="84" t="s">
        <v>1220</v>
      </c>
      <c r="G423" s="45"/>
      <c r="L423" s="8"/>
    </row>
    <row r="424" spans="1:12" x14ac:dyDescent="0.2">
      <c r="A424" s="84" t="s">
        <v>1221</v>
      </c>
      <c r="G424" s="45"/>
      <c r="L424" s="8"/>
    </row>
    <row r="425" spans="1:12" x14ac:dyDescent="0.2">
      <c r="A425" s="84" t="s">
        <v>1222</v>
      </c>
      <c r="G425" s="45"/>
      <c r="L425" s="8"/>
    </row>
    <row r="426" spans="1:12" x14ac:dyDescent="0.2">
      <c r="A426" s="84" t="s">
        <v>1223</v>
      </c>
      <c r="G426" s="45"/>
      <c r="L426" s="8"/>
    </row>
    <row r="427" spans="1:12" x14ac:dyDescent="0.2">
      <c r="A427" s="51" t="s">
        <v>812</v>
      </c>
      <c r="G427" s="45"/>
      <c r="L427" s="8"/>
    </row>
    <row r="428" spans="1:12" x14ac:dyDescent="0.2">
      <c r="A428" s="51" t="s">
        <v>815</v>
      </c>
      <c r="G428" s="45"/>
      <c r="L428" s="8"/>
    </row>
    <row r="429" spans="1:12" ht="15" x14ac:dyDescent="0.2">
      <c r="A429" s="82"/>
      <c r="G429" s="45"/>
      <c r="L429" s="8"/>
    </row>
    <row r="430" spans="1:12" x14ac:dyDescent="0.2">
      <c r="A430" s="83" t="s">
        <v>441</v>
      </c>
      <c r="G430" s="45"/>
      <c r="L430" s="8"/>
    </row>
    <row r="431" spans="1:12" x14ac:dyDescent="0.2">
      <c r="A431" s="84" t="s">
        <v>1224</v>
      </c>
      <c r="G431" s="45"/>
      <c r="L431" s="8"/>
    </row>
    <row r="432" spans="1:12" x14ac:dyDescent="0.2">
      <c r="A432" s="84" t="s">
        <v>1225</v>
      </c>
      <c r="G432" s="45"/>
      <c r="L432" s="8"/>
    </row>
    <row r="433" spans="1:12" x14ac:dyDescent="0.2">
      <c r="A433" s="84" t="s">
        <v>1226</v>
      </c>
      <c r="G433" s="45"/>
      <c r="L433" s="8"/>
    </row>
    <row r="434" spans="1:12" x14ac:dyDescent="0.2">
      <c r="A434" s="84" t="s">
        <v>1227</v>
      </c>
      <c r="G434" s="45"/>
      <c r="L434" s="8"/>
    </row>
    <row r="435" spans="1:12" x14ac:dyDescent="0.2">
      <c r="A435" s="84" t="s">
        <v>1228</v>
      </c>
      <c r="G435" s="45"/>
      <c r="L435" s="8"/>
    </row>
    <row r="436" spans="1:12" x14ac:dyDescent="0.2">
      <c r="A436" s="84" t="s">
        <v>1229</v>
      </c>
      <c r="G436" s="45"/>
      <c r="L436" s="8"/>
    </row>
    <row r="437" spans="1:12" x14ac:dyDescent="0.2">
      <c r="A437" s="51" t="s">
        <v>812</v>
      </c>
      <c r="G437" s="45"/>
      <c r="L437" s="8"/>
    </row>
    <row r="438" spans="1:12" x14ac:dyDescent="0.2">
      <c r="A438" s="51" t="s">
        <v>815</v>
      </c>
      <c r="G438" s="45"/>
      <c r="L438" s="8"/>
    </row>
    <row r="439" spans="1:12" ht="15" x14ac:dyDescent="0.2">
      <c r="A439" s="82"/>
      <c r="G439" s="45"/>
      <c r="L439" s="8"/>
    </row>
    <row r="440" spans="1:12" x14ac:dyDescent="0.2">
      <c r="A440" s="83" t="s">
        <v>236</v>
      </c>
      <c r="G440" s="45"/>
      <c r="L440" s="8"/>
    </row>
    <row r="441" spans="1:12" x14ac:dyDescent="0.2">
      <c r="A441" s="84" t="s">
        <v>1230</v>
      </c>
      <c r="G441" s="45"/>
      <c r="L441" s="8"/>
    </row>
    <row r="442" spans="1:12" x14ac:dyDescent="0.2">
      <c r="A442" s="84" t="s">
        <v>1231</v>
      </c>
      <c r="G442" s="45"/>
      <c r="L442" s="8"/>
    </row>
    <row r="443" spans="1:12" x14ac:dyDescent="0.2">
      <c r="A443" s="84" t="s">
        <v>1232</v>
      </c>
      <c r="G443" s="45"/>
      <c r="L443" s="8"/>
    </row>
    <row r="444" spans="1:12" x14ac:dyDescent="0.2">
      <c r="A444" s="84" t="s">
        <v>1233</v>
      </c>
      <c r="G444" s="45"/>
      <c r="L444" s="8"/>
    </row>
    <row r="445" spans="1:12" x14ac:dyDescent="0.2">
      <c r="A445" s="84" t="s">
        <v>1234</v>
      </c>
      <c r="G445" s="45"/>
      <c r="L445" s="8"/>
    </row>
    <row r="446" spans="1:12" x14ac:dyDescent="0.2">
      <c r="A446" s="84" t="s">
        <v>1235</v>
      </c>
      <c r="G446" s="45"/>
      <c r="L446" s="8"/>
    </row>
    <row r="447" spans="1:12" x14ac:dyDescent="0.2">
      <c r="A447" s="51" t="s">
        <v>812</v>
      </c>
      <c r="G447" s="45"/>
      <c r="L447" s="8"/>
    </row>
    <row r="448" spans="1:12" ht="15" x14ac:dyDescent="0.2">
      <c r="A448" s="82"/>
      <c r="G448" s="45"/>
      <c r="L448" s="8"/>
    </row>
    <row r="449" spans="1:12" x14ac:dyDescent="0.2">
      <c r="A449" s="83" t="s">
        <v>240</v>
      </c>
      <c r="G449" s="45"/>
      <c r="L449" s="8"/>
    </row>
    <row r="450" spans="1:12" x14ac:dyDescent="0.2">
      <c r="A450" s="84" t="s">
        <v>1236</v>
      </c>
      <c r="G450" s="45"/>
      <c r="L450" s="8"/>
    </row>
    <row r="451" spans="1:12" x14ac:dyDescent="0.2">
      <c r="A451" s="84" t="s">
        <v>1237</v>
      </c>
      <c r="G451" s="45"/>
      <c r="L451" s="8"/>
    </row>
    <row r="452" spans="1:12" x14ac:dyDescent="0.2">
      <c r="A452" s="84" t="s">
        <v>1238</v>
      </c>
      <c r="G452" s="45"/>
      <c r="L452" s="8"/>
    </row>
    <row r="453" spans="1:12" x14ac:dyDescent="0.2">
      <c r="A453" s="84" t="s">
        <v>1239</v>
      </c>
      <c r="G453" s="45"/>
      <c r="L453" s="8"/>
    </row>
    <row r="454" spans="1:12" x14ac:dyDescent="0.2">
      <c r="A454" s="84" t="s">
        <v>1240</v>
      </c>
      <c r="G454" s="45"/>
      <c r="L454" s="8"/>
    </row>
    <row r="455" spans="1:12" x14ac:dyDescent="0.2">
      <c r="A455" s="84" t="s">
        <v>1241</v>
      </c>
      <c r="G455" s="45"/>
      <c r="L455" s="8"/>
    </row>
    <row r="456" spans="1:12" x14ac:dyDescent="0.2">
      <c r="A456" s="51" t="s">
        <v>812</v>
      </c>
      <c r="G456" s="45"/>
      <c r="L456" s="8"/>
    </row>
    <row r="457" spans="1:12" x14ac:dyDescent="0.2">
      <c r="A457" s="51" t="s">
        <v>815</v>
      </c>
      <c r="G457" s="45"/>
      <c r="L457" s="8"/>
    </row>
    <row r="458" spans="1:12" ht="15" x14ac:dyDescent="0.2">
      <c r="A458" s="82"/>
      <c r="G458" s="45"/>
      <c r="L458" s="8"/>
    </row>
    <row r="459" spans="1:12" x14ac:dyDescent="0.2">
      <c r="A459" s="83" t="s">
        <v>245</v>
      </c>
      <c r="G459" s="45"/>
      <c r="L459" s="8"/>
    </row>
    <row r="460" spans="1:12" x14ac:dyDescent="0.2">
      <c r="A460" s="84" t="s">
        <v>1242</v>
      </c>
      <c r="G460" s="45"/>
      <c r="L460" s="8"/>
    </row>
    <row r="461" spans="1:12" x14ac:dyDescent="0.2">
      <c r="A461" s="84" t="s">
        <v>1243</v>
      </c>
      <c r="G461" s="45"/>
      <c r="L461" s="8"/>
    </row>
    <row r="462" spans="1:12" x14ac:dyDescent="0.2">
      <c r="A462" s="84" t="s">
        <v>1244</v>
      </c>
      <c r="G462" s="45"/>
      <c r="L462" s="8"/>
    </row>
    <row r="463" spans="1:12" x14ac:dyDescent="0.2">
      <c r="A463" s="84" t="s">
        <v>1245</v>
      </c>
      <c r="G463" s="45"/>
      <c r="L463" s="8"/>
    </row>
    <row r="464" spans="1:12" x14ac:dyDescent="0.2">
      <c r="A464" s="84" t="s">
        <v>1246</v>
      </c>
      <c r="G464" s="45"/>
      <c r="L464" s="8"/>
    </row>
    <row r="465" spans="1:12" x14ac:dyDescent="0.2">
      <c r="A465" s="84" t="s">
        <v>1247</v>
      </c>
      <c r="G465" s="45"/>
      <c r="L465" s="8"/>
    </row>
    <row r="466" spans="1:12" x14ac:dyDescent="0.2">
      <c r="A466" s="51" t="s">
        <v>812</v>
      </c>
      <c r="G466" s="45"/>
      <c r="L466" s="8"/>
    </row>
    <row r="467" spans="1:12" x14ac:dyDescent="0.2">
      <c r="A467" s="51" t="s">
        <v>815</v>
      </c>
      <c r="G467" s="45"/>
      <c r="L467" s="8"/>
    </row>
    <row r="468" spans="1:12" ht="15" x14ac:dyDescent="0.2">
      <c r="A468" s="82"/>
      <c r="G468" s="45"/>
      <c r="L468" s="8"/>
    </row>
    <row r="469" spans="1:12" x14ac:dyDescent="0.2">
      <c r="A469" s="83" t="s">
        <v>249</v>
      </c>
      <c r="G469" s="45"/>
      <c r="L469" s="8"/>
    </row>
    <row r="470" spans="1:12" x14ac:dyDescent="0.2">
      <c r="A470" s="84" t="s">
        <v>1248</v>
      </c>
      <c r="G470" s="45"/>
      <c r="L470" s="8"/>
    </row>
    <row r="471" spans="1:12" x14ac:dyDescent="0.2">
      <c r="A471" s="84" t="s">
        <v>1249</v>
      </c>
      <c r="G471" s="45"/>
      <c r="L471" s="8"/>
    </row>
    <row r="472" spans="1:12" x14ac:dyDescent="0.2">
      <c r="A472" s="84" t="s">
        <v>1250</v>
      </c>
      <c r="G472" s="45"/>
      <c r="L472" s="8"/>
    </row>
    <row r="473" spans="1:12" x14ac:dyDescent="0.2">
      <c r="A473" s="84" t="s">
        <v>1245</v>
      </c>
      <c r="G473" s="45"/>
      <c r="L473" s="8"/>
    </row>
    <row r="474" spans="1:12" x14ac:dyDescent="0.2">
      <c r="A474" s="84" t="s">
        <v>1246</v>
      </c>
      <c r="G474" s="45"/>
      <c r="L474" s="8"/>
    </row>
    <row r="475" spans="1:12" x14ac:dyDescent="0.2">
      <c r="A475" s="84" t="s">
        <v>1247</v>
      </c>
      <c r="G475" s="45"/>
      <c r="L475" s="8"/>
    </row>
    <row r="476" spans="1:12" x14ac:dyDescent="0.2">
      <c r="A476" s="51" t="s">
        <v>812</v>
      </c>
      <c r="G476" s="45"/>
      <c r="L476" s="8"/>
    </row>
    <row r="477" spans="1:12" x14ac:dyDescent="0.2">
      <c r="A477" s="51" t="s">
        <v>815</v>
      </c>
      <c r="G477" s="45"/>
      <c r="L477" s="8"/>
    </row>
    <row r="478" spans="1:12" ht="15" x14ac:dyDescent="0.2">
      <c r="A478" s="82"/>
      <c r="G478" s="45"/>
      <c r="L478" s="8"/>
    </row>
    <row r="479" spans="1:12" x14ac:dyDescent="0.2">
      <c r="A479" s="83" t="s">
        <v>255</v>
      </c>
      <c r="G479" s="45"/>
      <c r="L479" s="8"/>
    </row>
    <row r="480" spans="1:12" x14ac:dyDescent="0.2">
      <c r="A480" s="84" t="s">
        <v>1251</v>
      </c>
      <c r="G480" s="45"/>
      <c r="L480" s="8"/>
    </row>
    <row r="481" spans="1:12" x14ac:dyDescent="0.2">
      <c r="A481" s="84" t="s">
        <v>1252</v>
      </c>
      <c r="G481" s="45"/>
      <c r="L481" s="8"/>
    </row>
    <row r="482" spans="1:12" x14ac:dyDescent="0.2">
      <c r="A482" s="84" t="s">
        <v>1253</v>
      </c>
      <c r="G482" s="45"/>
      <c r="L482" s="8"/>
    </row>
    <row r="483" spans="1:12" x14ac:dyDescent="0.2">
      <c r="A483" s="84" t="s">
        <v>1114</v>
      </c>
      <c r="G483" s="45"/>
      <c r="L483" s="8"/>
    </row>
    <row r="484" spans="1:12" x14ac:dyDescent="0.2">
      <c r="A484" s="84" t="s">
        <v>1254</v>
      </c>
      <c r="G484" s="45"/>
      <c r="L484" s="8"/>
    </row>
    <row r="485" spans="1:12" x14ac:dyDescent="0.2">
      <c r="A485" s="84" t="s">
        <v>1255</v>
      </c>
      <c r="G485" s="45"/>
      <c r="L485" s="8"/>
    </row>
    <row r="486" spans="1:12" x14ac:dyDescent="0.2">
      <c r="A486" s="51" t="s">
        <v>812</v>
      </c>
      <c r="G486" s="45"/>
      <c r="L486" s="8"/>
    </row>
    <row r="487" spans="1:12" ht="15" x14ac:dyDescent="0.2">
      <c r="A487" s="82"/>
      <c r="G487" s="45"/>
      <c r="L487" s="8"/>
    </row>
    <row r="488" spans="1:12" x14ac:dyDescent="0.2">
      <c r="A488" s="83" t="s">
        <v>376</v>
      </c>
      <c r="G488" s="45"/>
      <c r="L488" s="8"/>
    </row>
    <row r="489" spans="1:12" x14ac:dyDescent="0.2">
      <c r="A489" s="84" t="s">
        <v>1256</v>
      </c>
      <c r="G489" s="45"/>
      <c r="L489" s="8"/>
    </row>
    <row r="490" spans="1:12" x14ac:dyDescent="0.2">
      <c r="A490" s="84" t="s">
        <v>1257</v>
      </c>
      <c r="G490" s="45"/>
      <c r="L490" s="8"/>
    </row>
    <row r="491" spans="1:12" x14ac:dyDescent="0.2">
      <c r="A491" s="84" t="s">
        <v>3580</v>
      </c>
      <c r="G491" s="45"/>
      <c r="L491" s="8"/>
    </row>
    <row r="492" spans="1:12" x14ac:dyDescent="0.2">
      <c r="A492" s="84" t="s">
        <v>1258</v>
      </c>
      <c r="G492" s="45"/>
      <c r="L492" s="8"/>
    </row>
    <row r="493" spans="1:12" x14ac:dyDescent="0.2">
      <c r="A493" s="84" t="s">
        <v>1259</v>
      </c>
      <c r="G493" s="45"/>
      <c r="L493" s="8"/>
    </row>
    <row r="494" spans="1:12" x14ac:dyDescent="0.2">
      <c r="A494" s="84" t="s">
        <v>1260</v>
      </c>
      <c r="G494" s="45"/>
      <c r="L494" s="8"/>
    </row>
    <row r="495" spans="1:12" x14ac:dyDescent="0.2">
      <c r="A495" s="51" t="s">
        <v>812</v>
      </c>
      <c r="G495" s="45"/>
      <c r="L495" s="8"/>
    </row>
    <row r="496" spans="1:12" ht="15" x14ac:dyDescent="0.2">
      <c r="A496" s="82"/>
      <c r="G496" s="45"/>
      <c r="L496" s="8"/>
    </row>
    <row r="497" spans="1:12" x14ac:dyDescent="0.2">
      <c r="A497" s="83" t="s">
        <v>260</v>
      </c>
      <c r="G497" s="45"/>
      <c r="L497" s="8"/>
    </row>
    <row r="498" spans="1:12" x14ac:dyDescent="0.2">
      <c r="A498" s="84" t="s">
        <v>1261</v>
      </c>
      <c r="G498" s="45"/>
      <c r="L498" s="8"/>
    </row>
    <row r="499" spans="1:12" x14ac:dyDescent="0.2">
      <c r="A499" s="84" t="s">
        <v>1262</v>
      </c>
      <c r="G499" s="45"/>
      <c r="L499" s="8"/>
    </row>
    <row r="500" spans="1:12" x14ac:dyDescent="0.2">
      <c r="A500" s="84" t="s">
        <v>1263</v>
      </c>
      <c r="G500" s="45"/>
      <c r="L500" s="8"/>
    </row>
    <row r="501" spans="1:12" x14ac:dyDescent="0.2">
      <c r="A501" s="84" t="s">
        <v>1264</v>
      </c>
      <c r="G501" s="45"/>
      <c r="L501" s="8"/>
    </row>
    <row r="502" spans="1:12" x14ac:dyDescent="0.2">
      <c r="A502" s="84" t="s">
        <v>1265</v>
      </c>
      <c r="G502" s="45"/>
      <c r="L502" s="8"/>
    </row>
    <row r="503" spans="1:12" x14ac:dyDescent="0.2">
      <c r="A503" s="84" t="s">
        <v>1266</v>
      </c>
      <c r="G503" s="45"/>
      <c r="L503" s="8"/>
    </row>
    <row r="504" spans="1:12" x14ac:dyDescent="0.2">
      <c r="A504" s="51" t="s">
        <v>812</v>
      </c>
      <c r="G504" s="45"/>
      <c r="L504" s="8"/>
    </row>
    <row r="505" spans="1:12" ht="15" x14ac:dyDescent="0.2">
      <c r="A505" s="82"/>
      <c r="G505" s="45"/>
      <c r="L505" s="8"/>
    </row>
    <row r="506" spans="1:12" x14ac:dyDescent="0.2">
      <c r="A506" s="83" t="s">
        <v>264</v>
      </c>
      <c r="G506" s="45"/>
      <c r="L506" s="8"/>
    </row>
    <row r="507" spans="1:12" x14ac:dyDescent="0.2">
      <c r="A507" s="84" t="s">
        <v>1267</v>
      </c>
      <c r="G507" s="45"/>
      <c r="L507" s="8"/>
    </row>
    <row r="508" spans="1:12" x14ac:dyDescent="0.2">
      <c r="A508" s="84" t="s">
        <v>1268</v>
      </c>
      <c r="G508" s="45"/>
      <c r="L508" s="8"/>
    </row>
    <row r="509" spans="1:12" x14ac:dyDescent="0.2">
      <c r="A509" s="84" t="s">
        <v>1263</v>
      </c>
      <c r="G509" s="45"/>
      <c r="L509" s="8"/>
    </row>
    <row r="510" spans="1:12" x14ac:dyDescent="0.2">
      <c r="A510" s="84" t="s">
        <v>1264</v>
      </c>
      <c r="G510" s="45"/>
      <c r="L510" s="8"/>
    </row>
    <row r="511" spans="1:12" x14ac:dyDescent="0.2">
      <c r="A511" s="84" t="s">
        <v>1269</v>
      </c>
      <c r="G511" s="45"/>
      <c r="L511" s="8"/>
    </row>
    <row r="512" spans="1:12" x14ac:dyDescent="0.2">
      <c r="A512" s="84" t="s">
        <v>1270</v>
      </c>
      <c r="G512" s="45"/>
      <c r="L512" s="8"/>
    </row>
    <row r="513" spans="1:12" x14ac:dyDescent="0.2">
      <c r="A513" s="51" t="s">
        <v>812</v>
      </c>
      <c r="G513" s="45"/>
      <c r="L513" s="8"/>
    </row>
    <row r="514" spans="1:12" ht="15" x14ac:dyDescent="0.2">
      <c r="A514" s="82"/>
      <c r="G514" s="45"/>
      <c r="L514" s="8"/>
    </row>
    <row r="515" spans="1:12" x14ac:dyDescent="0.2">
      <c r="A515" s="83" t="s">
        <v>275</v>
      </c>
      <c r="G515" s="45"/>
      <c r="L515" s="8"/>
    </row>
    <row r="516" spans="1:12" x14ac:dyDescent="0.2">
      <c r="A516" s="84" t="s">
        <v>1271</v>
      </c>
      <c r="G516" s="45"/>
      <c r="L516" s="8"/>
    </row>
    <row r="517" spans="1:12" x14ac:dyDescent="0.2">
      <c r="A517" s="84" t="s">
        <v>1272</v>
      </c>
      <c r="G517" s="45"/>
      <c r="L517" s="8"/>
    </row>
    <row r="518" spans="1:12" x14ac:dyDescent="0.2">
      <c r="A518" s="84" t="s">
        <v>1273</v>
      </c>
      <c r="G518" s="45"/>
      <c r="L518" s="8"/>
    </row>
    <row r="519" spans="1:12" x14ac:dyDescent="0.2">
      <c r="A519" s="84" t="s">
        <v>1274</v>
      </c>
      <c r="G519" s="45"/>
      <c r="L519" s="8"/>
    </row>
    <row r="520" spans="1:12" x14ac:dyDescent="0.2">
      <c r="A520" s="84" t="s">
        <v>1275</v>
      </c>
      <c r="G520" s="45"/>
      <c r="L520" s="8"/>
    </row>
    <row r="521" spans="1:12" x14ac:dyDescent="0.2">
      <c r="A521" s="84" t="s">
        <v>1276</v>
      </c>
      <c r="G521" s="45"/>
      <c r="L521" s="8"/>
    </row>
    <row r="522" spans="1:12" x14ac:dyDescent="0.2">
      <c r="A522" s="51" t="s">
        <v>812</v>
      </c>
      <c r="G522" s="45"/>
      <c r="L522" s="8"/>
    </row>
    <row r="523" spans="1:12" x14ac:dyDescent="0.2">
      <c r="A523" s="51" t="s">
        <v>815</v>
      </c>
      <c r="G523" s="45"/>
      <c r="L523" s="8"/>
    </row>
    <row r="524" spans="1:12" ht="15" x14ac:dyDescent="0.2">
      <c r="A524" s="82"/>
      <c r="G524" s="45"/>
      <c r="L524" s="8"/>
    </row>
    <row r="525" spans="1:12" x14ac:dyDescent="0.2">
      <c r="A525" s="83" t="s">
        <v>281</v>
      </c>
      <c r="G525" s="45"/>
      <c r="L525" s="8"/>
    </row>
    <row r="526" spans="1:12" x14ac:dyDescent="0.2">
      <c r="A526" s="84" t="s">
        <v>1277</v>
      </c>
      <c r="G526" s="45"/>
      <c r="L526" s="8"/>
    </row>
    <row r="527" spans="1:12" x14ac:dyDescent="0.2">
      <c r="A527" s="84" t="s">
        <v>1278</v>
      </c>
      <c r="G527" s="45"/>
      <c r="L527" s="8"/>
    </row>
    <row r="528" spans="1:12" x14ac:dyDescent="0.2">
      <c r="A528" s="84" t="s">
        <v>1279</v>
      </c>
      <c r="G528" s="45"/>
      <c r="L528" s="8"/>
    </row>
    <row r="529" spans="1:12" x14ac:dyDescent="0.2">
      <c r="A529" s="84" t="s">
        <v>1280</v>
      </c>
      <c r="G529" s="45"/>
      <c r="L529" s="8"/>
    </row>
    <row r="530" spans="1:12" x14ac:dyDescent="0.2">
      <c r="A530" s="84" t="s">
        <v>1281</v>
      </c>
      <c r="G530" s="45"/>
      <c r="L530" s="8"/>
    </row>
    <row r="531" spans="1:12" x14ac:dyDescent="0.2">
      <c r="A531" s="84" t="s">
        <v>1282</v>
      </c>
      <c r="G531" s="45"/>
      <c r="L531" s="8"/>
    </row>
    <row r="532" spans="1:12" x14ac:dyDescent="0.2">
      <c r="A532" s="51" t="s">
        <v>812</v>
      </c>
      <c r="G532" s="45"/>
      <c r="L532" s="8"/>
    </row>
    <row r="533" spans="1:12" ht="15" x14ac:dyDescent="0.2">
      <c r="A533" s="82"/>
      <c r="G533" s="45"/>
      <c r="L533" s="8"/>
    </row>
    <row r="534" spans="1:12" x14ac:dyDescent="0.2">
      <c r="A534" s="83" t="s">
        <v>295</v>
      </c>
      <c r="G534" s="45"/>
      <c r="L534" s="8"/>
    </row>
    <row r="535" spans="1:12" x14ac:dyDescent="0.2">
      <c r="A535" s="84" t="s">
        <v>1283</v>
      </c>
      <c r="G535" s="45"/>
      <c r="L535" s="8"/>
    </row>
    <row r="536" spans="1:12" x14ac:dyDescent="0.2">
      <c r="A536" s="84" t="s">
        <v>1284</v>
      </c>
      <c r="G536" s="45"/>
      <c r="L536" s="8"/>
    </row>
    <row r="537" spans="1:12" x14ac:dyDescent="0.2">
      <c r="A537" s="84" t="s">
        <v>3677</v>
      </c>
      <c r="G537" s="45"/>
      <c r="L537" s="8"/>
    </row>
    <row r="538" spans="1:12" x14ac:dyDescent="0.2">
      <c r="A538" s="84" t="s">
        <v>1285</v>
      </c>
      <c r="G538" s="45"/>
      <c r="L538" s="8"/>
    </row>
    <row r="539" spans="1:12" x14ac:dyDescent="0.2">
      <c r="A539" s="84" t="s">
        <v>1286</v>
      </c>
      <c r="G539" s="45"/>
      <c r="L539" s="8"/>
    </row>
    <row r="540" spans="1:12" x14ac:dyDescent="0.2">
      <c r="A540" s="84" t="s">
        <v>1287</v>
      </c>
      <c r="G540" s="45"/>
      <c r="L540" s="8"/>
    </row>
    <row r="541" spans="1:12" x14ac:dyDescent="0.2">
      <c r="A541" s="51" t="s">
        <v>812</v>
      </c>
      <c r="G541" s="45"/>
      <c r="L541" s="8"/>
    </row>
    <row r="542" spans="1:12" x14ac:dyDescent="0.2">
      <c r="A542" s="51" t="s">
        <v>815</v>
      </c>
      <c r="G542" s="45"/>
      <c r="L542" s="8"/>
    </row>
    <row r="543" spans="1:12" ht="15" x14ac:dyDescent="0.2">
      <c r="A543" s="82"/>
      <c r="G543" s="45"/>
      <c r="L543" s="8"/>
    </row>
    <row r="544" spans="1:12" x14ac:dyDescent="0.2">
      <c r="A544" s="83" t="s">
        <v>300</v>
      </c>
      <c r="G544" s="45"/>
      <c r="L544" s="8"/>
    </row>
    <row r="545" spans="1:12" x14ac:dyDescent="0.2">
      <c r="A545" s="84" t="s">
        <v>1288</v>
      </c>
      <c r="G545" s="45"/>
      <c r="L545" s="8"/>
    </row>
    <row r="546" spans="1:12" x14ac:dyDescent="0.2">
      <c r="A546" s="84" t="s">
        <v>1289</v>
      </c>
      <c r="G546" s="45"/>
      <c r="L546" s="8"/>
    </row>
    <row r="547" spans="1:12" x14ac:dyDescent="0.2">
      <c r="A547" s="84" t="s">
        <v>3678</v>
      </c>
      <c r="G547" s="45"/>
      <c r="L547" s="8"/>
    </row>
    <row r="548" spans="1:12" x14ac:dyDescent="0.2">
      <c r="A548" s="84" t="s">
        <v>3679</v>
      </c>
      <c r="G548" s="45"/>
      <c r="L548" s="8"/>
    </row>
    <row r="549" spans="1:12" x14ac:dyDescent="0.2">
      <c r="A549" s="84" t="s">
        <v>1291</v>
      </c>
      <c r="G549" s="45"/>
      <c r="L549" s="8"/>
    </row>
    <row r="550" spans="1:12" x14ac:dyDescent="0.2">
      <c r="A550" s="84" t="s">
        <v>1292</v>
      </c>
      <c r="G550" s="45"/>
      <c r="L550" s="8"/>
    </row>
    <row r="551" spans="1:12" x14ac:dyDescent="0.2">
      <c r="A551" s="51" t="s">
        <v>812</v>
      </c>
      <c r="G551" s="45"/>
      <c r="L551" s="8"/>
    </row>
    <row r="552" spans="1:12" ht="15" x14ac:dyDescent="0.2">
      <c r="A552" s="82"/>
      <c r="G552" s="45"/>
      <c r="L552" s="8"/>
    </row>
    <row r="553" spans="1:12" x14ac:dyDescent="0.2">
      <c r="A553" s="83" t="s">
        <v>305</v>
      </c>
      <c r="G553" s="45"/>
      <c r="L553" s="8"/>
    </row>
    <row r="554" spans="1:12" x14ac:dyDescent="0.2">
      <c r="A554" s="84" t="s">
        <v>1293</v>
      </c>
      <c r="G554" s="45"/>
      <c r="L554" s="8"/>
    </row>
    <row r="555" spans="1:12" x14ac:dyDescent="0.2">
      <c r="A555" s="84" t="s">
        <v>1294</v>
      </c>
      <c r="G555" s="45"/>
      <c r="L555" s="8"/>
    </row>
    <row r="556" spans="1:12" x14ac:dyDescent="0.2">
      <c r="A556" s="84" t="s">
        <v>1295</v>
      </c>
      <c r="G556" s="45"/>
      <c r="L556" s="8"/>
    </row>
    <row r="557" spans="1:12" x14ac:dyDescent="0.2">
      <c r="A557" s="84" t="s">
        <v>1296</v>
      </c>
      <c r="G557" s="45"/>
      <c r="L557" s="8"/>
    </row>
    <row r="558" spans="1:12" x14ac:dyDescent="0.2">
      <c r="A558" s="84" t="s">
        <v>1297</v>
      </c>
      <c r="G558" s="45"/>
      <c r="L558" s="8"/>
    </row>
    <row r="559" spans="1:12" x14ac:dyDescent="0.2">
      <c r="A559" s="84" t="s">
        <v>1298</v>
      </c>
      <c r="G559" s="45"/>
      <c r="L559" s="8"/>
    </row>
    <row r="560" spans="1:12" x14ac:dyDescent="0.2">
      <c r="A560" s="51" t="s">
        <v>812</v>
      </c>
      <c r="G560" s="45"/>
      <c r="L560" s="8"/>
    </row>
    <row r="561" spans="1:12" x14ac:dyDescent="0.2">
      <c r="A561" s="51" t="s">
        <v>815</v>
      </c>
      <c r="G561" s="45"/>
      <c r="L561" s="8"/>
    </row>
    <row r="562" spans="1:12" ht="15" x14ac:dyDescent="0.2">
      <c r="A562" s="82"/>
      <c r="G562" s="45"/>
      <c r="L562" s="8"/>
    </row>
    <row r="563" spans="1:12" x14ac:dyDescent="0.2">
      <c r="A563" s="83" t="s">
        <v>3581</v>
      </c>
      <c r="G563" s="45"/>
      <c r="L563" s="8"/>
    </row>
    <row r="564" spans="1:12" x14ac:dyDescent="0.2">
      <c r="A564" s="84" t="s">
        <v>3582</v>
      </c>
      <c r="G564" s="45"/>
      <c r="L564" s="8"/>
    </row>
    <row r="565" spans="1:12" x14ac:dyDescent="0.2">
      <c r="A565" s="84" t="s">
        <v>3583</v>
      </c>
      <c r="G565" s="45"/>
      <c r="L565" s="8"/>
    </row>
    <row r="566" spans="1:12" x14ac:dyDescent="0.2">
      <c r="A566" s="84" t="s">
        <v>3680</v>
      </c>
      <c r="G566" s="45"/>
      <c r="L566" s="8"/>
    </row>
    <row r="567" spans="1:12" x14ac:dyDescent="0.2">
      <c r="A567" s="84" t="s">
        <v>3681</v>
      </c>
      <c r="G567" s="45"/>
      <c r="L567" s="8"/>
    </row>
    <row r="568" spans="1:12" x14ac:dyDescent="0.2">
      <c r="A568" s="84" t="s">
        <v>3682</v>
      </c>
      <c r="G568" s="45"/>
      <c r="L568" s="8"/>
    </row>
    <row r="569" spans="1:12" x14ac:dyDescent="0.2">
      <c r="A569" s="84" t="s">
        <v>3584</v>
      </c>
      <c r="G569" s="45"/>
      <c r="L569" s="8"/>
    </row>
    <row r="570" spans="1:12" x14ac:dyDescent="0.2">
      <c r="A570" s="51" t="s">
        <v>812</v>
      </c>
      <c r="G570" s="45"/>
      <c r="L570" s="8"/>
    </row>
    <row r="571" spans="1:12" ht="15" x14ac:dyDescent="0.2">
      <c r="A571" s="82"/>
      <c r="G571" s="45"/>
      <c r="L571" s="8"/>
    </row>
    <row r="572" spans="1:12" x14ac:dyDescent="0.2">
      <c r="A572" s="83" t="s">
        <v>311</v>
      </c>
      <c r="G572" s="45"/>
      <c r="L572" s="8"/>
    </row>
    <row r="573" spans="1:12" x14ac:dyDescent="0.2">
      <c r="A573" s="84" t="s">
        <v>1299</v>
      </c>
      <c r="G573" s="45"/>
      <c r="L573" s="8"/>
    </row>
    <row r="574" spans="1:12" x14ac:dyDescent="0.2">
      <c r="A574" s="84" t="s">
        <v>1300</v>
      </c>
      <c r="G574" s="45"/>
      <c r="L574" s="8"/>
    </row>
    <row r="575" spans="1:12" x14ac:dyDescent="0.2">
      <c r="A575" s="84" t="s">
        <v>1301</v>
      </c>
      <c r="G575" s="45"/>
      <c r="L575" s="8"/>
    </row>
    <row r="576" spans="1:12" x14ac:dyDescent="0.2">
      <c r="A576" s="84" t="s">
        <v>1302</v>
      </c>
      <c r="G576" s="45"/>
      <c r="L576" s="8"/>
    </row>
    <row r="577" spans="1:12" x14ac:dyDescent="0.2">
      <c r="A577" s="84" t="s">
        <v>1303</v>
      </c>
      <c r="G577" s="45"/>
      <c r="L577" s="8"/>
    </row>
    <row r="578" spans="1:12" x14ac:dyDescent="0.2">
      <c r="A578" s="84" t="s">
        <v>1304</v>
      </c>
      <c r="G578" s="45"/>
      <c r="L578" s="8"/>
    </row>
    <row r="579" spans="1:12" x14ac:dyDescent="0.2">
      <c r="A579" s="51" t="s">
        <v>812</v>
      </c>
      <c r="G579" s="45"/>
      <c r="L579" s="8"/>
    </row>
    <row r="580" spans="1:12" x14ac:dyDescent="0.2">
      <c r="A580" s="51" t="s">
        <v>815</v>
      </c>
      <c r="G580" s="45"/>
      <c r="L580" s="8"/>
    </row>
    <row r="581" spans="1:12" ht="15" x14ac:dyDescent="0.2">
      <c r="A581" s="82"/>
      <c r="G581" s="45"/>
      <c r="L581" s="8"/>
    </row>
    <row r="582" spans="1:12" x14ac:dyDescent="0.2">
      <c r="A582" s="83" t="s">
        <v>315</v>
      </c>
      <c r="G582" s="45"/>
      <c r="L582" s="8"/>
    </row>
    <row r="583" spans="1:12" x14ac:dyDescent="0.2">
      <c r="A583" s="84" t="s">
        <v>1305</v>
      </c>
      <c r="G583" s="45"/>
      <c r="L583" s="8"/>
    </row>
    <row r="584" spans="1:12" x14ac:dyDescent="0.2">
      <c r="A584" s="84" t="s">
        <v>1306</v>
      </c>
      <c r="G584" s="45"/>
      <c r="L584" s="8"/>
    </row>
    <row r="585" spans="1:12" x14ac:dyDescent="0.2">
      <c r="A585" s="84" t="s">
        <v>1307</v>
      </c>
      <c r="G585" s="45"/>
      <c r="L585" s="8"/>
    </row>
    <row r="586" spans="1:12" x14ac:dyDescent="0.2">
      <c r="A586" s="84" t="s">
        <v>1308</v>
      </c>
      <c r="G586" s="45"/>
      <c r="L586" s="8"/>
    </row>
    <row r="587" spans="1:12" x14ac:dyDescent="0.2">
      <c r="A587" s="84" t="s">
        <v>1309</v>
      </c>
      <c r="G587" s="45"/>
      <c r="L587" s="8"/>
    </row>
    <row r="588" spans="1:12" x14ac:dyDescent="0.2">
      <c r="A588" s="84" t="s">
        <v>1310</v>
      </c>
      <c r="G588" s="45"/>
      <c r="L588" s="8"/>
    </row>
    <row r="589" spans="1:12" x14ac:dyDescent="0.2">
      <c r="A589" s="51" t="s">
        <v>812</v>
      </c>
      <c r="G589" s="45"/>
      <c r="L589" s="8"/>
    </row>
    <row r="590" spans="1:12" x14ac:dyDescent="0.2">
      <c r="A590" s="51" t="s">
        <v>815</v>
      </c>
      <c r="G590" s="45"/>
      <c r="L590" s="8"/>
    </row>
    <row r="591" spans="1:12" ht="15" x14ac:dyDescent="0.2">
      <c r="A591" s="82"/>
      <c r="G591" s="45"/>
      <c r="L591" s="8"/>
    </row>
    <row r="592" spans="1:12" x14ac:dyDescent="0.2">
      <c r="A592" s="83" t="s">
        <v>323</v>
      </c>
      <c r="G592" s="45"/>
      <c r="L592" s="8"/>
    </row>
    <row r="593" spans="1:12" x14ac:dyDescent="0.2">
      <c r="A593" s="84" t="s">
        <v>1311</v>
      </c>
      <c r="G593" s="45"/>
      <c r="L593" s="8"/>
    </row>
    <row r="594" spans="1:12" x14ac:dyDescent="0.2">
      <c r="A594" s="84" t="s">
        <v>1312</v>
      </c>
      <c r="G594" s="45"/>
      <c r="L594" s="8"/>
    </row>
    <row r="595" spans="1:12" x14ac:dyDescent="0.2">
      <c r="A595" s="84" t="s">
        <v>1313</v>
      </c>
      <c r="G595" s="45"/>
      <c r="L595" s="8"/>
    </row>
    <row r="596" spans="1:12" x14ac:dyDescent="0.2">
      <c r="A596" s="84" t="s">
        <v>1193</v>
      </c>
      <c r="G596" s="45"/>
      <c r="L596" s="8"/>
    </row>
    <row r="597" spans="1:12" x14ac:dyDescent="0.2">
      <c r="A597" s="84" t="s">
        <v>1194</v>
      </c>
      <c r="G597" s="45"/>
      <c r="L597" s="8"/>
    </row>
    <row r="598" spans="1:12" x14ac:dyDescent="0.2">
      <c r="A598" s="84" t="s">
        <v>1314</v>
      </c>
      <c r="G598" s="45"/>
      <c r="L598" s="8"/>
    </row>
    <row r="599" spans="1:12" x14ac:dyDescent="0.2">
      <c r="A599" s="51" t="s">
        <v>812</v>
      </c>
      <c r="G599" s="45"/>
      <c r="L599" s="8"/>
    </row>
    <row r="600" spans="1:12" x14ac:dyDescent="0.2">
      <c r="A600" s="51" t="s">
        <v>815</v>
      </c>
      <c r="G600" s="45"/>
      <c r="L600" s="8"/>
    </row>
    <row r="601" spans="1:12" ht="15" x14ac:dyDescent="0.2">
      <c r="A601" s="82"/>
      <c r="G601" s="45"/>
      <c r="L601" s="8"/>
    </row>
    <row r="602" spans="1:12" x14ac:dyDescent="0.2">
      <c r="A602" s="83" t="s">
        <v>362</v>
      </c>
      <c r="G602" s="45"/>
      <c r="L602" s="8"/>
    </row>
    <row r="603" spans="1:12" x14ac:dyDescent="0.2">
      <c r="A603" s="84" t="s">
        <v>1315</v>
      </c>
      <c r="G603" s="45"/>
      <c r="L603" s="8"/>
    </row>
    <row r="604" spans="1:12" x14ac:dyDescent="0.2">
      <c r="A604" s="84" t="s">
        <v>1316</v>
      </c>
      <c r="G604" s="45"/>
      <c r="L604" s="8"/>
    </row>
    <row r="605" spans="1:12" x14ac:dyDescent="0.2">
      <c r="A605" s="84" t="s">
        <v>1317</v>
      </c>
      <c r="G605" s="45"/>
      <c r="L605" s="8"/>
    </row>
    <row r="606" spans="1:12" x14ac:dyDescent="0.2">
      <c r="A606" s="84" t="s">
        <v>1318</v>
      </c>
      <c r="G606" s="45"/>
      <c r="L606" s="8"/>
    </row>
    <row r="607" spans="1:12" x14ac:dyDescent="0.2">
      <c r="A607" s="84" t="s">
        <v>1319</v>
      </c>
      <c r="G607" s="45"/>
      <c r="L607" s="8"/>
    </row>
    <row r="608" spans="1:12" x14ac:dyDescent="0.2">
      <c r="A608" s="84" t="s">
        <v>1320</v>
      </c>
      <c r="G608" s="45"/>
      <c r="L608" s="8"/>
    </row>
    <row r="609" spans="1:12" x14ac:dyDescent="0.2">
      <c r="A609" s="51" t="s">
        <v>812</v>
      </c>
      <c r="G609" s="45"/>
      <c r="L609" s="8"/>
    </row>
    <row r="610" spans="1:12" x14ac:dyDescent="0.2">
      <c r="A610" s="51" t="s">
        <v>815</v>
      </c>
      <c r="G610" s="45"/>
      <c r="L610" s="8"/>
    </row>
    <row r="611" spans="1:12" ht="15" x14ac:dyDescent="0.2">
      <c r="A611" s="82"/>
      <c r="G611" s="45"/>
      <c r="L611" s="8"/>
    </row>
    <row r="612" spans="1:12" x14ac:dyDescent="0.2">
      <c r="A612" s="83" t="s">
        <v>331</v>
      </c>
      <c r="G612" s="45"/>
      <c r="L612" s="8"/>
    </row>
    <row r="613" spans="1:12" x14ac:dyDescent="0.2">
      <c r="A613" s="84" t="s">
        <v>1321</v>
      </c>
      <c r="G613" s="45"/>
      <c r="L613" s="8"/>
    </row>
    <row r="614" spans="1:12" x14ac:dyDescent="0.2">
      <c r="A614" s="84" t="s">
        <v>1322</v>
      </c>
      <c r="G614" s="45"/>
      <c r="L614" s="8"/>
    </row>
    <row r="615" spans="1:12" x14ac:dyDescent="0.2">
      <c r="A615" s="84" t="s">
        <v>1323</v>
      </c>
      <c r="G615" s="45"/>
      <c r="L615" s="8"/>
    </row>
    <row r="616" spans="1:12" x14ac:dyDescent="0.2">
      <c r="A616" s="84" t="s">
        <v>1290</v>
      </c>
      <c r="G616" s="45"/>
      <c r="L616" s="8"/>
    </row>
    <row r="617" spans="1:12" x14ac:dyDescent="0.2">
      <c r="A617" s="84" t="s">
        <v>1324</v>
      </c>
      <c r="G617" s="45"/>
      <c r="L617" s="8"/>
    </row>
    <row r="618" spans="1:12" x14ac:dyDescent="0.2">
      <c r="A618" s="84" t="s">
        <v>1325</v>
      </c>
      <c r="G618" s="45"/>
      <c r="L618" s="8"/>
    </row>
    <row r="619" spans="1:12" x14ac:dyDescent="0.2">
      <c r="A619" s="51" t="s">
        <v>812</v>
      </c>
      <c r="G619" s="45"/>
      <c r="L619" s="8"/>
    </row>
    <row r="620" spans="1:12" x14ac:dyDescent="0.2">
      <c r="A620" s="51" t="s">
        <v>815</v>
      </c>
      <c r="G620" s="45"/>
      <c r="L620" s="8"/>
    </row>
    <row r="621" spans="1:12" ht="15" x14ac:dyDescent="0.2">
      <c r="A621" s="82"/>
      <c r="G621" s="45"/>
      <c r="L621" s="8"/>
    </row>
    <row r="622" spans="1:12" x14ac:dyDescent="0.2">
      <c r="A622" s="83" t="s">
        <v>335</v>
      </c>
      <c r="G622" s="45"/>
      <c r="L622" s="8"/>
    </row>
    <row r="623" spans="1:12" x14ac:dyDescent="0.2">
      <c r="A623" s="84" t="s">
        <v>1326</v>
      </c>
      <c r="G623" s="45"/>
      <c r="L623" s="8"/>
    </row>
    <row r="624" spans="1:12" x14ac:dyDescent="0.2">
      <c r="A624" s="84" t="s">
        <v>1327</v>
      </c>
      <c r="G624" s="45"/>
      <c r="L624" s="8"/>
    </row>
    <row r="625" spans="1:12" x14ac:dyDescent="0.2">
      <c r="A625" s="84" t="s">
        <v>1328</v>
      </c>
      <c r="G625" s="45"/>
      <c r="L625" s="8"/>
    </row>
    <row r="626" spans="1:12" x14ac:dyDescent="0.2">
      <c r="A626" s="84" t="s">
        <v>1290</v>
      </c>
      <c r="G626" s="45"/>
      <c r="L626" s="8"/>
    </row>
    <row r="627" spans="1:12" x14ac:dyDescent="0.2">
      <c r="A627" s="84" t="s">
        <v>1324</v>
      </c>
      <c r="G627" s="45"/>
      <c r="L627" s="8"/>
    </row>
    <row r="628" spans="1:12" x14ac:dyDescent="0.2">
      <c r="A628" s="84" t="s">
        <v>834</v>
      </c>
      <c r="G628" s="45"/>
      <c r="L628" s="8"/>
    </row>
    <row r="629" spans="1:12" x14ac:dyDescent="0.2">
      <c r="A629" s="51" t="s">
        <v>812</v>
      </c>
      <c r="G629" s="45"/>
      <c r="L629" s="8"/>
    </row>
    <row r="630" spans="1:12" x14ac:dyDescent="0.2">
      <c r="A630" s="51" t="s">
        <v>815</v>
      </c>
      <c r="G630" s="45"/>
      <c r="L630" s="8"/>
    </row>
    <row r="631" spans="1:12" ht="15" x14ac:dyDescent="0.2">
      <c r="A631" s="82"/>
      <c r="G631" s="45"/>
      <c r="L631" s="8"/>
    </row>
    <row r="632" spans="1:12" x14ac:dyDescent="0.2">
      <c r="A632" s="83" t="s">
        <v>341</v>
      </c>
      <c r="G632" s="45"/>
      <c r="L632" s="8"/>
    </row>
    <row r="633" spans="1:12" x14ac:dyDescent="0.2">
      <c r="A633" s="84" t="s">
        <v>1329</v>
      </c>
      <c r="G633" s="45"/>
      <c r="L633" s="8"/>
    </row>
    <row r="634" spans="1:12" x14ac:dyDescent="0.2">
      <c r="A634" s="84" t="s">
        <v>1330</v>
      </c>
      <c r="G634" s="45"/>
      <c r="L634" s="8"/>
    </row>
    <row r="635" spans="1:12" x14ac:dyDescent="0.2">
      <c r="A635" s="84" t="s">
        <v>1331</v>
      </c>
      <c r="G635" s="45"/>
      <c r="L635" s="8"/>
    </row>
    <row r="636" spans="1:12" x14ac:dyDescent="0.2">
      <c r="A636" s="84" t="s">
        <v>1332</v>
      </c>
      <c r="G636" s="45"/>
      <c r="L636" s="8"/>
    </row>
    <row r="637" spans="1:12" x14ac:dyDescent="0.2">
      <c r="A637" s="84" t="s">
        <v>1333</v>
      </c>
      <c r="G637" s="45"/>
      <c r="L637" s="8"/>
    </row>
    <row r="638" spans="1:12" x14ac:dyDescent="0.2">
      <c r="A638" s="84" t="s">
        <v>1334</v>
      </c>
      <c r="G638" s="45"/>
      <c r="L638" s="8"/>
    </row>
    <row r="639" spans="1:12" x14ac:dyDescent="0.2">
      <c r="A639" s="51" t="s">
        <v>812</v>
      </c>
      <c r="G639" s="45"/>
      <c r="L639" s="8"/>
    </row>
    <row r="640" spans="1:12" x14ac:dyDescent="0.2">
      <c r="A640" s="51" t="s">
        <v>815</v>
      </c>
      <c r="G640" s="45"/>
      <c r="L640" s="8"/>
    </row>
    <row r="641" spans="1:12" ht="15" x14ac:dyDescent="0.2">
      <c r="A641" s="82"/>
      <c r="G641" s="45"/>
      <c r="L641" s="8"/>
    </row>
    <row r="642" spans="1:12" x14ac:dyDescent="0.2">
      <c r="A642" s="83" t="s">
        <v>3585</v>
      </c>
      <c r="G642" s="45"/>
      <c r="L642" s="8"/>
    </row>
    <row r="643" spans="1:12" x14ac:dyDescent="0.2">
      <c r="A643" s="84" t="s">
        <v>1335</v>
      </c>
      <c r="G643" s="45"/>
      <c r="L643" s="8"/>
    </row>
    <row r="644" spans="1:12" x14ac:dyDescent="0.2">
      <c r="A644" s="84" t="s">
        <v>1336</v>
      </c>
      <c r="G644" s="45"/>
      <c r="L644" s="8"/>
    </row>
    <row r="645" spans="1:12" x14ac:dyDescent="0.2">
      <c r="A645" s="84" t="s">
        <v>1337</v>
      </c>
      <c r="G645" s="45"/>
      <c r="L645" s="8"/>
    </row>
    <row r="646" spans="1:12" x14ac:dyDescent="0.2">
      <c r="A646" s="84" t="s">
        <v>1338</v>
      </c>
      <c r="G646" s="45"/>
      <c r="L646" s="8"/>
    </row>
    <row r="647" spans="1:12" x14ac:dyDescent="0.2">
      <c r="A647" s="84" t="s">
        <v>1339</v>
      </c>
      <c r="G647" s="45"/>
      <c r="L647" s="8"/>
    </row>
    <row r="648" spans="1:12" x14ac:dyDescent="0.2">
      <c r="A648" s="84" t="s">
        <v>1340</v>
      </c>
      <c r="G648" s="45"/>
      <c r="L648" s="8"/>
    </row>
    <row r="649" spans="1:12" x14ac:dyDescent="0.2">
      <c r="A649" s="51" t="s">
        <v>812</v>
      </c>
      <c r="G649" s="45"/>
      <c r="L649" s="8"/>
    </row>
    <row r="650" spans="1:12" x14ac:dyDescent="0.2">
      <c r="A650" s="51" t="s">
        <v>815</v>
      </c>
      <c r="G650" s="45"/>
      <c r="L650" s="8"/>
    </row>
    <row r="651" spans="1:12" ht="15" x14ac:dyDescent="0.2">
      <c r="A651" s="82"/>
      <c r="G651" s="45"/>
      <c r="L651" s="8"/>
    </row>
    <row r="652" spans="1:12" x14ac:dyDescent="0.2">
      <c r="A652" s="83" t="s">
        <v>3683</v>
      </c>
      <c r="G652" s="45"/>
      <c r="L652" s="8"/>
    </row>
    <row r="653" spans="1:12" x14ac:dyDescent="0.2">
      <c r="A653" s="84" t="s">
        <v>3684</v>
      </c>
      <c r="G653" s="45"/>
      <c r="L653" s="8"/>
    </row>
    <row r="654" spans="1:12" x14ac:dyDescent="0.2">
      <c r="A654" s="84" t="s">
        <v>3685</v>
      </c>
      <c r="G654" s="45"/>
      <c r="L654" s="8"/>
    </row>
    <row r="655" spans="1:12" x14ac:dyDescent="0.2">
      <c r="A655" s="84" t="s">
        <v>3686</v>
      </c>
      <c r="G655" s="45"/>
      <c r="L655" s="8"/>
    </row>
    <row r="656" spans="1:12" x14ac:dyDescent="0.2">
      <c r="A656" s="84" t="s">
        <v>1338</v>
      </c>
      <c r="G656" s="45"/>
      <c r="L656" s="8"/>
    </row>
    <row r="657" spans="1:12" x14ac:dyDescent="0.2">
      <c r="A657" s="84" t="s">
        <v>1339</v>
      </c>
      <c r="G657" s="45"/>
      <c r="L657" s="8"/>
    </row>
    <row r="658" spans="1:12" x14ac:dyDescent="0.2">
      <c r="A658" s="84" t="s">
        <v>834</v>
      </c>
      <c r="G658" s="45"/>
      <c r="L658" s="8"/>
    </row>
    <row r="659" spans="1:12" x14ac:dyDescent="0.2">
      <c r="A659" s="51" t="s">
        <v>812</v>
      </c>
      <c r="G659" s="45"/>
      <c r="L659" s="8"/>
    </row>
    <row r="660" spans="1:12" x14ac:dyDescent="0.2">
      <c r="A660" s="51" t="s">
        <v>815</v>
      </c>
      <c r="G660" s="45"/>
      <c r="L660" s="8"/>
    </row>
    <row r="661" spans="1:12" ht="15" x14ac:dyDescent="0.2">
      <c r="A661" s="82"/>
      <c r="G661" s="45"/>
      <c r="L661" s="8"/>
    </row>
    <row r="662" spans="1:12" x14ac:dyDescent="0.2">
      <c r="A662" s="83" t="s">
        <v>349</v>
      </c>
      <c r="G662" s="45"/>
      <c r="L662" s="8"/>
    </row>
    <row r="663" spans="1:12" x14ac:dyDescent="0.2">
      <c r="A663" s="84" t="s">
        <v>1341</v>
      </c>
      <c r="G663" s="45"/>
      <c r="L663" s="8"/>
    </row>
    <row r="664" spans="1:12" x14ac:dyDescent="0.2">
      <c r="A664" s="84" t="s">
        <v>1342</v>
      </c>
      <c r="G664" s="45"/>
      <c r="L664" s="8"/>
    </row>
    <row r="665" spans="1:12" x14ac:dyDescent="0.2">
      <c r="A665" s="84" t="s">
        <v>1343</v>
      </c>
      <c r="G665" s="45"/>
      <c r="L665" s="8"/>
    </row>
    <row r="666" spans="1:12" x14ac:dyDescent="0.2">
      <c r="A666" s="84" t="s">
        <v>1338</v>
      </c>
      <c r="G666" s="45"/>
      <c r="L666" s="8"/>
    </row>
    <row r="667" spans="1:12" x14ac:dyDescent="0.2">
      <c r="A667" s="84" t="s">
        <v>1344</v>
      </c>
      <c r="G667" s="45"/>
      <c r="L667" s="8"/>
    </row>
    <row r="668" spans="1:12" x14ac:dyDescent="0.2">
      <c r="A668" s="84" t="s">
        <v>1345</v>
      </c>
      <c r="G668" s="45"/>
      <c r="L668" s="8"/>
    </row>
    <row r="669" spans="1:12" x14ac:dyDescent="0.2">
      <c r="A669" s="51" t="s">
        <v>812</v>
      </c>
      <c r="G669" s="45"/>
      <c r="L669" s="8"/>
    </row>
    <row r="670" spans="1:12" x14ac:dyDescent="0.2">
      <c r="A670" s="51" t="s">
        <v>815</v>
      </c>
      <c r="G670" s="45"/>
      <c r="L670" s="8"/>
    </row>
    <row r="671" spans="1:12" ht="15" x14ac:dyDescent="0.2">
      <c r="A671" s="82"/>
      <c r="G671" s="45"/>
      <c r="L671" s="8"/>
    </row>
    <row r="672" spans="1:12" x14ac:dyDescent="0.2">
      <c r="A672" s="83" t="s">
        <v>354</v>
      </c>
      <c r="G672" s="45"/>
      <c r="L672" s="8"/>
    </row>
    <row r="673" spans="1:12" x14ac:dyDescent="0.2">
      <c r="A673" s="84" t="s">
        <v>1346</v>
      </c>
      <c r="G673" s="45"/>
      <c r="L673" s="8"/>
    </row>
    <row r="674" spans="1:12" x14ac:dyDescent="0.2">
      <c r="A674" s="84" t="s">
        <v>1347</v>
      </c>
      <c r="G674" s="45"/>
      <c r="L674" s="8"/>
    </row>
    <row r="675" spans="1:12" x14ac:dyDescent="0.2">
      <c r="A675" s="84" t="s">
        <v>1348</v>
      </c>
      <c r="G675" s="45"/>
      <c r="L675" s="8"/>
    </row>
    <row r="676" spans="1:12" x14ac:dyDescent="0.2">
      <c r="A676" s="84" t="s">
        <v>1349</v>
      </c>
      <c r="G676" s="45"/>
      <c r="L676" s="8"/>
    </row>
    <row r="677" spans="1:12" x14ac:dyDescent="0.2">
      <c r="A677" s="84" t="s">
        <v>1350</v>
      </c>
      <c r="G677" s="45"/>
      <c r="L677" s="8"/>
    </row>
    <row r="678" spans="1:12" x14ac:dyDescent="0.2">
      <c r="A678" s="84" t="s">
        <v>1351</v>
      </c>
      <c r="G678" s="45"/>
      <c r="L678" s="8"/>
    </row>
    <row r="679" spans="1:12" x14ac:dyDescent="0.2">
      <c r="A679" s="51" t="s">
        <v>812</v>
      </c>
      <c r="G679" s="45"/>
      <c r="L679" s="8"/>
    </row>
    <row r="680" spans="1:12" ht="15" x14ac:dyDescent="0.2">
      <c r="A680" s="82"/>
      <c r="G680" s="45"/>
      <c r="L680" s="8"/>
    </row>
    <row r="681" spans="1:12" x14ac:dyDescent="0.2">
      <c r="A681" s="83" t="s">
        <v>358</v>
      </c>
      <c r="G681" s="45"/>
      <c r="L681" s="8"/>
    </row>
    <row r="682" spans="1:12" x14ac:dyDescent="0.2">
      <c r="A682" s="84" t="s">
        <v>1352</v>
      </c>
      <c r="G682" s="45"/>
      <c r="L682" s="8"/>
    </row>
    <row r="683" spans="1:12" x14ac:dyDescent="0.2">
      <c r="A683" s="84" t="s">
        <v>1353</v>
      </c>
      <c r="G683" s="45"/>
      <c r="L683" s="8"/>
    </row>
    <row r="684" spans="1:12" x14ac:dyDescent="0.2">
      <c r="A684" s="84" t="s">
        <v>3687</v>
      </c>
      <c r="G684" s="45"/>
      <c r="L684" s="8"/>
    </row>
    <row r="685" spans="1:12" x14ac:dyDescent="0.2">
      <c r="A685" s="84" t="s">
        <v>1349</v>
      </c>
      <c r="G685" s="45"/>
      <c r="L685" s="8"/>
    </row>
    <row r="686" spans="1:12" x14ac:dyDescent="0.2">
      <c r="A686" s="84" t="s">
        <v>1350</v>
      </c>
      <c r="G686" s="45"/>
      <c r="L686" s="8"/>
    </row>
    <row r="687" spans="1:12" x14ac:dyDescent="0.2">
      <c r="A687" s="84" t="s">
        <v>1354</v>
      </c>
      <c r="G687" s="45"/>
      <c r="L687" s="8"/>
    </row>
    <row r="688" spans="1:12" x14ac:dyDescent="0.2">
      <c r="A688" s="51" t="s">
        <v>812</v>
      </c>
      <c r="G688" s="45"/>
      <c r="L688" s="8"/>
    </row>
    <row r="689" spans="1:12" x14ac:dyDescent="0.2">
      <c r="A689" s="51" t="s">
        <v>815</v>
      </c>
      <c r="G689" s="45"/>
      <c r="L689" s="8"/>
    </row>
    <row r="690" spans="1:12" ht="15" x14ac:dyDescent="0.2">
      <c r="A690" s="82"/>
      <c r="G690" s="45"/>
      <c r="L690" s="8"/>
    </row>
    <row r="691" spans="1:12" x14ac:dyDescent="0.2">
      <c r="A691" s="83" t="s">
        <v>543</v>
      </c>
      <c r="G691" s="45"/>
      <c r="L691" s="8"/>
    </row>
    <row r="692" spans="1:12" x14ac:dyDescent="0.2">
      <c r="A692" s="84" t="s">
        <v>1355</v>
      </c>
      <c r="G692" s="45"/>
      <c r="L692" s="8"/>
    </row>
    <row r="693" spans="1:12" x14ac:dyDescent="0.2">
      <c r="A693" s="84" t="s">
        <v>1356</v>
      </c>
      <c r="G693" s="45"/>
      <c r="L693" s="8"/>
    </row>
    <row r="694" spans="1:12" x14ac:dyDescent="0.2">
      <c r="A694" s="84" t="s">
        <v>1357</v>
      </c>
      <c r="G694" s="45"/>
      <c r="L694" s="8"/>
    </row>
    <row r="695" spans="1:12" x14ac:dyDescent="0.2">
      <c r="A695" s="84" t="s">
        <v>1358</v>
      </c>
      <c r="G695" s="45"/>
      <c r="L695" s="8"/>
    </row>
    <row r="696" spans="1:12" x14ac:dyDescent="0.2">
      <c r="A696" s="84" t="s">
        <v>1359</v>
      </c>
      <c r="G696" s="45"/>
      <c r="L696" s="8"/>
    </row>
    <row r="697" spans="1:12" x14ac:dyDescent="0.2">
      <c r="A697" s="84" t="s">
        <v>1360</v>
      </c>
      <c r="G697" s="45"/>
      <c r="L697" s="8"/>
    </row>
    <row r="698" spans="1:12" x14ac:dyDescent="0.2">
      <c r="A698" s="51" t="s">
        <v>812</v>
      </c>
      <c r="G698" s="45"/>
      <c r="L698" s="8"/>
    </row>
    <row r="699" spans="1:12" ht="15" x14ac:dyDescent="0.2">
      <c r="A699" s="82"/>
      <c r="G699" s="45"/>
      <c r="L699" s="8"/>
    </row>
    <row r="700" spans="1:12" x14ac:dyDescent="0.2">
      <c r="A700" s="83" t="s">
        <v>487</v>
      </c>
      <c r="G700" s="45"/>
      <c r="L700" s="8"/>
    </row>
    <row r="701" spans="1:12" x14ac:dyDescent="0.2">
      <c r="A701" s="84" t="s">
        <v>1361</v>
      </c>
      <c r="G701" s="45"/>
      <c r="L701" s="8"/>
    </row>
    <row r="702" spans="1:12" x14ac:dyDescent="0.2">
      <c r="A702" s="84" t="s">
        <v>1362</v>
      </c>
      <c r="G702" s="45"/>
      <c r="L702" s="8"/>
    </row>
    <row r="703" spans="1:12" x14ac:dyDescent="0.2">
      <c r="A703" s="84" t="s">
        <v>1363</v>
      </c>
      <c r="G703" s="45"/>
      <c r="L703" s="8"/>
    </row>
    <row r="704" spans="1:12" x14ac:dyDescent="0.2">
      <c r="A704" s="84" t="s">
        <v>1364</v>
      </c>
      <c r="G704" s="45"/>
      <c r="L704" s="8"/>
    </row>
    <row r="705" spans="1:12" x14ac:dyDescent="0.2">
      <c r="A705" s="84" t="s">
        <v>1365</v>
      </c>
      <c r="G705" s="45"/>
      <c r="L705" s="8"/>
    </row>
    <row r="706" spans="1:12" x14ac:dyDescent="0.2">
      <c r="A706" s="84" t="s">
        <v>1366</v>
      </c>
      <c r="G706" s="45"/>
      <c r="L706" s="8"/>
    </row>
    <row r="707" spans="1:12" x14ac:dyDescent="0.2">
      <c r="A707" s="51" t="s">
        <v>812</v>
      </c>
      <c r="G707" s="45"/>
      <c r="L707" s="8"/>
    </row>
    <row r="708" spans="1:12" ht="15" x14ac:dyDescent="0.2">
      <c r="A708" s="82"/>
      <c r="G708" s="45"/>
      <c r="L708" s="8"/>
    </row>
    <row r="709" spans="1:12" x14ac:dyDescent="0.2">
      <c r="A709" s="83" t="s">
        <v>366</v>
      </c>
      <c r="G709" s="45"/>
      <c r="L709" s="8"/>
    </row>
    <row r="710" spans="1:12" x14ac:dyDescent="0.2">
      <c r="A710" s="84" t="s">
        <v>1367</v>
      </c>
      <c r="G710" s="45"/>
      <c r="L710" s="8"/>
    </row>
    <row r="711" spans="1:12" x14ac:dyDescent="0.2">
      <c r="A711" s="84" t="s">
        <v>1368</v>
      </c>
      <c r="G711" s="45"/>
      <c r="L711" s="8"/>
    </row>
    <row r="712" spans="1:12" x14ac:dyDescent="0.2">
      <c r="A712" s="84" t="s">
        <v>1369</v>
      </c>
      <c r="G712" s="45"/>
      <c r="L712" s="8"/>
    </row>
    <row r="713" spans="1:12" x14ac:dyDescent="0.2">
      <c r="A713" s="84" t="s">
        <v>1318</v>
      </c>
      <c r="G713" s="45"/>
      <c r="L713" s="8"/>
    </row>
    <row r="714" spans="1:12" x14ac:dyDescent="0.2">
      <c r="A714" s="84" t="s">
        <v>1319</v>
      </c>
      <c r="G714" s="45"/>
      <c r="L714" s="8"/>
    </row>
    <row r="715" spans="1:12" x14ac:dyDescent="0.2">
      <c r="A715" s="84" t="s">
        <v>1370</v>
      </c>
      <c r="G715" s="45"/>
      <c r="L715" s="8"/>
    </row>
    <row r="716" spans="1:12" x14ac:dyDescent="0.2">
      <c r="A716" s="51" t="s">
        <v>812</v>
      </c>
      <c r="G716" s="45"/>
      <c r="L716" s="8"/>
    </row>
    <row r="717" spans="1:12" x14ac:dyDescent="0.2">
      <c r="A717" s="51" t="s">
        <v>815</v>
      </c>
      <c r="G717" s="45"/>
      <c r="L717" s="8"/>
    </row>
    <row r="718" spans="1:12" ht="15" x14ac:dyDescent="0.2">
      <c r="A718" s="82"/>
      <c r="G718" s="45"/>
      <c r="L718" s="8"/>
    </row>
    <row r="719" spans="1:12" x14ac:dyDescent="0.2">
      <c r="A719" s="83" t="s">
        <v>211</v>
      </c>
      <c r="G719" s="45"/>
      <c r="L719" s="8"/>
    </row>
    <row r="720" spans="1:12" x14ac:dyDescent="0.2">
      <c r="A720" s="84" t="s">
        <v>1371</v>
      </c>
      <c r="G720" s="45"/>
      <c r="L720" s="8"/>
    </row>
    <row r="721" spans="1:12" x14ac:dyDescent="0.2">
      <c r="A721" s="84" t="s">
        <v>1372</v>
      </c>
      <c r="G721" s="45"/>
      <c r="L721" s="8"/>
    </row>
    <row r="722" spans="1:12" x14ac:dyDescent="0.2">
      <c r="A722" s="84" t="s">
        <v>3688</v>
      </c>
      <c r="G722" s="45"/>
      <c r="L722" s="8"/>
    </row>
    <row r="723" spans="1:12" x14ac:dyDescent="0.2">
      <c r="A723" s="84" t="s">
        <v>1163</v>
      </c>
      <c r="G723" s="45"/>
      <c r="L723" s="8"/>
    </row>
    <row r="724" spans="1:12" x14ac:dyDescent="0.2">
      <c r="A724" s="84" t="s">
        <v>3015</v>
      </c>
      <c r="G724" s="45"/>
      <c r="L724" s="8"/>
    </row>
    <row r="725" spans="1:12" x14ac:dyDescent="0.2">
      <c r="A725" s="84" t="s">
        <v>1373</v>
      </c>
      <c r="G725" s="45"/>
      <c r="L725" s="8"/>
    </row>
    <row r="726" spans="1:12" x14ac:dyDescent="0.2">
      <c r="A726" s="51" t="s">
        <v>812</v>
      </c>
      <c r="G726" s="45"/>
      <c r="L726" s="8"/>
    </row>
    <row r="727" spans="1:12" ht="15" x14ac:dyDescent="0.2">
      <c r="A727" s="82"/>
      <c r="G727" s="45"/>
      <c r="L727" s="8"/>
    </row>
    <row r="728" spans="1:12" x14ac:dyDescent="0.2">
      <c r="A728" s="83" t="s">
        <v>411</v>
      </c>
      <c r="G728" s="45"/>
      <c r="L728" s="8"/>
    </row>
    <row r="729" spans="1:12" x14ac:dyDescent="0.2">
      <c r="A729" s="84" t="s">
        <v>1374</v>
      </c>
      <c r="G729" s="45"/>
      <c r="L729" s="8"/>
    </row>
    <row r="730" spans="1:12" x14ac:dyDescent="0.2">
      <c r="A730" s="84" t="s">
        <v>1375</v>
      </c>
      <c r="G730" s="45"/>
      <c r="L730" s="8"/>
    </row>
    <row r="731" spans="1:12" x14ac:dyDescent="0.2">
      <c r="A731" s="84" t="s">
        <v>1204</v>
      </c>
      <c r="G731" s="45"/>
      <c r="L731" s="8"/>
    </row>
    <row r="732" spans="1:12" x14ac:dyDescent="0.2">
      <c r="A732" s="84" t="s">
        <v>914</v>
      </c>
      <c r="G732" s="45"/>
      <c r="L732" s="8"/>
    </row>
    <row r="733" spans="1:12" x14ac:dyDescent="0.2">
      <c r="A733" s="84" t="s">
        <v>1133</v>
      </c>
      <c r="G733" s="45"/>
      <c r="L733" s="8"/>
    </row>
    <row r="734" spans="1:12" x14ac:dyDescent="0.2">
      <c r="A734" s="84" t="s">
        <v>1376</v>
      </c>
      <c r="G734" s="45"/>
      <c r="L734" s="8"/>
    </row>
    <row r="735" spans="1:12" x14ac:dyDescent="0.2">
      <c r="A735" s="51" t="s">
        <v>812</v>
      </c>
      <c r="G735" s="45"/>
      <c r="L735" s="8"/>
    </row>
    <row r="736" spans="1:12" ht="15" x14ac:dyDescent="0.2">
      <c r="A736" s="82"/>
      <c r="G736" s="45"/>
      <c r="L736" s="8"/>
    </row>
    <row r="737" spans="1:12" x14ac:dyDescent="0.2">
      <c r="A737" s="83" t="s">
        <v>3689</v>
      </c>
      <c r="G737" s="45"/>
      <c r="L737" s="8"/>
    </row>
    <row r="738" spans="1:12" x14ac:dyDescent="0.2">
      <c r="A738" s="84" t="s">
        <v>1377</v>
      </c>
      <c r="G738" s="45"/>
      <c r="L738" s="8"/>
    </row>
    <row r="739" spans="1:12" x14ac:dyDescent="0.2">
      <c r="A739" s="84" t="s">
        <v>1378</v>
      </c>
      <c r="G739" s="45"/>
      <c r="L739" s="8"/>
    </row>
    <row r="740" spans="1:12" x14ac:dyDescent="0.2">
      <c r="A740" s="84" t="s">
        <v>1379</v>
      </c>
      <c r="G740" s="45"/>
      <c r="L740" s="8"/>
    </row>
    <row r="741" spans="1:12" x14ac:dyDescent="0.2">
      <c r="A741" s="84" t="s">
        <v>914</v>
      </c>
      <c r="G741" s="45"/>
      <c r="L741" s="8"/>
    </row>
    <row r="742" spans="1:12" x14ac:dyDescent="0.2">
      <c r="A742" s="84" t="s">
        <v>1380</v>
      </c>
      <c r="G742" s="45"/>
      <c r="L742" s="8"/>
    </row>
    <row r="743" spans="1:12" x14ac:dyDescent="0.2">
      <c r="A743" s="84" t="s">
        <v>1381</v>
      </c>
      <c r="G743" s="45"/>
      <c r="L743" s="8"/>
    </row>
    <row r="744" spans="1:12" x14ac:dyDescent="0.2">
      <c r="A744" s="51" t="s">
        <v>812</v>
      </c>
      <c r="G744" s="45"/>
      <c r="L744" s="8"/>
    </row>
    <row r="745" spans="1:12" ht="15" x14ac:dyDescent="0.2">
      <c r="A745" s="82"/>
      <c r="G745" s="45"/>
      <c r="L745" s="8"/>
    </row>
    <row r="746" spans="1:12" x14ac:dyDescent="0.2">
      <c r="A746" s="83" t="s">
        <v>397</v>
      </c>
      <c r="G746" s="45"/>
      <c r="L746" s="8"/>
    </row>
    <row r="747" spans="1:12" x14ac:dyDescent="0.2">
      <c r="A747" s="84" t="s">
        <v>1382</v>
      </c>
      <c r="G747" s="45"/>
      <c r="L747" s="8"/>
    </row>
    <row r="748" spans="1:12" x14ac:dyDescent="0.2">
      <c r="A748" s="84" t="s">
        <v>1383</v>
      </c>
      <c r="G748" s="45"/>
      <c r="L748" s="8"/>
    </row>
    <row r="749" spans="1:12" x14ac:dyDescent="0.2">
      <c r="A749" s="84" t="s">
        <v>1379</v>
      </c>
      <c r="G749" s="45"/>
      <c r="L749" s="8"/>
    </row>
    <row r="750" spans="1:12" x14ac:dyDescent="0.2">
      <c r="A750" s="84" t="s">
        <v>914</v>
      </c>
      <c r="G750" s="45"/>
      <c r="L750" s="8"/>
    </row>
    <row r="751" spans="1:12" x14ac:dyDescent="0.2">
      <c r="A751" s="84" t="s">
        <v>1380</v>
      </c>
      <c r="G751" s="45"/>
      <c r="L751" s="8"/>
    </row>
    <row r="752" spans="1:12" x14ac:dyDescent="0.2">
      <c r="A752" s="84" t="s">
        <v>1384</v>
      </c>
      <c r="G752" s="45"/>
      <c r="L752" s="8"/>
    </row>
    <row r="753" spans="1:12" x14ac:dyDescent="0.2">
      <c r="A753" s="51" t="s">
        <v>812</v>
      </c>
      <c r="G753" s="45"/>
      <c r="L753" s="8"/>
    </row>
    <row r="754" spans="1:12" ht="15" x14ac:dyDescent="0.2">
      <c r="A754" s="82"/>
      <c r="G754" s="45"/>
      <c r="L754" s="8"/>
    </row>
    <row r="755" spans="1:12" x14ac:dyDescent="0.2">
      <c r="A755" s="83" t="s">
        <v>405</v>
      </c>
      <c r="G755" s="45"/>
      <c r="L755" s="8"/>
    </row>
    <row r="756" spans="1:12" x14ac:dyDescent="0.2">
      <c r="A756" s="84" t="s">
        <v>1385</v>
      </c>
      <c r="G756" s="45"/>
      <c r="L756" s="8"/>
    </row>
    <row r="757" spans="1:12" x14ac:dyDescent="0.2">
      <c r="A757" s="84" t="s">
        <v>1386</v>
      </c>
      <c r="G757" s="45"/>
      <c r="L757" s="8"/>
    </row>
    <row r="758" spans="1:12" x14ac:dyDescent="0.2">
      <c r="A758" s="84" t="s">
        <v>3586</v>
      </c>
      <c r="G758" s="45"/>
      <c r="L758" s="8"/>
    </row>
    <row r="759" spans="1:12" x14ac:dyDescent="0.2">
      <c r="A759" s="84" t="s">
        <v>914</v>
      </c>
      <c r="G759" s="45"/>
      <c r="L759" s="8"/>
    </row>
    <row r="760" spans="1:12" x14ac:dyDescent="0.2">
      <c r="A760" s="84" t="s">
        <v>1133</v>
      </c>
      <c r="G760" s="45"/>
      <c r="L760" s="8"/>
    </row>
    <row r="761" spans="1:12" x14ac:dyDescent="0.2">
      <c r="A761" s="84" t="s">
        <v>1387</v>
      </c>
      <c r="G761" s="45"/>
      <c r="L761" s="8"/>
    </row>
    <row r="762" spans="1:12" x14ac:dyDescent="0.2">
      <c r="A762" s="51" t="s">
        <v>812</v>
      </c>
      <c r="G762" s="45"/>
      <c r="L762" s="8"/>
    </row>
    <row r="763" spans="1:12" x14ac:dyDescent="0.2">
      <c r="A763" s="51" t="s">
        <v>815</v>
      </c>
      <c r="G763" s="45"/>
      <c r="L763" s="8"/>
    </row>
    <row r="764" spans="1:12" ht="15" x14ac:dyDescent="0.2">
      <c r="A764" s="82"/>
      <c r="G764" s="45"/>
      <c r="L764" s="8"/>
    </row>
    <row r="765" spans="1:12" x14ac:dyDescent="0.2">
      <c r="A765" s="83" t="s">
        <v>408</v>
      </c>
      <c r="G765" s="45"/>
      <c r="L765" s="8"/>
    </row>
    <row r="766" spans="1:12" x14ac:dyDescent="0.2">
      <c r="A766" s="84" t="s">
        <v>1388</v>
      </c>
      <c r="G766" s="45"/>
      <c r="L766" s="8"/>
    </row>
    <row r="767" spans="1:12" x14ac:dyDescent="0.2">
      <c r="A767" s="84" t="s">
        <v>1389</v>
      </c>
      <c r="G767" s="45"/>
      <c r="L767" s="8"/>
    </row>
    <row r="768" spans="1:12" x14ac:dyDescent="0.2">
      <c r="A768" s="84" t="s">
        <v>3586</v>
      </c>
      <c r="G768" s="45"/>
      <c r="L768" s="8"/>
    </row>
    <row r="769" spans="1:12" x14ac:dyDescent="0.2">
      <c r="A769" s="84" t="s">
        <v>914</v>
      </c>
      <c r="G769" s="45"/>
      <c r="L769" s="8"/>
    </row>
    <row r="770" spans="1:12" x14ac:dyDescent="0.2">
      <c r="A770" s="84" t="s">
        <v>1133</v>
      </c>
      <c r="G770" s="45"/>
      <c r="L770" s="8"/>
    </row>
    <row r="771" spans="1:12" x14ac:dyDescent="0.2">
      <c r="A771" s="84" t="s">
        <v>1390</v>
      </c>
      <c r="G771" s="45"/>
      <c r="L771" s="8"/>
    </row>
    <row r="772" spans="1:12" x14ac:dyDescent="0.2">
      <c r="A772" s="51" t="s">
        <v>812</v>
      </c>
      <c r="G772" s="45"/>
      <c r="L772" s="8"/>
    </row>
    <row r="773" spans="1:12" x14ac:dyDescent="0.2">
      <c r="A773" s="51" t="s">
        <v>815</v>
      </c>
      <c r="G773" s="45"/>
      <c r="L773" s="8"/>
    </row>
    <row r="774" spans="1:12" ht="15" x14ac:dyDescent="0.2">
      <c r="A774" s="82"/>
      <c r="G774" s="45"/>
      <c r="L774" s="8"/>
    </row>
    <row r="775" spans="1:12" x14ac:dyDescent="0.2">
      <c r="A775" s="83" t="s">
        <v>614</v>
      </c>
      <c r="G775" s="45"/>
      <c r="L775" s="8"/>
    </row>
    <row r="776" spans="1:12" x14ac:dyDescent="0.2">
      <c r="A776" s="84" t="s">
        <v>1391</v>
      </c>
      <c r="G776" s="45"/>
      <c r="L776" s="8"/>
    </row>
    <row r="777" spans="1:12" x14ac:dyDescent="0.2">
      <c r="A777" s="84" t="s">
        <v>1392</v>
      </c>
      <c r="G777" s="45"/>
      <c r="L777" s="8"/>
    </row>
    <row r="778" spans="1:12" x14ac:dyDescent="0.2">
      <c r="A778" s="84" t="s">
        <v>2493</v>
      </c>
      <c r="G778" s="45"/>
      <c r="L778" s="8"/>
    </row>
    <row r="779" spans="1:12" x14ac:dyDescent="0.2">
      <c r="A779" s="84" t="s">
        <v>3690</v>
      </c>
      <c r="G779" s="45"/>
      <c r="L779" s="8"/>
    </row>
    <row r="780" spans="1:12" x14ac:dyDescent="0.2">
      <c r="A780" s="84" t="s">
        <v>3691</v>
      </c>
      <c r="G780" s="45"/>
      <c r="L780" s="8"/>
    </row>
    <row r="781" spans="1:12" x14ac:dyDescent="0.2">
      <c r="A781" s="84" t="s">
        <v>1393</v>
      </c>
      <c r="G781" s="45"/>
      <c r="L781" s="8"/>
    </row>
    <row r="782" spans="1:12" x14ac:dyDescent="0.2">
      <c r="A782" s="51" t="s">
        <v>812</v>
      </c>
      <c r="G782" s="45"/>
      <c r="L782" s="8"/>
    </row>
    <row r="783" spans="1:12" x14ac:dyDescent="0.2">
      <c r="A783" s="51" t="s">
        <v>815</v>
      </c>
      <c r="G783" s="45"/>
      <c r="L783" s="8"/>
    </row>
    <row r="784" spans="1:12" ht="15" x14ac:dyDescent="0.2">
      <c r="A784" s="82"/>
      <c r="G784" s="45"/>
      <c r="L784" s="8"/>
    </row>
    <row r="785" spans="1:12" x14ac:dyDescent="0.2">
      <c r="A785" s="83" t="s">
        <v>963</v>
      </c>
      <c r="G785" s="45"/>
      <c r="L785" s="8"/>
    </row>
    <row r="786" spans="1:12" x14ac:dyDescent="0.2">
      <c r="A786" s="84" t="s">
        <v>1394</v>
      </c>
      <c r="G786" s="45"/>
      <c r="L786" s="8"/>
    </row>
    <row r="787" spans="1:12" x14ac:dyDescent="0.2">
      <c r="A787" s="84" t="s">
        <v>1395</v>
      </c>
      <c r="G787" s="45"/>
      <c r="L787" s="8"/>
    </row>
    <row r="788" spans="1:12" x14ac:dyDescent="0.2">
      <c r="A788" s="84" t="s">
        <v>1396</v>
      </c>
      <c r="G788" s="45"/>
      <c r="L788" s="8"/>
    </row>
    <row r="789" spans="1:12" x14ac:dyDescent="0.2">
      <c r="A789" s="84" t="s">
        <v>1397</v>
      </c>
      <c r="G789" s="45"/>
      <c r="L789" s="8"/>
    </row>
    <row r="790" spans="1:12" x14ac:dyDescent="0.2">
      <c r="A790" s="84" t="s">
        <v>1398</v>
      </c>
      <c r="G790" s="45"/>
      <c r="L790" s="8"/>
    </row>
    <row r="791" spans="1:12" x14ac:dyDescent="0.2">
      <c r="A791" s="84" t="s">
        <v>1399</v>
      </c>
      <c r="G791" s="45"/>
      <c r="L791" s="8"/>
    </row>
    <row r="792" spans="1:12" x14ac:dyDescent="0.2">
      <c r="A792" s="51" t="s">
        <v>812</v>
      </c>
      <c r="G792" s="45"/>
      <c r="L792" s="8"/>
    </row>
    <row r="793" spans="1:12" ht="15" x14ac:dyDescent="0.2">
      <c r="A793" s="82"/>
      <c r="G793" s="45"/>
      <c r="L793" s="8"/>
    </row>
    <row r="794" spans="1:12" x14ac:dyDescent="0.2">
      <c r="A794" s="83" t="s">
        <v>426</v>
      </c>
      <c r="G794" s="45"/>
      <c r="L794" s="8"/>
    </row>
    <row r="795" spans="1:12" x14ac:dyDescent="0.2">
      <c r="A795" s="84" t="s">
        <v>1400</v>
      </c>
      <c r="G795" s="45"/>
      <c r="L795" s="8"/>
    </row>
    <row r="796" spans="1:12" x14ac:dyDescent="0.2">
      <c r="A796" s="84" t="s">
        <v>1401</v>
      </c>
      <c r="G796" s="45"/>
      <c r="L796" s="8"/>
    </row>
    <row r="797" spans="1:12" x14ac:dyDescent="0.2">
      <c r="A797" s="84" t="s">
        <v>1402</v>
      </c>
      <c r="G797" s="45"/>
      <c r="L797" s="8"/>
    </row>
    <row r="798" spans="1:12" x14ac:dyDescent="0.2">
      <c r="A798" s="84" t="s">
        <v>1403</v>
      </c>
      <c r="G798" s="45"/>
      <c r="L798" s="8"/>
    </row>
    <row r="799" spans="1:12" x14ac:dyDescent="0.2">
      <c r="A799" s="84" t="s">
        <v>1404</v>
      </c>
      <c r="G799" s="45"/>
      <c r="L799" s="8"/>
    </row>
    <row r="800" spans="1:12" x14ac:dyDescent="0.2">
      <c r="A800" s="84" t="s">
        <v>1405</v>
      </c>
      <c r="G800" s="45"/>
      <c r="L800" s="8"/>
    </row>
    <row r="801" spans="1:12" x14ac:dyDescent="0.2">
      <c r="A801" s="51" t="s">
        <v>812</v>
      </c>
      <c r="G801" s="45"/>
      <c r="L801" s="8"/>
    </row>
    <row r="802" spans="1:12" x14ac:dyDescent="0.2">
      <c r="A802" s="51" t="s">
        <v>815</v>
      </c>
      <c r="G802" s="45"/>
      <c r="L802" s="8"/>
    </row>
    <row r="803" spans="1:12" ht="15" x14ac:dyDescent="0.2">
      <c r="A803" s="82"/>
      <c r="G803" s="45"/>
      <c r="L803" s="8"/>
    </row>
    <row r="804" spans="1:12" x14ac:dyDescent="0.2">
      <c r="A804" s="83" t="s">
        <v>431</v>
      </c>
      <c r="G804" s="45"/>
      <c r="L804" s="8"/>
    </row>
    <row r="805" spans="1:12" x14ac:dyDescent="0.2">
      <c r="A805" s="84" t="s">
        <v>1406</v>
      </c>
      <c r="G805" s="45"/>
      <c r="L805" s="8"/>
    </row>
    <row r="806" spans="1:12" x14ac:dyDescent="0.2">
      <c r="A806" s="84" t="s">
        <v>1407</v>
      </c>
      <c r="G806" s="45"/>
      <c r="L806" s="8"/>
    </row>
    <row r="807" spans="1:12" x14ac:dyDescent="0.2">
      <c r="A807" s="84" t="s">
        <v>1408</v>
      </c>
      <c r="G807" s="45"/>
      <c r="L807" s="8"/>
    </row>
    <row r="808" spans="1:12" x14ac:dyDescent="0.2">
      <c r="A808" s="84" t="s">
        <v>1409</v>
      </c>
      <c r="G808" s="45"/>
      <c r="L808" s="8"/>
    </row>
    <row r="809" spans="1:12" x14ac:dyDescent="0.2">
      <c r="A809" s="84" t="s">
        <v>1410</v>
      </c>
      <c r="G809" s="45"/>
      <c r="L809" s="8"/>
    </row>
    <row r="810" spans="1:12" x14ac:dyDescent="0.2">
      <c r="A810" s="84" t="s">
        <v>1411</v>
      </c>
      <c r="G810" s="45"/>
      <c r="L810" s="8"/>
    </row>
    <row r="811" spans="1:12" x14ac:dyDescent="0.2">
      <c r="A811" s="51" t="s">
        <v>812</v>
      </c>
      <c r="G811" s="45"/>
      <c r="L811" s="8"/>
    </row>
    <row r="812" spans="1:12" x14ac:dyDescent="0.2">
      <c r="A812" s="51" t="s">
        <v>815</v>
      </c>
      <c r="G812" s="45"/>
      <c r="L812" s="8"/>
    </row>
    <row r="813" spans="1:12" ht="15" x14ac:dyDescent="0.2">
      <c r="A813" s="82"/>
      <c r="G813" s="45"/>
      <c r="L813" s="8"/>
    </row>
    <row r="814" spans="1:12" x14ac:dyDescent="0.2">
      <c r="A814" s="83" t="s">
        <v>974</v>
      </c>
      <c r="G814" s="45"/>
      <c r="L814" s="8"/>
    </row>
    <row r="815" spans="1:12" x14ac:dyDescent="0.2">
      <c r="A815" s="84" t="s">
        <v>1412</v>
      </c>
      <c r="G815" s="45"/>
      <c r="L815" s="8"/>
    </row>
    <row r="816" spans="1:12" x14ac:dyDescent="0.2">
      <c r="A816" s="84" t="s">
        <v>1413</v>
      </c>
      <c r="G816" s="45"/>
      <c r="L816" s="8"/>
    </row>
    <row r="817" spans="1:12" x14ac:dyDescent="0.2">
      <c r="A817" s="84" t="s">
        <v>1414</v>
      </c>
      <c r="G817" s="45"/>
      <c r="L817" s="8"/>
    </row>
    <row r="818" spans="1:12" x14ac:dyDescent="0.2">
      <c r="A818" s="84" t="s">
        <v>1415</v>
      </c>
      <c r="G818" s="45"/>
      <c r="L818" s="8"/>
    </row>
    <row r="819" spans="1:12" x14ac:dyDescent="0.2">
      <c r="A819" s="84" t="s">
        <v>1416</v>
      </c>
      <c r="G819" s="45"/>
      <c r="L819" s="8"/>
    </row>
    <row r="820" spans="1:12" x14ac:dyDescent="0.2">
      <c r="A820" s="84" t="s">
        <v>1417</v>
      </c>
      <c r="G820" s="45"/>
      <c r="L820" s="8"/>
    </row>
    <row r="821" spans="1:12" x14ac:dyDescent="0.2">
      <c r="A821" s="51" t="s">
        <v>812</v>
      </c>
      <c r="G821" s="45"/>
      <c r="L821" s="8"/>
    </row>
    <row r="822" spans="1:12" x14ac:dyDescent="0.2">
      <c r="A822" s="51" t="s">
        <v>815</v>
      </c>
      <c r="G822" s="45"/>
      <c r="L822" s="8"/>
    </row>
    <row r="823" spans="1:12" ht="15" x14ac:dyDescent="0.2">
      <c r="A823" s="82"/>
      <c r="G823" s="45"/>
      <c r="L823" s="8"/>
    </row>
    <row r="824" spans="1:12" x14ac:dyDescent="0.2">
      <c r="A824" s="83" t="s">
        <v>978</v>
      </c>
      <c r="G824" s="45"/>
      <c r="L824" s="8"/>
    </row>
    <row r="825" spans="1:12" x14ac:dyDescent="0.2">
      <c r="A825" s="84" t="s">
        <v>1418</v>
      </c>
      <c r="G825" s="45"/>
      <c r="L825" s="8"/>
    </row>
    <row r="826" spans="1:12" x14ac:dyDescent="0.2">
      <c r="A826" s="84" t="s">
        <v>1419</v>
      </c>
      <c r="G826" s="45"/>
      <c r="L826" s="8"/>
    </row>
    <row r="827" spans="1:12" x14ac:dyDescent="0.2">
      <c r="A827" s="84" t="s">
        <v>1420</v>
      </c>
      <c r="G827" s="45"/>
      <c r="L827" s="8"/>
    </row>
    <row r="828" spans="1:12" x14ac:dyDescent="0.2">
      <c r="A828" s="84" t="s">
        <v>1421</v>
      </c>
      <c r="G828" s="45"/>
      <c r="L828" s="8"/>
    </row>
    <row r="829" spans="1:12" x14ac:dyDescent="0.2">
      <c r="A829" s="84" t="s">
        <v>1422</v>
      </c>
      <c r="G829" s="45"/>
      <c r="L829" s="8"/>
    </row>
    <row r="830" spans="1:12" x14ac:dyDescent="0.2">
      <c r="A830" s="84" t="s">
        <v>1423</v>
      </c>
      <c r="G830" s="45"/>
      <c r="L830" s="8"/>
    </row>
    <row r="831" spans="1:12" x14ac:dyDescent="0.2">
      <c r="A831" s="51" t="s">
        <v>812</v>
      </c>
      <c r="G831" s="45"/>
      <c r="L831" s="8"/>
    </row>
    <row r="832" spans="1:12" ht="15" x14ac:dyDescent="0.2">
      <c r="A832" s="82"/>
      <c r="G832" s="45"/>
      <c r="L832" s="8"/>
    </row>
    <row r="833" spans="1:12" x14ac:dyDescent="0.2">
      <c r="A833" s="83" t="s">
        <v>982</v>
      </c>
      <c r="G833" s="45"/>
      <c r="L833" s="8"/>
    </row>
    <row r="834" spans="1:12" x14ac:dyDescent="0.2">
      <c r="A834" s="84" t="s">
        <v>1424</v>
      </c>
      <c r="G834" s="45"/>
      <c r="L834" s="8"/>
    </row>
    <row r="835" spans="1:12" x14ac:dyDescent="0.2">
      <c r="A835" s="84" t="s">
        <v>1425</v>
      </c>
      <c r="G835" s="45"/>
      <c r="L835" s="8"/>
    </row>
    <row r="836" spans="1:12" x14ac:dyDescent="0.2">
      <c r="A836" s="84" t="s">
        <v>1426</v>
      </c>
      <c r="G836" s="45"/>
      <c r="L836" s="8"/>
    </row>
    <row r="837" spans="1:12" x14ac:dyDescent="0.2">
      <c r="A837" s="84" t="s">
        <v>1427</v>
      </c>
      <c r="G837" s="45"/>
      <c r="L837" s="8"/>
    </row>
    <row r="838" spans="1:12" x14ac:dyDescent="0.2">
      <c r="A838" s="84" t="s">
        <v>1428</v>
      </c>
      <c r="G838" s="45"/>
      <c r="L838" s="8"/>
    </row>
    <row r="839" spans="1:12" x14ac:dyDescent="0.2">
      <c r="A839" s="84" t="s">
        <v>1429</v>
      </c>
      <c r="G839" s="45"/>
      <c r="L839" s="8"/>
    </row>
    <row r="840" spans="1:12" x14ac:dyDescent="0.2">
      <c r="A840" s="51" t="s">
        <v>812</v>
      </c>
      <c r="G840" s="45"/>
      <c r="L840" s="8"/>
    </row>
    <row r="841" spans="1:12" ht="15" x14ac:dyDescent="0.2">
      <c r="A841" s="82"/>
      <c r="G841" s="45"/>
      <c r="L841" s="8"/>
    </row>
    <row r="842" spans="1:12" x14ac:dyDescent="0.2">
      <c r="A842" s="83" t="s">
        <v>3587</v>
      </c>
      <c r="G842" s="45"/>
      <c r="L842" s="8"/>
    </row>
    <row r="843" spans="1:12" x14ac:dyDescent="0.2">
      <c r="A843" s="84" t="s">
        <v>1430</v>
      </c>
      <c r="G843" s="45"/>
      <c r="L843" s="8"/>
    </row>
    <row r="844" spans="1:12" x14ac:dyDescent="0.2">
      <c r="A844" s="84" t="s">
        <v>1431</v>
      </c>
      <c r="G844" s="45"/>
      <c r="L844" s="8"/>
    </row>
    <row r="845" spans="1:12" x14ac:dyDescent="0.2">
      <c r="A845" s="84" t="s">
        <v>1432</v>
      </c>
      <c r="G845" s="45"/>
      <c r="L845" s="8"/>
    </row>
    <row r="846" spans="1:12" x14ac:dyDescent="0.2">
      <c r="A846" s="84" t="s">
        <v>1433</v>
      </c>
      <c r="G846" s="45"/>
      <c r="L846" s="8"/>
    </row>
    <row r="847" spans="1:12" x14ac:dyDescent="0.2">
      <c r="A847" s="84" t="s">
        <v>1434</v>
      </c>
      <c r="G847" s="45"/>
      <c r="L847" s="8"/>
    </row>
    <row r="848" spans="1:12" x14ac:dyDescent="0.2">
      <c r="A848" s="84" t="s">
        <v>1435</v>
      </c>
      <c r="G848" s="45"/>
      <c r="L848" s="8"/>
    </row>
    <row r="849" spans="1:12" x14ac:dyDescent="0.2">
      <c r="A849" s="51" t="s">
        <v>812</v>
      </c>
      <c r="G849" s="45"/>
      <c r="L849" s="8"/>
    </row>
    <row r="850" spans="1:12" x14ac:dyDescent="0.2">
      <c r="A850" s="51" t="s">
        <v>815</v>
      </c>
      <c r="G850" s="45"/>
      <c r="L850" s="8"/>
    </row>
    <row r="851" spans="1:12" ht="15" x14ac:dyDescent="0.2">
      <c r="A851" s="82"/>
      <c r="G851" s="45"/>
      <c r="L851" s="8"/>
    </row>
    <row r="852" spans="1:12" x14ac:dyDescent="0.2">
      <c r="A852" s="83" t="s">
        <v>989</v>
      </c>
      <c r="G852" s="45"/>
      <c r="L852" s="8"/>
    </row>
    <row r="853" spans="1:12" x14ac:dyDescent="0.2">
      <c r="A853" s="84" t="s">
        <v>1436</v>
      </c>
      <c r="G853" s="45"/>
      <c r="L853" s="8"/>
    </row>
    <row r="854" spans="1:12" x14ac:dyDescent="0.2">
      <c r="A854" s="84" t="s">
        <v>1437</v>
      </c>
      <c r="G854" s="45"/>
      <c r="L854" s="8"/>
    </row>
    <row r="855" spans="1:12" x14ac:dyDescent="0.2">
      <c r="A855" s="84" t="s">
        <v>3588</v>
      </c>
      <c r="G855" s="45"/>
      <c r="L855" s="8"/>
    </row>
    <row r="856" spans="1:12" x14ac:dyDescent="0.2">
      <c r="A856" s="84" t="s">
        <v>1438</v>
      </c>
      <c r="G856" s="45"/>
      <c r="L856" s="8"/>
    </row>
    <row r="857" spans="1:12" x14ac:dyDescent="0.2">
      <c r="A857" s="84" t="s">
        <v>1434</v>
      </c>
      <c r="G857" s="45"/>
      <c r="L857" s="8"/>
    </row>
    <row r="858" spans="1:12" x14ac:dyDescent="0.2">
      <c r="A858" s="84" t="s">
        <v>1439</v>
      </c>
      <c r="G858" s="45"/>
      <c r="L858" s="8"/>
    </row>
    <row r="859" spans="1:12" x14ac:dyDescent="0.2">
      <c r="A859" s="51" t="s">
        <v>812</v>
      </c>
      <c r="G859" s="45"/>
      <c r="L859" s="8"/>
    </row>
    <row r="860" spans="1:12" x14ac:dyDescent="0.2">
      <c r="A860" s="51" t="s">
        <v>815</v>
      </c>
      <c r="G860" s="45"/>
      <c r="L860" s="8"/>
    </row>
    <row r="861" spans="1:12" ht="15" x14ac:dyDescent="0.2">
      <c r="A861" s="82"/>
      <c r="G861" s="45"/>
      <c r="L861" s="8"/>
    </row>
    <row r="862" spans="1:12" x14ac:dyDescent="0.2">
      <c r="A862" s="83" t="s">
        <v>471</v>
      </c>
      <c r="G862" s="45"/>
      <c r="L862" s="8"/>
    </row>
    <row r="863" spans="1:12" x14ac:dyDescent="0.2">
      <c r="A863" s="84" t="s">
        <v>1440</v>
      </c>
      <c r="G863" s="45"/>
      <c r="L863" s="8"/>
    </row>
    <row r="864" spans="1:12" x14ac:dyDescent="0.2">
      <c r="A864" s="84" t="s">
        <v>1441</v>
      </c>
      <c r="G864" s="45"/>
      <c r="L864" s="8"/>
    </row>
    <row r="865" spans="1:12" x14ac:dyDescent="0.2">
      <c r="A865" s="84" t="s">
        <v>1442</v>
      </c>
      <c r="G865" s="45"/>
      <c r="L865" s="8"/>
    </row>
    <row r="866" spans="1:12" x14ac:dyDescent="0.2">
      <c r="A866" s="84" t="s">
        <v>1443</v>
      </c>
      <c r="G866" s="45"/>
      <c r="L866" s="8"/>
    </row>
    <row r="867" spans="1:12" x14ac:dyDescent="0.2">
      <c r="A867" s="84" t="s">
        <v>1444</v>
      </c>
      <c r="G867" s="45"/>
      <c r="L867" s="8"/>
    </row>
    <row r="868" spans="1:12" x14ac:dyDescent="0.2">
      <c r="A868" s="84" t="s">
        <v>1445</v>
      </c>
      <c r="G868" s="45"/>
      <c r="L868" s="8"/>
    </row>
    <row r="869" spans="1:12" x14ac:dyDescent="0.2">
      <c r="A869" s="51" t="s">
        <v>812</v>
      </c>
      <c r="G869" s="45"/>
      <c r="L869" s="8"/>
    </row>
    <row r="870" spans="1:12" ht="15" x14ac:dyDescent="0.2">
      <c r="A870" s="82"/>
      <c r="G870" s="45"/>
      <c r="L870" s="8"/>
    </row>
    <row r="871" spans="1:12" x14ac:dyDescent="0.2">
      <c r="A871" s="83" t="s">
        <v>476</v>
      </c>
      <c r="G871" s="45"/>
      <c r="L871" s="8"/>
    </row>
    <row r="872" spans="1:12" x14ac:dyDescent="0.2">
      <c r="A872" s="84" t="s">
        <v>1446</v>
      </c>
      <c r="G872" s="45"/>
      <c r="L872" s="8"/>
    </row>
    <row r="873" spans="1:12" x14ac:dyDescent="0.2">
      <c r="A873" s="84" t="s">
        <v>1447</v>
      </c>
      <c r="G873" s="45"/>
      <c r="L873" s="8"/>
    </row>
    <row r="874" spans="1:12" x14ac:dyDescent="0.2">
      <c r="A874" s="84" t="s">
        <v>1448</v>
      </c>
      <c r="G874" s="45"/>
      <c r="L874" s="8"/>
    </row>
    <row r="875" spans="1:12" x14ac:dyDescent="0.2">
      <c r="A875" s="84" t="s">
        <v>1449</v>
      </c>
      <c r="G875" s="45"/>
      <c r="L875" s="8"/>
    </row>
    <row r="876" spans="1:12" x14ac:dyDescent="0.2">
      <c r="A876" s="84" t="s">
        <v>1450</v>
      </c>
      <c r="G876" s="45"/>
      <c r="L876" s="8"/>
    </row>
    <row r="877" spans="1:12" x14ac:dyDescent="0.2">
      <c r="A877" s="84" t="s">
        <v>1451</v>
      </c>
      <c r="G877" s="45"/>
      <c r="L877" s="8"/>
    </row>
    <row r="878" spans="1:12" x14ac:dyDescent="0.2">
      <c r="A878" s="51" t="s">
        <v>812</v>
      </c>
      <c r="G878" s="45"/>
      <c r="L878" s="8"/>
    </row>
    <row r="879" spans="1:12" x14ac:dyDescent="0.2">
      <c r="A879" s="51" t="s">
        <v>815</v>
      </c>
      <c r="G879" s="45"/>
      <c r="L879" s="8"/>
    </row>
    <row r="880" spans="1:12" ht="15" x14ac:dyDescent="0.2">
      <c r="A880" s="82"/>
      <c r="G880" s="45"/>
      <c r="L880" s="8"/>
    </row>
    <row r="881" spans="1:12" x14ac:dyDescent="0.2">
      <c r="A881" s="83" t="s">
        <v>482</v>
      </c>
      <c r="G881" s="45"/>
      <c r="L881" s="8"/>
    </row>
    <row r="882" spans="1:12" x14ac:dyDescent="0.2">
      <c r="A882" s="84" t="s">
        <v>1452</v>
      </c>
      <c r="G882" s="45"/>
      <c r="L882" s="8"/>
    </row>
    <row r="883" spans="1:12" x14ac:dyDescent="0.2">
      <c r="A883" s="84" t="s">
        <v>1453</v>
      </c>
      <c r="G883" s="45"/>
      <c r="L883" s="8"/>
    </row>
    <row r="884" spans="1:12" x14ac:dyDescent="0.2">
      <c r="A884" s="84" t="s">
        <v>1454</v>
      </c>
      <c r="G884" s="45"/>
      <c r="L884" s="8"/>
    </row>
    <row r="885" spans="1:12" x14ac:dyDescent="0.2">
      <c r="A885" s="84" t="s">
        <v>1455</v>
      </c>
      <c r="G885" s="45"/>
      <c r="L885" s="8"/>
    </row>
    <row r="886" spans="1:12" x14ac:dyDescent="0.2">
      <c r="A886" s="84" t="s">
        <v>1456</v>
      </c>
      <c r="G886" s="45"/>
      <c r="L886" s="8"/>
    </row>
    <row r="887" spans="1:12" x14ac:dyDescent="0.2">
      <c r="A887" s="84" t="s">
        <v>1457</v>
      </c>
      <c r="G887" s="45"/>
      <c r="L887" s="8"/>
    </row>
    <row r="888" spans="1:12" x14ac:dyDescent="0.2">
      <c r="A888" s="51" t="s">
        <v>812</v>
      </c>
      <c r="G888" s="45"/>
      <c r="L888" s="8"/>
    </row>
    <row r="889" spans="1:12" ht="15" x14ac:dyDescent="0.2">
      <c r="A889" s="82"/>
      <c r="G889" s="45"/>
      <c r="L889" s="8"/>
    </row>
    <row r="890" spans="1:12" x14ac:dyDescent="0.2">
      <c r="A890" s="83" t="s">
        <v>491</v>
      </c>
      <c r="G890" s="45"/>
      <c r="L890" s="8"/>
    </row>
    <row r="891" spans="1:12" x14ac:dyDescent="0.2">
      <c r="A891" s="84" t="s">
        <v>1458</v>
      </c>
      <c r="G891" s="45"/>
      <c r="L891" s="8"/>
    </row>
    <row r="892" spans="1:12" x14ac:dyDescent="0.2">
      <c r="A892" s="84" t="s">
        <v>1459</v>
      </c>
      <c r="G892" s="45"/>
      <c r="L892" s="8"/>
    </row>
    <row r="893" spans="1:12" x14ac:dyDescent="0.2">
      <c r="A893" s="84" t="s">
        <v>1460</v>
      </c>
      <c r="G893" s="45"/>
      <c r="L893" s="8"/>
    </row>
    <row r="894" spans="1:12" x14ac:dyDescent="0.2">
      <c r="A894" s="84" t="s">
        <v>1364</v>
      </c>
      <c r="G894" s="45"/>
      <c r="L894" s="8"/>
    </row>
    <row r="895" spans="1:12" x14ac:dyDescent="0.2">
      <c r="A895" s="84" t="s">
        <v>1461</v>
      </c>
      <c r="G895" s="45"/>
      <c r="L895" s="8"/>
    </row>
    <row r="896" spans="1:12" x14ac:dyDescent="0.2">
      <c r="A896" s="84" t="s">
        <v>1462</v>
      </c>
      <c r="G896" s="45"/>
      <c r="L896" s="8"/>
    </row>
    <row r="897" spans="1:12" x14ac:dyDescent="0.2">
      <c r="A897" s="51" t="s">
        <v>812</v>
      </c>
      <c r="G897" s="45"/>
      <c r="L897" s="8"/>
    </row>
    <row r="898" spans="1:12" x14ac:dyDescent="0.2">
      <c r="A898" s="51" t="s">
        <v>815</v>
      </c>
      <c r="G898" s="45"/>
      <c r="L898" s="8"/>
    </row>
    <row r="899" spans="1:12" ht="15" x14ac:dyDescent="0.2">
      <c r="A899" s="82"/>
      <c r="G899" s="45"/>
      <c r="L899" s="8"/>
    </row>
    <row r="900" spans="1:12" x14ac:dyDescent="0.2">
      <c r="A900" s="83" t="s">
        <v>496</v>
      </c>
      <c r="G900" s="45"/>
      <c r="L900" s="8"/>
    </row>
    <row r="901" spans="1:12" x14ac:dyDescent="0.2">
      <c r="A901" s="84" t="s">
        <v>1463</v>
      </c>
      <c r="G901" s="45"/>
      <c r="L901" s="8"/>
    </row>
    <row r="902" spans="1:12" x14ac:dyDescent="0.2">
      <c r="A902" s="84" t="s">
        <v>1464</v>
      </c>
      <c r="G902" s="45"/>
      <c r="L902" s="8"/>
    </row>
    <row r="903" spans="1:12" x14ac:dyDescent="0.2">
      <c r="A903" s="84" t="s">
        <v>3589</v>
      </c>
      <c r="G903" s="45"/>
      <c r="L903" s="8"/>
    </row>
    <row r="904" spans="1:12" x14ac:dyDescent="0.2">
      <c r="A904" s="84" t="s">
        <v>1465</v>
      </c>
      <c r="G904" s="45"/>
      <c r="L904" s="8"/>
    </row>
    <row r="905" spans="1:12" x14ac:dyDescent="0.2">
      <c r="A905" s="84" t="s">
        <v>1466</v>
      </c>
      <c r="G905" s="45"/>
      <c r="L905" s="8"/>
    </row>
    <row r="906" spans="1:12" x14ac:dyDescent="0.2">
      <c r="A906" s="84" t="s">
        <v>1467</v>
      </c>
      <c r="G906" s="45"/>
      <c r="L906" s="8"/>
    </row>
    <row r="907" spans="1:12" x14ac:dyDescent="0.2">
      <c r="A907" s="51" t="s">
        <v>812</v>
      </c>
      <c r="G907" s="45"/>
      <c r="L907" s="8"/>
    </row>
    <row r="908" spans="1:12" x14ac:dyDescent="0.2">
      <c r="A908" s="51" t="s">
        <v>815</v>
      </c>
      <c r="G908" s="45"/>
      <c r="L908" s="8"/>
    </row>
    <row r="909" spans="1:12" ht="15" x14ac:dyDescent="0.2">
      <c r="A909" s="82"/>
      <c r="G909" s="45"/>
      <c r="L909" s="8"/>
    </row>
    <row r="910" spans="1:12" x14ac:dyDescent="0.2">
      <c r="A910" s="83" t="s">
        <v>1004</v>
      </c>
      <c r="G910" s="45"/>
      <c r="L910" s="8"/>
    </row>
    <row r="911" spans="1:12" x14ac:dyDescent="0.2">
      <c r="A911" s="84" t="s">
        <v>1468</v>
      </c>
      <c r="G911" s="45"/>
      <c r="L911" s="8"/>
    </row>
    <row r="912" spans="1:12" x14ac:dyDescent="0.2">
      <c r="A912" s="84" t="s">
        <v>1469</v>
      </c>
      <c r="G912" s="45"/>
      <c r="L912" s="8"/>
    </row>
    <row r="913" spans="1:12" x14ac:dyDescent="0.2">
      <c r="A913" s="84" t="s">
        <v>1470</v>
      </c>
      <c r="G913" s="45"/>
      <c r="L913" s="8"/>
    </row>
    <row r="914" spans="1:12" x14ac:dyDescent="0.2">
      <c r="A914" s="84" t="s">
        <v>1471</v>
      </c>
      <c r="G914" s="45"/>
      <c r="L914" s="8"/>
    </row>
    <row r="915" spans="1:12" x14ac:dyDescent="0.2">
      <c r="A915" s="84" t="s">
        <v>1472</v>
      </c>
      <c r="G915" s="45"/>
      <c r="L915" s="8"/>
    </row>
    <row r="916" spans="1:12" x14ac:dyDescent="0.2">
      <c r="A916" s="84" t="s">
        <v>1134</v>
      </c>
      <c r="G916" s="45"/>
      <c r="L916" s="8"/>
    </row>
    <row r="917" spans="1:12" x14ac:dyDescent="0.2">
      <c r="A917" s="51" t="s">
        <v>812</v>
      </c>
      <c r="G917" s="45"/>
      <c r="L917" s="8"/>
    </row>
    <row r="918" spans="1:12" ht="15" x14ac:dyDescent="0.2">
      <c r="A918" s="82"/>
      <c r="G918" s="45"/>
      <c r="L918" s="8"/>
    </row>
    <row r="919" spans="1:12" x14ac:dyDescent="0.2">
      <c r="A919" s="83" t="s">
        <v>506</v>
      </c>
      <c r="G919" s="45"/>
      <c r="L919" s="8"/>
    </row>
    <row r="920" spans="1:12" x14ac:dyDescent="0.2">
      <c r="A920" s="84" t="s">
        <v>1473</v>
      </c>
      <c r="G920" s="45"/>
      <c r="L920" s="8"/>
    </row>
    <row r="921" spans="1:12" x14ac:dyDescent="0.2">
      <c r="A921" s="84" t="s">
        <v>1474</v>
      </c>
      <c r="G921" s="45"/>
      <c r="L921" s="8"/>
    </row>
    <row r="922" spans="1:12" x14ac:dyDescent="0.2">
      <c r="A922" s="84" t="s">
        <v>1475</v>
      </c>
      <c r="G922" s="45"/>
      <c r="L922" s="8"/>
    </row>
    <row r="923" spans="1:12" x14ac:dyDescent="0.2">
      <c r="A923" s="84" t="s">
        <v>1239</v>
      </c>
      <c r="G923" s="45"/>
      <c r="L923" s="8"/>
    </row>
    <row r="924" spans="1:12" x14ac:dyDescent="0.2">
      <c r="A924" s="84" t="s">
        <v>1476</v>
      </c>
      <c r="G924" s="45"/>
      <c r="L924" s="8"/>
    </row>
    <row r="925" spans="1:12" x14ac:dyDescent="0.2">
      <c r="A925" s="84" t="s">
        <v>1477</v>
      </c>
      <c r="G925" s="45"/>
      <c r="L925" s="8"/>
    </row>
    <row r="926" spans="1:12" x14ac:dyDescent="0.2">
      <c r="A926" s="51" t="s">
        <v>812</v>
      </c>
      <c r="G926" s="45"/>
      <c r="L926" s="8"/>
    </row>
    <row r="927" spans="1:12" ht="15" x14ac:dyDescent="0.2">
      <c r="A927" s="82"/>
      <c r="G927" s="45"/>
      <c r="L927" s="8"/>
    </row>
    <row r="928" spans="1:12" x14ac:dyDescent="0.2">
      <c r="A928" s="83" t="s">
        <v>512</v>
      </c>
      <c r="G928" s="45"/>
      <c r="L928" s="8"/>
    </row>
    <row r="929" spans="1:12" x14ac:dyDescent="0.2">
      <c r="A929" s="84" t="s">
        <v>1478</v>
      </c>
      <c r="G929" s="45"/>
      <c r="L929" s="8"/>
    </row>
    <row r="930" spans="1:12" x14ac:dyDescent="0.2">
      <c r="A930" s="84" t="s">
        <v>1479</v>
      </c>
      <c r="G930" s="45"/>
      <c r="L930" s="8"/>
    </row>
    <row r="931" spans="1:12" x14ac:dyDescent="0.2">
      <c r="A931" s="84" t="s">
        <v>1480</v>
      </c>
      <c r="G931" s="45"/>
      <c r="L931" s="8"/>
    </row>
    <row r="932" spans="1:12" x14ac:dyDescent="0.2">
      <c r="A932" s="84" t="s">
        <v>1481</v>
      </c>
      <c r="G932" s="45"/>
      <c r="L932" s="8"/>
    </row>
    <row r="933" spans="1:12" x14ac:dyDescent="0.2">
      <c r="A933" s="84" t="s">
        <v>1482</v>
      </c>
      <c r="G933" s="45"/>
      <c r="L933" s="8"/>
    </row>
    <row r="934" spans="1:12" x14ac:dyDescent="0.2">
      <c r="A934" s="84" t="s">
        <v>1483</v>
      </c>
      <c r="G934" s="45"/>
      <c r="L934" s="8"/>
    </row>
    <row r="935" spans="1:12" x14ac:dyDescent="0.2">
      <c r="A935" s="51" t="s">
        <v>812</v>
      </c>
      <c r="G935" s="45"/>
      <c r="L935" s="8"/>
    </row>
    <row r="936" spans="1:12" ht="15" x14ac:dyDescent="0.2">
      <c r="A936" s="82"/>
      <c r="G936" s="45"/>
      <c r="L936" s="8"/>
    </row>
    <row r="937" spans="1:12" x14ac:dyDescent="0.2">
      <c r="A937" s="83" t="s">
        <v>516</v>
      </c>
      <c r="G937" s="45"/>
      <c r="L937" s="8"/>
    </row>
    <row r="938" spans="1:12" x14ac:dyDescent="0.2">
      <c r="A938" s="84" t="s">
        <v>1484</v>
      </c>
      <c r="G938" s="45"/>
      <c r="L938" s="8"/>
    </row>
    <row r="939" spans="1:12" x14ac:dyDescent="0.2">
      <c r="A939" s="84" t="s">
        <v>1485</v>
      </c>
      <c r="G939" s="45"/>
      <c r="L939" s="8"/>
    </row>
    <row r="940" spans="1:12" x14ac:dyDescent="0.2">
      <c r="A940" s="84" t="s">
        <v>1486</v>
      </c>
      <c r="G940" s="45"/>
      <c r="L940" s="8"/>
    </row>
    <row r="941" spans="1:12" x14ac:dyDescent="0.2">
      <c r="A941" s="84" t="s">
        <v>1487</v>
      </c>
      <c r="G941" s="45"/>
      <c r="L941" s="8"/>
    </row>
    <row r="942" spans="1:12" x14ac:dyDescent="0.2">
      <c r="A942" s="84" t="s">
        <v>1482</v>
      </c>
      <c r="G942" s="45"/>
      <c r="L942" s="8"/>
    </row>
    <row r="943" spans="1:12" x14ac:dyDescent="0.2">
      <c r="A943" s="84" t="s">
        <v>1488</v>
      </c>
      <c r="G943" s="45"/>
      <c r="L943" s="8"/>
    </row>
    <row r="944" spans="1:12" x14ac:dyDescent="0.2">
      <c r="A944" s="51" t="s">
        <v>812</v>
      </c>
      <c r="G944" s="45"/>
      <c r="L944" s="8"/>
    </row>
    <row r="945" spans="1:12" x14ac:dyDescent="0.2">
      <c r="A945" s="51" t="s">
        <v>815</v>
      </c>
      <c r="G945" s="45"/>
      <c r="L945" s="8"/>
    </row>
    <row r="946" spans="1:12" ht="15" x14ac:dyDescent="0.2">
      <c r="A946" s="82"/>
      <c r="G946" s="45"/>
      <c r="L946" s="8"/>
    </row>
    <row r="947" spans="1:12" x14ac:dyDescent="0.2">
      <c r="A947" s="83" t="s">
        <v>522</v>
      </c>
      <c r="G947" s="45"/>
      <c r="L947" s="8"/>
    </row>
    <row r="948" spans="1:12" x14ac:dyDescent="0.2">
      <c r="A948" s="84" t="s">
        <v>1489</v>
      </c>
      <c r="G948" s="45"/>
      <c r="L948" s="8"/>
    </row>
    <row r="949" spans="1:12" x14ac:dyDescent="0.2">
      <c r="A949" s="84" t="s">
        <v>1490</v>
      </c>
      <c r="G949" s="45"/>
      <c r="L949" s="8"/>
    </row>
    <row r="950" spans="1:12" x14ac:dyDescent="0.2">
      <c r="A950" s="84" t="s">
        <v>1491</v>
      </c>
      <c r="G950" s="45"/>
      <c r="L950" s="8"/>
    </row>
    <row r="951" spans="1:12" x14ac:dyDescent="0.2">
      <c r="A951" s="84" t="s">
        <v>1492</v>
      </c>
      <c r="G951" s="45"/>
      <c r="L951" s="8"/>
    </row>
    <row r="952" spans="1:12" x14ac:dyDescent="0.2">
      <c r="A952" s="84" t="s">
        <v>1493</v>
      </c>
      <c r="G952" s="45"/>
      <c r="L952" s="8"/>
    </row>
    <row r="953" spans="1:12" x14ac:dyDescent="0.2">
      <c r="A953" s="84" t="s">
        <v>1140</v>
      </c>
      <c r="G953" s="45"/>
      <c r="L953" s="8"/>
    </row>
    <row r="954" spans="1:12" x14ac:dyDescent="0.2">
      <c r="A954" s="51" t="s">
        <v>812</v>
      </c>
      <c r="G954" s="45"/>
      <c r="L954" s="8"/>
    </row>
    <row r="955" spans="1:12" ht="15" x14ac:dyDescent="0.2">
      <c r="A955" s="82"/>
      <c r="G955" s="45"/>
      <c r="L955" s="8"/>
    </row>
    <row r="956" spans="1:12" x14ac:dyDescent="0.2">
      <c r="A956" s="83" t="s">
        <v>538</v>
      </c>
      <c r="G956" s="45"/>
      <c r="L956" s="8"/>
    </row>
    <row r="957" spans="1:12" x14ac:dyDescent="0.2">
      <c r="A957" s="84" t="s">
        <v>1494</v>
      </c>
      <c r="G957" s="45"/>
      <c r="L957" s="8"/>
    </row>
    <row r="958" spans="1:12" x14ac:dyDescent="0.2">
      <c r="A958" s="84" t="s">
        <v>1495</v>
      </c>
      <c r="G958" s="45"/>
      <c r="L958" s="8"/>
    </row>
    <row r="959" spans="1:12" x14ac:dyDescent="0.2">
      <c r="A959" s="84" t="s">
        <v>1496</v>
      </c>
      <c r="G959" s="45"/>
      <c r="L959" s="8"/>
    </row>
    <row r="960" spans="1:12" x14ac:dyDescent="0.2">
      <c r="A960" s="84" t="s">
        <v>1187</v>
      </c>
      <c r="G960" s="45"/>
      <c r="L960" s="8"/>
    </row>
    <row r="961" spans="1:12" x14ac:dyDescent="0.2">
      <c r="A961" s="84" t="s">
        <v>1497</v>
      </c>
      <c r="G961" s="45"/>
      <c r="L961" s="8"/>
    </row>
    <row r="962" spans="1:12" x14ac:dyDescent="0.2">
      <c r="A962" s="84" t="s">
        <v>1498</v>
      </c>
      <c r="G962" s="45"/>
      <c r="L962" s="8"/>
    </row>
    <row r="963" spans="1:12" x14ac:dyDescent="0.2">
      <c r="A963" s="51" t="s">
        <v>812</v>
      </c>
      <c r="G963" s="45"/>
      <c r="L963" s="8"/>
    </row>
    <row r="964" spans="1:12" x14ac:dyDescent="0.2">
      <c r="A964" s="51" t="s">
        <v>815</v>
      </c>
      <c r="G964" s="45"/>
      <c r="L964" s="8"/>
    </row>
    <row r="965" spans="1:12" ht="15" x14ac:dyDescent="0.2">
      <c r="A965" s="82"/>
      <c r="G965" s="45"/>
      <c r="L965" s="8"/>
    </row>
    <row r="966" spans="1:12" x14ac:dyDescent="0.2">
      <c r="A966" s="83" t="s">
        <v>371</v>
      </c>
      <c r="G966" s="45"/>
      <c r="L966" s="8"/>
    </row>
    <row r="967" spans="1:12" x14ac:dyDescent="0.2">
      <c r="A967" s="84" t="s">
        <v>1499</v>
      </c>
      <c r="G967" s="45"/>
      <c r="L967" s="8"/>
    </row>
    <row r="968" spans="1:12" x14ac:dyDescent="0.2">
      <c r="A968" s="84" t="s">
        <v>1500</v>
      </c>
      <c r="G968" s="45"/>
      <c r="L968" s="8"/>
    </row>
    <row r="969" spans="1:12" x14ac:dyDescent="0.2">
      <c r="A969" s="84" t="s">
        <v>1501</v>
      </c>
      <c r="G969" s="45"/>
      <c r="L969" s="8"/>
    </row>
    <row r="970" spans="1:12" x14ac:dyDescent="0.2">
      <c r="A970" s="84" t="s">
        <v>1502</v>
      </c>
      <c r="G970" s="45"/>
      <c r="L970" s="8"/>
    </row>
    <row r="971" spans="1:12" x14ac:dyDescent="0.2">
      <c r="A971" s="84" t="s">
        <v>1503</v>
      </c>
      <c r="G971" s="45"/>
      <c r="L971" s="8"/>
    </row>
    <row r="972" spans="1:12" x14ac:dyDescent="0.2">
      <c r="A972" s="84" t="s">
        <v>1504</v>
      </c>
      <c r="G972" s="45"/>
      <c r="L972" s="8"/>
    </row>
    <row r="973" spans="1:12" x14ac:dyDescent="0.2">
      <c r="A973" s="51" t="s">
        <v>812</v>
      </c>
      <c r="G973" s="45"/>
      <c r="L973" s="8"/>
    </row>
    <row r="974" spans="1:12" x14ac:dyDescent="0.2">
      <c r="A974" s="51" t="s">
        <v>815</v>
      </c>
      <c r="G974" s="45"/>
      <c r="L974" s="8"/>
    </row>
    <row r="975" spans="1:12" ht="15" x14ac:dyDescent="0.2">
      <c r="A975" s="82"/>
      <c r="G975" s="45"/>
      <c r="L975" s="8"/>
    </row>
    <row r="976" spans="1:12" x14ac:dyDescent="0.2">
      <c r="A976" s="83" t="s">
        <v>3692</v>
      </c>
      <c r="G976" s="45"/>
      <c r="L976" s="8"/>
    </row>
    <row r="977" spans="1:12" x14ac:dyDescent="0.2">
      <c r="A977" s="84" t="s">
        <v>1505</v>
      </c>
      <c r="G977" s="45"/>
      <c r="L977" s="8"/>
    </row>
    <row r="978" spans="1:12" x14ac:dyDescent="0.2">
      <c r="A978" s="84" t="s">
        <v>1506</v>
      </c>
      <c r="G978" s="45"/>
      <c r="L978" s="8"/>
    </row>
    <row r="979" spans="1:12" x14ac:dyDescent="0.2">
      <c r="A979" s="84" t="s">
        <v>1507</v>
      </c>
      <c r="G979" s="45"/>
      <c r="L979" s="8"/>
    </row>
    <row r="980" spans="1:12" x14ac:dyDescent="0.2">
      <c r="A980" s="84" t="s">
        <v>1508</v>
      </c>
      <c r="G980" s="45"/>
      <c r="L980" s="8"/>
    </row>
    <row r="981" spans="1:12" x14ac:dyDescent="0.2">
      <c r="A981" s="84" t="s">
        <v>1509</v>
      </c>
      <c r="G981" s="45"/>
      <c r="L981" s="8"/>
    </row>
    <row r="982" spans="1:12" x14ac:dyDescent="0.2">
      <c r="A982" s="84" t="s">
        <v>1510</v>
      </c>
      <c r="G982" s="45"/>
      <c r="L982" s="8"/>
    </row>
    <row r="983" spans="1:12" x14ac:dyDescent="0.2">
      <c r="A983" s="51" t="s">
        <v>812</v>
      </c>
      <c r="G983" s="45"/>
      <c r="L983" s="8"/>
    </row>
    <row r="984" spans="1:12" ht="15" x14ac:dyDescent="0.2">
      <c r="A984" s="82"/>
      <c r="G984" s="45"/>
      <c r="L984" s="8"/>
    </row>
    <row r="985" spans="1:12" x14ac:dyDescent="0.2">
      <c r="A985" s="83" t="s">
        <v>553</v>
      </c>
      <c r="G985" s="45"/>
      <c r="L985" s="8"/>
    </row>
    <row r="986" spans="1:12" x14ac:dyDescent="0.2">
      <c r="A986" s="84" t="s">
        <v>1511</v>
      </c>
      <c r="G986" s="45"/>
      <c r="L986" s="8"/>
    </row>
    <row r="987" spans="1:12" x14ac:dyDescent="0.2">
      <c r="A987" s="84" t="s">
        <v>1512</v>
      </c>
      <c r="G987" s="45"/>
      <c r="L987" s="8"/>
    </row>
    <row r="988" spans="1:12" x14ac:dyDescent="0.2">
      <c r="A988" s="84" t="s">
        <v>1513</v>
      </c>
      <c r="G988" s="45"/>
      <c r="L988" s="8"/>
    </row>
    <row r="989" spans="1:12" x14ac:dyDescent="0.2">
      <c r="A989" s="84" t="s">
        <v>1514</v>
      </c>
      <c r="G989" s="45"/>
      <c r="L989" s="8"/>
    </row>
    <row r="990" spans="1:12" x14ac:dyDescent="0.2">
      <c r="A990" s="84" t="s">
        <v>1515</v>
      </c>
      <c r="G990" s="45"/>
      <c r="L990" s="8"/>
    </row>
    <row r="991" spans="1:12" x14ac:dyDescent="0.2">
      <c r="A991" s="84" t="s">
        <v>1516</v>
      </c>
      <c r="G991" s="45"/>
      <c r="L991" s="8"/>
    </row>
    <row r="992" spans="1:12" x14ac:dyDescent="0.2">
      <c r="A992" s="51" t="s">
        <v>812</v>
      </c>
      <c r="G992" s="45"/>
      <c r="L992" s="8"/>
    </row>
    <row r="993" spans="1:12" ht="15" x14ac:dyDescent="0.2">
      <c r="A993" s="82"/>
      <c r="G993" s="45"/>
      <c r="L993" s="8"/>
    </row>
    <row r="994" spans="1:12" x14ac:dyDescent="0.2">
      <c r="A994" s="83" t="s">
        <v>558</v>
      </c>
      <c r="G994" s="45"/>
      <c r="L994" s="8"/>
    </row>
    <row r="995" spans="1:12" x14ac:dyDescent="0.2">
      <c r="A995" s="84" t="s">
        <v>1517</v>
      </c>
      <c r="G995" s="45"/>
      <c r="L995" s="8"/>
    </row>
    <row r="996" spans="1:12" x14ac:dyDescent="0.2">
      <c r="A996" s="84" t="s">
        <v>1518</v>
      </c>
      <c r="G996" s="45"/>
      <c r="L996" s="8"/>
    </row>
    <row r="997" spans="1:12" x14ac:dyDescent="0.2">
      <c r="A997" s="84" t="s">
        <v>1519</v>
      </c>
      <c r="G997" s="45"/>
      <c r="L997" s="8"/>
    </row>
    <row r="998" spans="1:12" x14ac:dyDescent="0.2">
      <c r="A998" s="84" t="s">
        <v>1520</v>
      </c>
      <c r="G998" s="45"/>
      <c r="L998" s="8"/>
    </row>
    <row r="999" spans="1:12" x14ac:dyDescent="0.2">
      <c r="A999" s="84" t="s">
        <v>3693</v>
      </c>
      <c r="G999" s="45"/>
      <c r="L999" s="8"/>
    </row>
    <row r="1000" spans="1:12" x14ac:dyDescent="0.2">
      <c r="A1000" s="84" t="s">
        <v>1521</v>
      </c>
      <c r="G1000" s="45"/>
      <c r="L1000" s="8"/>
    </row>
    <row r="1001" spans="1:12" x14ac:dyDescent="0.2">
      <c r="A1001" s="51" t="s">
        <v>812</v>
      </c>
      <c r="G1001" s="45"/>
      <c r="L1001" s="8"/>
    </row>
    <row r="1002" spans="1:12" ht="15" x14ac:dyDescent="0.2">
      <c r="A1002" s="82"/>
      <c r="G1002" s="45"/>
      <c r="L1002" s="8"/>
    </row>
    <row r="1003" spans="1:12" x14ac:dyDescent="0.2">
      <c r="A1003" s="83" t="s">
        <v>567</v>
      </c>
      <c r="G1003" s="45"/>
      <c r="L1003" s="8"/>
    </row>
    <row r="1004" spans="1:12" x14ac:dyDescent="0.2">
      <c r="A1004" s="84" t="s">
        <v>1522</v>
      </c>
      <c r="G1004" s="45"/>
      <c r="L1004" s="8"/>
    </row>
    <row r="1005" spans="1:12" x14ac:dyDescent="0.2">
      <c r="A1005" s="84" t="s">
        <v>1523</v>
      </c>
      <c r="G1005" s="45"/>
      <c r="L1005" s="8"/>
    </row>
    <row r="1006" spans="1:12" x14ac:dyDescent="0.2">
      <c r="A1006" s="84" t="s">
        <v>1524</v>
      </c>
      <c r="G1006" s="45"/>
      <c r="L1006" s="8"/>
    </row>
    <row r="1007" spans="1:12" x14ac:dyDescent="0.2">
      <c r="A1007" s="84" t="s">
        <v>1525</v>
      </c>
      <c r="G1007" s="45"/>
      <c r="L1007" s="8"/>
    </row>
    <row r="1008" spans="1:12" x14ac:dyDescent="0.2">
      <c r="A1008" s="84" t="s">
        <v>1526</v>
      </c>
      <c r="G1008" s="45"/>
      <c r="L1008" s="8"/>
    </row>
    <row r="1009" spans="1:12" x14ac:dyDescent="0.2">
      <c r="A1009" s="84" t="s">
        <v>1527</v>
      </c>
      <c r="G1009" s="45"/>
      <c r="L1009" s="8"/>
    </row>
    <row r="1010" spans="1:12" x14ac:dyDescent="0.2">
      <c r="A1010" s="51" t="s">
        <v>812</v>
      </c>
      <c r="G1010" s="45"/>
      <c r="L1010" s="8"/>
    </row>
    <row r="1011" spans="1:12" x14ac:dyDescent="0.2">
      <c r="A1011" s="51" t="s">
        <v>815</v>
      </c>
      <c r="G1011" s="45"/>
      <c r="L1011" s="8"/>
    </row>
    <row r="1012" spans="1:12" ht="15" x14ac:dyDescent="0.2">
      <c r="A1012" s="82"/>
      <c r="G1012" s="45"/>
      <c r="L1012" s="8"/>
    </row>
    <row r="1013" spans="1:12" x14ac:dyDescent="0.2">
      <c r="A1013" s="83" t="s">
        <v>1029</v>
      </c>
      <c r="G1013" s="45"/>
      <c r="L1013" s="8"/>
    </row>
    <row r="1014" spans="1:12" x14ac:dyDescent="0.2">
      <c r="A1014" s="84" t="s">
        <v>1528</v>
      </c>
      <c r="G1014" s="45"/>
      <c r="L1014" s="8"/>
    </row>
    <row r="1015" spans="1:12" x14ac:dyDescent="0.2">
      <c r="A1015" s="84" t="s">
        <v>1529</v>
      </c>
      <c r="G1015" s="45"/>
      <c r="L1015" s="8"/>
    </row>
    <row r="1016" spans="1:12" x14ac:dyDescent="0.2">
      <c r="A1016" s="84" t="s">
        <v>1524</v>
      </c>
      <c r="G1016" s="45"/>
      <c r="L1016" s="8"/>
    </row>
    <row r="1017" spans="1:12" x14ac:dyDescent="0.2">
      <c r="A1017" s="84" t="s">
        <v>1525</v>
      </c>
      <c r="G1017" s="45"/>
      <c r="L1017" s="8"/>
    </row>
    <row r="1018" spans="1:12" x14ac:dyDescent="0.2">
      <c r="A1018" s="84" t="s">
        <v>1526</v>
      </c>
      <c r="G1018" s="45"/>
      <c r="L1018" s="8"/>
    </row>
    <row r="1019" spans="1:12" x14ac:dyDescent="0.2">
      <c r="A1019" s="84" t="s">
        <v>1530</v>
      </c>
      <c r="G1019" s="45"/>
      <c r="L1019" s="8"/>
    </row>
    <row r="1020" spans="1:12" x14ac:dyDescent="0.2">
      <c r="A1020" s="51" t="s">
        <v>812</v>
      </c>
      <c r="G1020" s="45"/>
      <c r="L1020" s="8"/>
    </row>
    <row r="1021" spans="1:12" x14ac:dyDescent="0.2">
      <c r="A1021" s="51" t="s">
        <v>815</v>
      </c>
      <c r="G1021" s="45"/>
      <c r="L1021" s="8"/>
    </row>
    <row r="1022" spans="1:12" ht="15" x14ac:dyDescent="0.2">
      <c r="A1022" s="82"/>
      <c r="G1022" s="45"/>
      <c r="L1022" s="8"/>
    </row>
    <row r="1023" spans="1:12" x14ac:dyDescent="0.2">
      <c r="A1023" s="83" t="s">
        <v>570</v>
      </c>
      <c r="G1023" s="45"/>
      <c r="L1023" s="8"/>
    </row>
    <row r="1024" spans="1:12" x14ac:dyDescent="0.2">
      <c r="A1024" s="84" t="s">
        <v>1531</v>
      </c>
      <c r="G1024" s="45"/>
      <c r="L1024" s="8"/>
    </row>
    <row r="1025" spans="1:12" x14ac:dyDescent="0.2">
      <c r="A1025" s="84" t="s">
        <v>1532</v>
      </c>
      <c r="G1025" s="45"/>
      <c r="L1025" s="8"/>
    </row>
    <row r="1026" spans="1:12" x14ac:dyDescent="0.2">
      <c r="A1026" s="84" t="s">
        <v>1524</v>
      </c>
      <c r="G1026" s="45"/>
      <c r="L1026" s="8"/>
    </row>
    <row r="1027" spans="1:12" x14ac:dyDescent="0.2">
      <c r="A1027" s="84" t="s">
        <v>1525</v>
      </c>
      <c r="G1027" s="45"/>
      <c r="L1027" s="8"/>
    </row>
    <row r="1028" spans="1:12" x14ac:dyDescent="0.2">
      <c r="A1028" s="84" t="s">
        <v>1526</v>
      </c>
      <c r="G1028" s="45"/>
      <c r="L1028" s="8"/>
    </row>
    <row r="1029" spans="1:12" x14ac:dyDescent="0.2">
      <c r="A1029" s="84" t="s">
        <v>1533</v>
      </c>
      <c r="G1029" s="45"/>
      <c r="L1029" s="8"/>
    </row>
    <row r="1030" spans="1:12" x14ac:dyDescent="0.2">
      <c r="A1030" s="51" t="s">
        <v>812</v>
      </c>
      <c r="G1030" s="45"/>
      <c r="L1030" s="8"/>
    </row>
    <row r="1031" spans="1:12" x14ac:dyDescent="0.2">
      <c r="A1031" s="51" t="s">
        <v>815</v>
      </c>
      <c r="G1031" s="45"/>
      <c r="L1031" s="8"/>
    </row>
    <row r="1032" spans="1:12" ht="15" x14ac:dyDescent="0.2">
      <c r="A1032" s="82"/>
      <c r="G1032" s="45"/>
      <c r="L1032" s="8"/>
    </row>
    <row r="1033" spans="1:12" x14ac:dyDescent="0.2">
      <c r="A1033" s="83" t="s">
        <v>3590</v>
      </c>
      <c r="G1033" s="45"/>
      <c r="L1033" s="8"/>
    </row>
    <row r="1034" spans="1:12" x14ac:dyDescent="0.2">
      <c r="A1034" s="84" t="s">
        <v>1534</v>
      </c>
      <c r="G1034" s="45"/>
      <c r="L1034" s="8"/>
    </row>
    <row r="1035" spans="1:12" x14ac:dyDescent="0.2">
      <c r="A1035" s="84" t="s">
        <v>1535</v>
      </c>
      <c r="G1035" s="45"/>
      <c r="L1035" s="8"/>
    </row>
    <row r="1036" spans="1:12" x14ac:dyDescent="0.2">
      <c r="A1036" s="84" t="s">
        <v>1536</v>
      </c>
      <c r="G1036" s="45"/>
      <c r="L1036" s="8"/>
    </row>
    <row r="1037" spans="1:12" x14ac:dyDescent="0.2">
      <c r="A1037" s="84" t="s">
        <v>1537</v>
      </c>
      <c r="G1037" s="45"/>
      <c r="L1037" s="8"/>
    </row>
    <row r="1038" spans="1:12" x14ac:dyDescent="0.2">
      <c r="A1038" s="84" t="s">
        <v>1538</v>
      </c>
      <c r="G1038" s="45"/>
      <c r="L1038" s="8"/>
    </row>
    <row r="1039" spans="1:12" x14ac:dyDescent="0.2">
      <c r="A1039" s="84" t="s">
        <v>1539</v>
      </c>
      <c r="G1039" s="45"/>
      <c r="L1039" s="8"/>
    </row>
    <row r="1040" spans="1:12" x14ac:dyDescent="0.2">
      <c r="A1040" s="51" t="s">
        <v>812</v>
      </c>
      <c r="G1040" s="45"/>
      <c r="L1040" s="8"/>
    </row>
    <row r="1041" spans="1:12" x14ac:dyDescent="0.2">
      <c r="A1041" s="51" t="s">
        <v>815</v>
      </c>
      <c r="G1041" s="45"/>
      <c r="L1041" s="8"/>
    </row>
    <row r="1042" spans="1:12" ht="15" x14ac:dyDescent="0.2">
      <c r="A1042" s="82"/>
      <c r="G1042" s="45"/>
      <c r="L1042" s="8"/>
    </row>
    <row r="1043" spans="1:12" x14ac:dyDescent="0.2">
      <c r="A1043" s="83" t="s">
        <v>574</v>
      </c>
      <c r="G1043" s="45"/>
      <c r="L1043" s="8"/>
    </row>
    <row r="1044" spans="1:12" x14ac:dyDescent="0.2">
      <c r="A1044" s="84" t="s">
        <v>1540</v>
      </c>
      <c r="G1044" s="45"/>
      <c r="L1044" s="8"/>
    </row>
    <row r="1045" spans="1:12" x14ac:dyDescent="0.2">
      <c r="A1045" s="84" t="s">
        <v>1541</v>
      </c>
      <c r="G1045" s="45"/>
      <c r="L1045" s="8"/>
    </row>
    <row r="1046" spans="1:12" x14ac:dyDescent="0.2">
      <c r="A1046" s="84" t="s">
        <v>1542</v>
      </c>
      <c r="G1046" s="45"/>
      <c r="L1046" s="8"/>
    </row>
    <row r="1047" spans="1:12" x14ac:dyDescent="0.2">
      <c r="A1047" s="84" t="s">
        <v>1543</v>
      </c>
      <c r="G1047" s="45"/>
      <c r="L1047" s="8"/>
    </row>
    <row r="1048" spans="1:12" x14ac:dyDescent="0.2">
      <c r="A1048" s="84" t="s">
        <v>1544</v>
      </c>
      <c r="G1048" s="45"/>
      <c r="L1048" s="8"/>
    </row>
    <row r="1049" spans="1:12" x14ac:dyDescent="0.2">
      <c r="A1049" s="84" t="s">
        <v>1545</v>
      </c>
      <c r="G1049" s="45"/>
      <c r="L1049" s="8"/>
    </row>
    <row r="1050" spans="1:12" x14ac:dyDescent="0.2">
      <c r="A1050" s="51" t="s">
        <v>812</v>
      </c>
      <c r="G1050" s="45"/>
      <c r="L1050" s="8"/>
    </row>
    <row r="1051" spans="1:12" ht="15" x14ac:dyDescent="0.2">
      <c r="A1051" s="82"/>
      <c r="G1051" s="45"/>
      <c r="L1051" s="8"/>
    </row>
    <row r="1052" spans="1:12" x14ac:dyDescent="0.2">
      <c r="A1052" s="83" t="s">
        <v>584</v>
      </c>
      <c r="G1052" s="45"/>
      <c r="L1052" s="8"/>
    </row>
    <row r="1053" spans="1:12" x14ac:dyDescent="0.2">
      <c r="A1053" s="84" t="s">
        <v>1546</v>
      </c>
      <c r="G1053" s="45"/>
      <c r="L1053" s="8"/>
    </row>
    <row r="1054" spans="1:12" x14ac:dyDescent="0.2">
      <c r="A1054" s="84" t="s">
        <v>1547</v>
      </c>
      <c r="G1054" s="45"/>
      <c r="L1054" s="8"/>
    </row>
    <row r="1055" spans="1:12" x14ac:dyDescent="0.2">
      <c r="A1055" s="84" t="s">
        <v>1548</v>
      </c>
      <c r="G1055" s="45"/>
      <c r="L1055" s="8"/>
    </row>
    <row r="1056" spans="1:12" x14ac:dyDescent="0.2">
      <c r="A1056" s="84" t="s">
        <v>1549</v>
      </c>
      <c r="G1056" s="45"/>
      <c r="L1056" s="8"/>
    </row>
    <row r="1057" spans="1:12" x14ac:dyDescent="0.2">
      <c r="A1057" s="84" t="s">
        <v>1550</v>
      </c>
      <c r="G1057" s="45"/>
      <c r="L1057" s="8"/>
    </row>
    <row r="1058" spans="1:12" x14ac:dyDescent="0.2">
      <c r="A1058" s="84" t="s">
        <v>1551</v>
      </c>
      <c r="G1058" s="45"/>
      <c r="L1058" s="8"/>
    </row>
    <row r="1059" spans="1:12" x14ac:dyDescent="0.2">
      <c r="A1059" s="51" t="s">
        <v>812</v>
      </c>
      <c r="G1059" s="45"/>
      <c r="L1059" s="8"/>
    </row>
    <row r="1060" spans="1:12" ht="15" x14ac:dyDescent="0.2">
      <c r="A1060" s="82"/>
      <c r="G1060" s="45"/>
      <c r="L1060" s="8"/>
    </row>
    <row r="1061" spans="1:12" x14ac:dyDescent="0.2">
      <c r="A1061" s="83" t="s">
        <v>589</v>
      </c>
      <c r="G1061" s="45"/>
      <c r="L1061" s="8"/>
    </row>
    <row r="1062" spans="1:12" x14ac:dyDescent="0.2">
      <c r="A1062" s="84" t="s">
        <v>1552</v>
      </c>
      <c r="G1062" s="45"/>
      <c r="L1062" s="8"/>
    </row>
    <row r="1063" spans="1:12" x14ac:dyDescent="0.2">
      <c r="A1063" s="84" t="s">
        <v>1553</v>
      </c>
      <c r="G1063" s="45"/>
      <c r="L1063" s="8"/>
    </row>
    <row r="1064" spans="1:12" x14ac:dyDescent="0.2">
      <c r="A1064" s="84" t="s">
        <v>1554</v>
      </c>
      <c r="G1064" s="45"/>
      <c r="L1064" s="8"/>
    </row>
    <row r="1065" spans="1:12" x14ac:dyDescent="0.2">
      <c r="A1065" s="84" t="s">
        <v>1555</v>
      </c>
      <c r="G1065" s="45"/>
      <c r="L1065" s="8"/>
    </row>
    <row r="1066" spans="1:12" x14ac:dyDescent="0.2">
      <c r="A1066" s="84" t="s">
        <v>1556</v>
      </c>
      <c r="G1066" s="45"/>
      <c r="L1066" s="8"/>
    </row>
    <row r="1067" spans="1:12" x14ac:dyDescent="0.2">
      <c r="A1067" s="84" t="s">
        <v>1107</v>
      </c>
      <c r="G1067" s="45"/>
      <c r="L1067" s="8"/>
    </row>
    <row r="1068" spans="1:12" x14ac:dyDescent="0.2">
      <c r="A1068" s="51" t="s">
        <v>812</v>
      </c>
      <c r="G1068" s="45"/>
      <c r="L1068" s="8"/>
    </row>
    <row r="1069" spans="1:12" x14ac:dyDescent="0.2">
      <c r="A1069" s="51" t="s">
        <v>815</v>
      </c>
      <c r="G1069" s="45"/>
      <c r="L1069" s="8"/>
    </row>
    <row r="1070" spans="1:12" ht="15" x14ac:dyDescent="0.2">
      <c r="A1070" s="82"/>
      <c r="G1070" s="45"/>
      <c r="L1070" s="8"/>
    </row>
    <row r="1071" spans="1:12" x14ac:dyDescent="0.2">
      <c r="A1071" s="83" t="s">
        <v>593</v>
      </c>
      <c r="G1071" s="45"/>
      <c r="L1071" s="8"/>
    </row>
    <row r="1072" spans="1:12" x14ac:dyDescent="0.2">
      <c r="A1072" s="84" t="s">
        <v>1557</v>
      </c>
      <c r="G1072" s="45"/>
      <c r="L1072" s="8"/>
    </row>
    <row r="1073" spans="1:12" x14ac:dyDescent="0.2">
      <c r="A1073" s="84" t="s">
        <v>1558</v>
      </c>
      <c r="G1073" s="45"/>
      <c r="L1073" s="8"/>
    </row>
    <row r="1074" spans="1:12" x14ac:dyDescent="0.2">
      <c r="A1074" s="84" t="s">
        <v>1559</v>
      </c>
      <c r="G1074" s="45"/>
      <c r="L1074" s="8"/>
    </row>
    <row r="1075" spans="1:12" x14ac:dyDescent="0.2">
      <c r="A1075" s="84" t="s">
        <v>1555</v>
      </c>
      <c r="G1075" s="45"/>
      <c r="L1075" s="8"/>
    </row>
    <row r="1076" spans="1:12" x14ac:dyDescent="0.2">
      <c r="A1076" s="84" t="s">
        <v>1560</v>
      </c>
      <c r="G1076" s="45"/>
      <c r="L1076" s="8"/>
    </row>
    <row r="1077" spans="1:12" x14ac:dyDescent="0.2">
      <c r="A1077" s="84" t="s">
        <v>1561</v>
      </c>
      <c r="G1077" s="45"/>
      <c r="L1077" s="8"/>
    </row>
    <row r="1078" spans="1:12" x14ac:dyDescent="0.2">
      <c r="A1078" s="51" t="s">
        <v>812</v>
      </c>
      <c r="G1078" s="45"/>
      <c r="L1078" s="8"/>
    </row>
    <row r="1079" spans="1:12" x14ac:dyDescent="0.2">
      <c r="A1079" s="51" t="s">
        <v>815</v>
      </c>
      <c r="G1079" s="45"/>
      <c r="L1079" s="8"/>
    </row>
    <row r="1080" spans="1:12" ht="15" x14ac:dyDescent="0.2">
      <c r="A1080" s="82"/>
      <c r="G1080" s="45"/>
      <c r="L1080" s="8"/>
    </row>
    <row r="1081" spans="1:12" x14ac:dyDescent="0.2">
      <c r="A1081" s="83" t="s">
        <v>1044</v>
      </c>
      <c r="G1081" s="45"/>
      <c r="L1081" s="8"/>
    </row>
    <row r="1082" spans="1:12" x14ac:dyDescent="0.2">
      <c r="A1082" s="84" t="s">
        <v>1562</v>
      </c>
      <c r="G1082" s="45"/>
      <c r="L1082" s="8"/>
    </row>
    <row r="1083" spans="1:12" x14ac:dyDescent="0.2">
      <c r="A1083" s="84" t="s">
        <v>1563</v>
      </c>
      <c r="G1083" s="45"/>
      <c r="L1083" s="8"/>
    </row>
    <row r="1084" spans="1:12" x14ac:dyDescent="0.2">
      <c r="A1084" s="84" t="s">
        <v>1564</v>
      </c>
      <c r="G1084" s="45"/>
      <c r="L1084" s="8"/>
    </row>
    <row r="1085" spans="1:12" x14ac:dyDescent="0.2">
      <c r="A1085" s="84" t="s">
        <v>847</v>
      </c>
      <c r="G1085" s="45"/>
      <c r="L1085" s="8"/>
    </row>
    <row r="1086" spans="1:12" x14ac:dyDescent="0.2">
      <c r="A1086" s="84" t="s">
        <v>1565</v>
      </c>
      <c r="G1086" s="45"/>
      <c r="L1086" s="8"/>
    </row>
    <row r="1087" spans="1:12" x14ac:dyDescent="0.2">
      <c r="A1087" s="84" t="s">
        <v>1566</v>
      </c>
      <c r="G1087" s="45"/>
      <c r="L1087" s="8"/>
    </row>
    <row r="1088" spans="1:12" x14ac:dyDescent="0.2">
      <c r="A1088" s="51" t="s">
        <v>812</v>
      </c>
      <c r="G1088" s="45"/>
      <c r="L1088" s="8"/>
    </row>
    <row r="1089" spans="1:12" ht="15" x14ac:dyDescent="0.2">
      <c r="A1089" s="82"/>
      <c r="G1089" s="45"/>
      <c r="L1089" s="8"/>
    </row>
    <row r="1090" spans="1:12" x14ac:dyDescent="0.2">
      <c r="A1090" s="83" t="s">
        <v>327</v>
      </c>
      <c r="G1090" s="45"/>
      <c r="L1090" s="8"/>
    </row>
    <row r="1091" spans="1:12" x14ac:dyDescent="0.2">
      <c r="A1091" s="84" t="s">
        <v>1567</v>
      </c>
      <c r="G1091" s="45"/>
      <c r="L1091" s="8"/>
    </row>
    <row r="1092" spans="1:12" x14ac:dyDescent="0.2">
      <c r="A1092" s="84" t="s">
        <v>1568</v>
      </c>
      <c r="G1092" s="45"/>
      <c r="L1092" s="8"/>
    </row>
    <row r="1093" spans="1:12" x14ac:dyDescent="0.2">
      <c r="A1093" s="84" t="s">
        <v>1569</v>
      </c>
      <c r="G1093" s="45"/>
      <c r="L1093" s="8"/>
    </row>
    <row r="1094" spans="1:12" x14ac:dyDescent="0.2">
      <c r="A1094" s="84" t="s">
        <v>1193</v>
      </c>
      <c r="G1094" s="45"/>
      <c r="L1094" s="8"/>
    </row>
    <row r="1095" spans="1:12" x14ac:dyDescent="0.2">
      <c r="A1095" s="84" t="s">
        <v>1194</v>
      </c>
      <c r="G1095" s="45"/>
      <c r="L1095" s="8"/>
    </row>
    <row r="1096" spans="1:12" x14ac:dyDescent="0.2">
      <c r="A1096" s="84" t="s">
        <v>1570</v>
      </c>
      <c r="G1096" s="45"/>
      <c r="L1096" s="8"/>
    </row>
    <row r="1097" spans="1:12" x14ac:dyDescent="0.2">
      <c r="A1097" s="51" t="s">
        <v>812</v>
      </c>
      <c r="G1097" s="45"/>
      <c r="L1097" s="8"/>
    </row>
    <row r="1098" spans="1:12" ht="15" x14ac:dyDescent="0.2">
      <c r="A1098" s="82"/>
      <c r="G1098" s="45"/>
      <c r="L1098" s="8"/>
    </row>
    <row r="1099" spans="1:12" x14ac:dyDescent="0.2">
      <c r="A1099" s="83" t="s">
        <v>415</v>
      </c>
      <c r="G1099" s="45"/>
      <c r="L1099" s="8"/>
    </row>
    <row r="1100" spans="1:12" x14ac:dyDescent="0.2">
      <c r="A1100" s="84" t="s">
        <v>1571</v>
      </c>
      <c r="G1100" s="45"/>
      <c r="L1100" s="8"/>
    </row>
    <row r="1101" spans="1:12" x14ac:dyDescent="0.2">
      <c r="A1101" s="84" t="s">
        <v>1572</v>
      </c>
      <c r="G1101" s="45"/>
      <c r="L1101" s="8"/>
    </row>
    <row r="1102" spans="1:12" x14ac:dyDescent="0.2">
      <c r="A1102" s="84" t="s">
        <v>1573</v>
      </c>
      <c r="G1102" s="45"/>
      <c r="L1102" s="8"/>
    </row>
    <row r="1103" spans="1:12" x14ac:dyDescent="0.2">
      <c r="A1103" s="84" t="s">
        <v>914</v>
      </c>
      <c r="G1103" s="45"/>
      <c r="L1103" s="8"/>
    </row>
    <row r="1104" spans="1:12" x14ac:dyDescent="0.2">
      <c r="A1104" s="84" t="s">
        <v>1133</v>
      </c>
      <c r="G1104" s="45"/>
      <c r="L1104" s="8"/>
    </row>
    <row r="1105" spans="1:12" x14ac:dyDescent="0.2">
      <c r="A1105" s="84" t="s">
        <v>1574</v>
      </c>
      <c r="G1105" s="45"/>
      <c r="L1105" s="8"/>
    </row>
    <row r="1106" spans="1:12" x14ac:dyDescent="0.2">
      <c r="A1106" s="51" t="s">
        <v>812</v>
      </c>
      <c r="G1106" s="45"/>
      <c r="L1106" s="8"/>
    </row>
    <row r="1107" spans="1:12" x14ac:dyDescent="0.2">
      <c r="A1107" s="51" t="s">
        <v>815</v>
      </c>
      <c r="G1107" s="45"/>
      <c r="L1107" s="8"/>
    </row>
    <row r="1108" spans="1:12" ht="15" x14ac:dyDescent="0.2">
      <c r="A1108" s="82"/>
      <c r="G1108" s="45"/>
      <c r="L1108" s="8"/>
    </row>
    <row r="1109" spans="1:12" x14ac:dyDescent="0.2">
      <c r="A1109" s="83" t="s">
        <v>603</v>
      </c>
      <c r="G1109" s="45"/>
      <c r="L1109" s="8"/>
    </row>
    <row r="1110" spans="1:12" x14ac:dyDescent="0.2">
      <c r="A1110" s="84" t="s">
        <v>1575</v>
      </c>
      <c r="G1110" s="45"/>
      <c r="L1110" s="8"/>
    </row>
    <row r="1111" spans="1:12" x14ac:dyDescent="0.2">
      <c r="A1111" s="84" t="s">
        <v>1576</v>
      </c>
      <c r="G1111" s="45"/>
      <c r="L1111" s="8"/>
    </row>
    <row r="1112" spans="1:12" x14ac:dyDescent="0.2">
      <c r="A1112" s="84" t="s">
        <v>1577</v>
      </c>
      <c r="G1112" s="45"/>
      <c r="L1112" s="8"/>
    </row>
    <row r="1113" spans="1:12" x14ac:dyDescent="0.2">
      <c r="A1113" s="84" t="s">
        <v>1578</v>
      </c>
      <c r="G1113" s="45"/>
      <c r="L1113" s="8"/>
    </row>
    <row r="1114" spans="1:12" x14ac:dyDescent="0.2">
      <c r="A1114" s="84" t="s">
        <v>1579</v>
      </c>
      <c r="G1114" s="45"/>
      <c r="L1114" s="8"/>
    </row>
    <row r="1115" spans="1:12" x14ac:dyDescent="0.2">
      <c r="A1115" s="84" t="s">
        <v>1580</v>
      </c>
      <c r="G1115" s="45"/>
      <c r="L1115" s="8"/>
    </row>
    <row r="1116" spans="1:12" x14ac:dyDescent="0.2">
      <c r="A1116" s="51" t="s">
        <v>812</v>
      </c>
      <c r="G1116" s="45"/>
      <c r="L1116" s="8"/>
    </row>
    <row r="1117" spans="1:12" ht="15" x14ac:dyDescent="0.2">
      <c r="A1117" s="82"/>
      <c r="G1117" s="45"/>
      <c r="L1117" s="8"/>
    </row>
    <row r="1118" spans="1:12" x14ac:dyDescent="0.2">
      <c r="A1118" s="83" t="s">
        <v>609</v>
      </c>
      <c r="G1118" s="45"/>
      <c r="L1118" s="8"/>
    </row>
    <row r="1119" spans="1:12" x14ac:dyDescent="0.2">
      <c r="A1119" s="84" t="s">
        <v>1581</v>
      </c>
      <c r="G1119" s="45"/>
      <c r="L1119" s="8"/>
    </row>
    <row r="1120" spans="1:12" x14ac:dyDescent="0.2">
      <c r="A1120" s="84" t="s">
        <v>1582</v>
      </c>
      <c r="G1120" s="45"/>
      <c r="L1120" s="8"/>
    </row>
    <row r="1121" spans="1:12" x14ac:dyDescent="0.2">
      <c r="A1121" s="84" t="s">
        <v>1583</v>
      </c>
      <c r="G1121" s="45"/>
      <c r="L1121" s="8"/>
    </row>
    <row r="1122" spans="1:12" x14ac:dyDescent="0.2">
      <c r="A1122" s="84" t="s">
        <v>1584</v>
      </c>
      <c r="G1122" s="45"/>
      <c r="L1122" s="8"/>
    </row>
    <row r="1123" spans="1:12" x14ac:dyDescent="0.2">
      <c r="A1123" s="84" t="s">
        <v>1585</v>
      </c>
      <c r="G1123" s="45"/>
      <c r="L1123" s="8"/>
    </row>
    <row r="1124" spans="1:12" x14ac:dyDescent="0.2">
      <c r="A1124" s="84" t="s">
        <v>1586</v>
      </c>
      <c r="G1124" s="45"/>
      <c r="L1124" s="8"/>
    </row>
    <row r="1125" spans="1:12" x14ac:dyDescent="0.2">
      <c r="A1125" s="51" t="s">
        <v>812</v>
      </c>
      <c r="G1125" s="45"/>
      <c r="L1125" s="8"/>
    </row>
    <row r="1126" spans="1:12" ht="15" x14ac:dyDescent="0.2">
      <c r="A1126" s="82"/>
      <c r="G1126" s="45"/>
      <c r="L1126" s="8"/>
    </row>
    <row r="1127" spans="1:12" x14ac:dyDescent="0.2">
      <c r="A1127" s="83" t="s">
        <v>1054</v>
      </c>
      <c r="G1127" s="45"/>
      <c r="L1127" s="8"/>
    </row>
    <row r="1128" spans="1:12" x14ac:dyDescent="0.2">
      <c r="A1128" s="84" t="s">
        <v>1587</v>
      </c>
      <c r="G1128" s="45"/>
      <c r="L1128" s="8"/>
    </row>
    <row r="1129" spans="1:12" x14ac:dyDescent="0.2">
      <c r="A1129" s="84" t="s">
        <v>1588</v>
      </c>
      <c r="G1129" s="45"/>
      <c r="L1129" s="8"/>
    </row>
    <row r="1130" spans="1:12" x14ac:dyDescent="0.2">
      <c r="A1130" s="84" t="s">
        <v>1589</v>
      </c>
      <c r="G1130" s="45"/>
      <c r="L1130" s="8"/>
    </row>
    <row r="1131" spans="1:12" x14ac:dyDescent="0.2">
      <c r="A1131" s="84" t="s">
        <v>1590</v>
      </c>
      <c r="G1131" s="45"/>
      <c r="L1131" s="8"/>
    </row>
    <row r="1132" spans="1:12" x14ac:dyDescent="0.2">
      <c r="A1132" s="84" t="s">
        <v>1591</v>
      </c>
      <c r="G1132" s="45"/>
      <c r="L1132" s="8"/>
    </row>
    <row r="1133" spans="1:12" x14ac:dyDescent="0.2">
      <c r="A1133" s="84" t="s">
        <v>1592</v>
      </c>
      <c r="G1133" s="45"/>
      <c r="L1133" s="8"/>
    </row>
    <row r="1134" spans="1:12" x14ac:dyDescent="0.2">
      <c r="A1134" s="51" t="s">
        <v>812</v>
      </c>
      <c r="G1134" s="45"/>
      <c r="L1134" s="8"/>
    </row>
    <row r="1135" spans="1:12" x14ac:dyDescent="0.2">
      <c r="A1135" s="51" t="s">
        <v>815</v>
      </c>
      <c r="G1135" s="45"/>
      <c r="L1135" s="8"/>
    </row>
    <row r="1136" spans="1:12" ht="15" x14ac:dyDescent="0.2">
      <c r="A1136" s="82"/>
      <c r="G1136" s="45"/>
      <c r="L1136" s="8"/>
    </row>
    <row r="1137" spans="1:12" x14ac:dyDescent="0.2">
      <c r="A1137" s="83" t="s">
        <v>1058</v>
      </c>
      <c r="G1137" s="45"/>
      <c r="L1137" s="8"/>
    </row>
    <row r="1138" spans="1:12" x14ac:dyDescent="0.2">
      <c r="A1138" s="84" t="s">
        <v>1593</v>
      </c>
      <c r="G1138" s="45"/>
      <c r="L1138" s="8"/>
    </row>
    <row r="1139" spans="1:12" x14ac:dyDescent="0.2">
      <c r="A1139" s="84" t="s">
        <v>1594</v>
      </c>
      <c r="G1139" s="45"/>
      <c r="L1139" s="8"/>
    </row>
    <row r="1140" spans="1:12" x14ac:dyDescent="0.2">
      <c r="A1140" s="84" t="s">
        <v>1595</v>
      </c>
      <c r="G1140" s="45"/>
      <c r="L1140" s="8"/>
    </row>
    <row r="1141" spans="1:12" x14ac:dyDescent="0.2">
      <c r="A1141" s="84" t="s">
        <v>1596</v>
      </c>
      <c r="G1141" s="45"/>
      <c r="L1141" s="8"/>
    </row>
    <row r="1142" spans="1:12" x14ac:dyDescent="0.2">
      <c r="A1142" s="84" t="s">
        <v>1597</v>
      </c>
      <c r="G1142" s="45"/>
      <c r="L1142" s="8"/>
    </row>
    <row r="1143" spans="1:12" x14ac:dyDescent="0.2">
      <c r="A1143" s="84" t="s">
        <v>1598</v>
      </c>
      <c r="G1143" s="45"/>
      <c r="L1143" s="8"/>
    </row>
    <row r="1144" spans="1:12" x14ac:dyDescent="0.2">
      <c r="A1144" s="51" t="s">
        <v>812</v>
      </c>
      <c r="G1144" s="45"/>
      <c r="L1144" s="8"/>
    </row>
    <row r="1145" spans="1:12" x14ac:dyDescent="0.2">
      <c r="A1145" s="51" t="s">
        <v>815</v>
      </c>
      <c r="G1145" s="45"/>
      <c r="L1145" s="8"/>
    </row>
    <row r="1146" spans="1:12" ht="15" x14ac:dyDescent="0.2">
      <c r="A1146" s="82"/>
      <c r="G1146" s="45"/>
      <c r="L1146" s="8"/>
    </row>
    <row r="1147" spans="1:12" x14ac:dyDescent="0.2">
      <c r="A1147" s="83" t="s">
        <v>533</v>
      </c>
      <c r="G1147" s="45"/>
      <c r="L1147" s="8"/>
    </row>
    <row r="1148" spans="1:12" x14ac:dyDescent="0.2">
      <c r="A1148" s="84" t="s">
        <v>1599</v>
      </c>
      <c r="G1148" s="45"/>
      <c r="L1148" s="8"/>
    </row>
    <row r="1149" spans="1:12" x14ac:dyDescent="0.2">
      <c r="A1149" s="84" t="s">
        <v>1600</v>
      </c>
      <c r="G1149" s="45"/>
      <c r="L1149" s="8"/>
    </row>
    <row r="1150" spans="1:12" x14ac:dyDescent="0.2">
      <c r="A1150" s="84" t="s">
        <v>1601</v>
      </c>
      <c r="G1150" s="45"/>
      <c r="L1150" s="8"/>
    </row>
    <row r="1151" spans="1:12" x14ac:dyDescent="0.2">
      <c r="A1151" s="84" t="s">
        <v>1602</v>
      </c>
      <c r="G1151" s="45"/>
      <c r="L1151" s="8"/>
    </row>
    <row r="1152" spans="1:12" x14ac:dyDescent="0.2">
      <c r="A1152" s="84" t="s">
        <v>1603</v>
      </c>
      <c r="G1152" s="45"/>
      <c r="L1152" s="8"/>
    </row>
    <row r="1153" spans="1:12" x14ac:dyDescent="0.2">
      <c r="A1153" s="84" t="s">
        <v>1604</v>
      </c>
      <c r="G1153" s="45"/>
      <c r="L1153" s="8"/>
    </row>
    <row r="1154" spans="1:12" x14ac:dyDescent="0.2">
      <c r="A1154" s="51" t="s">
        <v>812</v>
      </c>
      <c r="G1154" s="45"/>
      <c r="L1154" s="8"/>
    </row>
    <row r="1155" spans="1:12" ht="15" x14ac:dyDescent="0.2">
      <c r="A1155" s="82"/>
      <c r="G1155" s="45"/>
      <c r="L1155" s="8"/>
    </row>
    <row r="1156" spans="1:12" x14ac:dyDescent="0.2">
      <c r="A1156" s="83" t="s">
        <v>529</v>
      </c>
      <c r="G1156" s="45"/>
      <c r="L1156" s="8"/>
    </row>
    <row r="1157" spans="1:12" x14ac:dyDescent="0.2">
      <c r="A1157" s="84" t="s">
        <v>1605</v>
      </c>
      <c r="G1157" s="45"/>
      <c r="L1157" s="8"/>
    </row>
    <row r="1158" spans="1:12" x14ac:dyDescent="0.2">
      <c r="A1158" s="84" t="s">
        <v>1606</v>
      </c>
      <c r="G1158" s="45"/>
      <c r="L1158" s="8"/>
    </row>
    <row r="1159" spans="1:12" x14ac:dyDescent="0.2">
      <c r="A1159" s="84" t="s">
        <v>1607</v>
      </c>
      <c r="G1159" s="45"/>
      <c r="L1159" s="8"/>
    </row>
    <row r="1160" spans="1:12" x14ac:dyDescent="0.2">
      <c r="A1160" s="84" t="s">
        <v>1608</v>
      </c>
      <c r="G1160" s="45"/>
      <c r="L1160" s="8"/>
    </row>
    <row r="1161" spans="1:12" x14ac:dyDescent="0.2">
      <c r="A1161" s="84" t="s">
        <v>1603</v>
      </c>
      <c r="G1161" s="45"/>
      <c r="L1161" s="8"/>
    </row>
    <row r="1162" spans="1:12" x14ac:dyDescent="0.2">
      <c r="A1162" s="84" t="s">
        <v>1609</v>
      </c>
      <c r="G1162" s="45"/>
      <c r="L1162" s="8"/>
    </row>
    <row r="1163" spans="1:12" x14ac:dyDescent="0.2">
      <c r="A1163" s="51" t="s">
        <v>812</v>
      </c>
      <c r="G1163" s="45"/>
      <c r="L1163" s="8"/>
    </row>
    <row r="1164" spans="1:12" ht="15" x14ac:dyDescent="0.2">
      <c r="A1164" s="82"/>
      <c r="G1164" s="45"/>
      <c r="L1164" s="8"/>
    </row>
    <row r="1165" spans="1:12" x14ac:dyDescent="0.2">
      <c r="A1165" s="83" t="s">
        <v>627</v>
      </c>
      <c r="G1165" s="45"/>
      <c r="L1165" s="8"/>
    </row>
    <row r="1166" spans="1:12" x14ac:dyDescent="0.2">
      <c r="A1166" s="84" t="s">
        <v>1610</v>
      </c>
      <c r="G1166" s="45"/>
      <c r="L1166" s="8"/>
    </row>
    <row r="1167" spans="1:12" x14ac:dyDescent="0.2">
      <c r="A1167" s="84" t="s">
        <v>1611</v>
      </c>
      <c r="G1167" s="45"/>
      <c r="L1167" s="8"/>
    </row>
    <row r="1168" spans="1:12" x14ac:dyDescent="0.2">
      <c r="A1168" s="84" t="s">
        <v>3694</v>
      </c>
      <c r="G1168" s="45"/>
      <c r="L1168" s="8"/>
    </row>
    <row r="1169" spans="1:12" x14ac:dyDescent="0.2">
      <c r="A1169" s="84" t="s">
        <v>2517</v>
      </c>
      <c r="G1169" s="45"/>
      <c r="L1169" s="8"/>
    </row>
    <row r="1170" spans="1:12" x14ac:dyDescent="0.2">
      <c r="A1170" s="84" t="s">
        <v>3695</v>
      </c>
      <c r="G1170" s="45"/>
      <c r="L1170" s="8"/>
    </row>
    <row r="1171" spans="1:12" x14ac:dyDescent="0.2">
      <c r="A1171" s="84" t="s">
        <v>1612</v>
      </c>
      <c r="G1171" s="45"/>
      <c r="L1171" s="8"/>
    </row>
    <row r="1172" spans="1:12" x14ac:dyDescent="0.2">
      <c r="A1172" s="51" t="s">
        <v>812</v>
      </c>
      <c r="G1172" s="45"/>
      <c r="L1172" s="8"/>
    </row>
    <row r="1173" spans="1:12" x14ac:dyDescent="0.2">
      <c r="G1173" s="45"/>
      <c r="L1173" s="8"/>
    </row>
    <row r="1174" spans="1:12" x14ac:dyDescent="0.2">
      <c r="G1174" s="45"/>
      <c r="L1174" s="8"/>
    </row>
    <row r="1175" spans="1:12" x14ac:dyDescent="0.2">
      <c r="G1175" s="45"/>
      <c r="L1175" s="8"/>
    </row>
    <row r="1176" spans="1:12" x14ac:dyDescent="0.2">
      <c r="G1176" s="45"/>
      <c r="L1176" s="8"/>
    </row>
    <row r="1177" spans="1:12" x14ac:dyDescent="0.2">
      <c r="G1177" s="45"/>
      <c r="L1177" s="8"/>
    </row>
    <row r="1178" spans="1:12" x14ac:dyDescent="0.2">
      <c r="G1178" s="45"/>
      <c r="L1178" s="8"/>
    </row>
    <row r="1179" spans="1:12" x14ac:dyDescent="0.2">
      <c r="G1179" s="45"/>
      <c r="L1179" s="8"/>
    </row>
    <row r="1180" spans="1:12" x14ac:dyDescent="0.2">
      <c r="G1180" s="45"/>
      <c r="L1180" s="8"/>
    </row>
    <row r="1181" spans="1:12" x14ac:dyDescent="0.2">
      <c r="G1181" s="45"/>
      <c r="L1181" s="8"/>
    </row>
    <row r="1182" spans="1:12" x14ac:dyDescent="0.2">
      <c r="G1182" s="45"/>
      <c r="L1182" s="8"/>
    </row>
    <row r="1183" spans="1:12" x14ac:dyDescent="0.2">
      <c r="G1183" s="45"/>
      <c r="L1183" s="8"/>
    </row>
    <row r="1184" spans="1:12" x14ac:dyDescent="0.2">
      <c r="G1184" s="45"/>
      <c r="L1184" s="8"/>
    </row>
    <row r="1185" spans="7:12" x14ac:dyDescent="0.2">
      <c r="G1185" s="45"/>
      <c r="L1185" s="8"/>
    </row>
    <row r="1186" spans="7:12" x14ac:dyDescent="0.2">
      <c r="G1186" s="45"/>
      <c r="L1186" s="8"/>
    </row>
    <row r="1187" spans="7:12" x14ac:dyDescent="0.2">
      <c r="G1187" s="45"/>
      <c r="L1187" s="8"/>
    </row>
    <row r="1188" spans="7:12" x14ac:dyDescent="0.2">
      <c r="G1188" s="45"/>
      <c r="L1188" s="8"/>
    </row>
    <row r="1189" spans="7:12" x14ac:dyDescent="0.2">
      <c r="G1189" s="45"/>
      <c r="L1189" s="8"/>
    </row>
    <row r="1190" spans="7:12" x14ac:dyDescent="0.2">
      <c r="G1190" s="45"/>
      <c r="L1190" s="8"/>
    </row>
    <row r="1191" spans="7:12" x14ac:dyDescent="0.2">
      <c r="G1191" s="45"/>
      <c r="L1191" s="8"/>
    </row>
    <row r="1192" spans="7:12" x14ac:dyDescent="0.2">
      <c r="G1192" s="45"/>
      <c r="L1192" s="8"/>
    </row>
    <row r="1193" spans="7:12" x14ac:dyDescent="0.2">
      <c r="G1193" s="45"/>
      <c r="L1193" s="8"/>
    </row>
    <row r="1194" spans="7:12" x14ac:dyDescent="0.2">
      <c r="G1194" s="45"/>
      <c r="L1194" s="8"/>
    </row>
    <row r="1195" spans="7:12" x14ac:dyDescent="0.2">
      <c r="G1195" s="45"/>
      <c r="L1195" s="8"/>
    </row>
    <row r="1196" spans="7:12" x14ac:dyDescent="0.2">
      <c r="G1196" s="45"/>
      <c r="L1196" s="8"/>
    </row>
    <row r="1197" spans="7:12" x14ac:dyDescent="0.2">
      <c r="G1197" s="45"/>
      <c r="L1197" s="8"/>
    </row>
    <row r="1198" spans="7:12" x14ac:dyDescent="0.2">
      <c r="G1198" s="45"/>
      <c r="L1198" s="8"/>
    </row>
    <row r="1199" spans="7:12" x14ac:dyDescent="0.2">
      <c r="G1199" s="45"/>
      <c r="L1199" s="8"/>
    </row>
    <row r="1200" spans="7:12" x14ac:dyDescent="0.2">
      <c r="G1200" s="45"/>
      <c r="L1200" s="8"/>
    </row>
    <row r="1201" spans="7:12" x14ac:dyDescent="0.2">
      <c r="G1201" s="45"/>
      <c r="L1201" s="8"/>
    </row>
    <row r="1202" spans="7:12" x14ac:dyDescent="0.2">
      <c r="G1202" s="45"/>
      <c r="L1202" s="8"/>
    </row>
    <row r="1203" spans="7:12" x14ac:dyDescent="0.2">
      <c r="G1203" s="45"/>
      <c r="L1203" s="8"/>
    </row>
    <row r="1204" spans="7:12" x14ac:dyDescent="0.2">
      <c r="G1204" s="45"/>
      <c r="L1204" s="8"/>
    </row>
    <row r="1205" spans="7:12" x14ac:dyDescent="0.2">
      <c r="G1205" s="45"/>
      <c r="L1205" s="8"/>
    </row>
    <row r="1206" spans="7:12" x14ac:dyDescent="0.2">
      <c r="G1206" s="45"/>
      <c r="L1206" s="8"/>
    </row>
    <row r="1207" spans="7:12" x14ac:dyDescent="0.2">
      <c r="G1207" s="45"/>
      <c r="L1207" s="8"/>
    </row>
    <row r="1208" spans="7:12" x14ac:dyDescent="0.2">
      <c r="G1208" s="45"/>
      <c r="L1208" s="8"/>
    </row>
    <row r="1209" spans="7:12" x14ac:dyDescent="0.2">
      <c r="G1209" s="45"/>
      <c r="L1209" s="8"/>
    </row>
    <row r="1210" spans="7:12" x14ac:dyDescent="0.2">
      <c r="G1210" s="45"/>
      <c r="L1210" s="8"/>
    </row>
    <row r="1211" spans="7:12" x14ac:dyDescent="0.2">
      <c r="G1211" s="45"/>
      <c r="L1211" s="8"/>
    </row>
    <row r="1212" spans="7:12" x14ac:dyDescent="0.2">
      <c r="G1212" s="45"/>
      <c r="L1212" s="8"/>
    </row>
    <row r="1213" spans="7:12" x14ac:dyDescent="0.2">
      <c r="G1213" s="45"/>
      <c r="L1213" s="8"/>
    </row>
    <row r="1214" spans="7:12" x14ac:dyDescent="0.2">
      <c r="G1214" s="45"/>
      <c r="L1214" s="8"/>
    </row>
    <row r="1215" spans="7:12" x14ac:dyDescent="0.2">
      <c r="G1215" s="45"/>
      <c r="L1215" s="8"/>
    </row>
    <row r="1216" spans="7:12" x14ac:dyDescent="0.2">
      <c r="G1216" s="45"/>
      <c r="L1216" s="8"/>
    </row>
    <row r="1217" spans="7:12" x14ac:dyDescent="0.2">
      <c r="G1217" s="45"/>
      <c r="L1217" s="8"/>
    </row>
    <row r="1218" spans="7:12" x14ac:dyDescent="0.2">
      <c r="G1218" s="45"/>
      <c r="L1218" s="8"/>
    </row>
    <row r="1219" spans="7:12" x14ac:dyDescent="0.2">
      <c r="G1219" s="45"/>
      <c r="L1219" s="8"/>
    </row>
    <row r="1220" spans="7:12" x14ac:dyDescent="0.2">
      <c r="G1220" s="45"/>
      <c r="L1220" s="8"/>
    </row>
    <row r="1221" spans="7:12" x14ac:dyDescent="0.2">
      <c r="G1221" s="45"/>
      <c r="L1221" s="8"/>
    </row>
    <row r="1222" spans="7:12" x14ac:dyDescent="0.2">
      <c r="G1222" s="45"/>
      <c r="L1222" s="8"/>
    </row>
    <row r="1223" spans="7:12" x14ac:dyDescent="0.2">
      <c r="G1223" s="45"/>
      <c r="L1223" s="8"/>
    </row>
    <row r="1224" spans="7:12" x14ac:dyDescent="0.2">
      <c r="G1224" s="45"/>
      <c r="L1224" s="8"/>
    </row>
    <row r="1225" spans="7:12" x14ac:dyDescent="0.2">
      <c r="G1225" s="45"/>
      <c r="L1225" s="8"/>
    </row>
    <row r="1226" spans="7:12" x14ac:dyDescent="0.2">
      <c r="G1226" s="45"/>
      <c r="L1226" s="8"/>
    </row>
    <row r="1227" spans="7:12" x14ac:dyDescent="0.2">
      <c r="G1227" s="45"/>
      <c r="L1227" s="8"/>
    </row>
    <row r="1228" spans="7:12" x14ac:dyDescent="0.2">
      <c r="G1228" s="45"/>
      <c r="L1228" s="8"/>
    </row>
    <row r="1229" spans="7:12" x14ac:dyDescent="0.2">
      <c r="G1229" s="45"/>
      <c r="L1229" s="8"/>
    </row>
    <row r="1230" spans="7:12" x14ac:dyDescent="0.2">
      <c r="G1230" s="45"/>
      <c r="L1230" s="8"/>
    </row>
    <row r="1231" spans="7:12" x14ac:dyDescent="0.2">
      <c r="G1231" s="45"/>
      <c r="L1231" s="8"/>
    </row>
    <row r="1232" spans="7:12" x14ac:dyDescent="0.2">
      <c r="G1232" s="45"/>
      <c r="L1232" s="8"/>
    </row>
    <row r="1233" spans="7:12" x14ac:dyDescent="0.2">
      <c r="G1233" s="45"/>
      <c r="L1233" s="8"/>
    </row>
    <row r="1234" spans="7:12" x14ac:dyDescent="0.2">
      <c r="G1234" s="45"/>
      <c r="L1234" s="8"/>
    </row>
    <row r="1235" spans="7:12" x14ac:dyDescent="0.2">
      <c r="G1235" s="45"/>
      <c r="L1235" s="8"/>
    </row>
    <row r="1236" spans="7:12" x14ac:dyDescent="0.2">
      <c r="G1236" s="45"/>
      <c r="L1236" s="8"/>
    </row>
    <row r="1237" spans="7:12" x14ac:dyDescent="0.2">
      <c r="G1237" s="45"/>
      <c r="L1237" s="8"/>
    </row>
    <row r="1238" spans="7:12" x14ac:dyDescent="0.2">
      <c r="G1238" s="45"/>
      <c r="L1238" s="8"/>
    </row>
    <row r="1239" spans="7:12" x14ac:dyDescent="0.2">
      <c r="G1239" s="45"/>
      <c r="L1239" s="8"/>
    </row>
    <row r="1240" spans="7:12" x14ac:dyDescent="0.2">
      <c r="G1240" s="45"/>
      <c r="L1240" s="8"/>
    </row>
    <row r="1241" spans="7:12" x14ac:dyDescent="0.2">
      <c r="G1241" s="45"/>
      <c r="L1241" s="8"/>
    </row>
    <row r="1242" spans="7:12" x14ac:dyDescent="0.2">
      <c r="G1242" s="45"/>
      <c r="L1242" s="8"/>
    </row>
    <row r="1243" spans="7:12" x14ac:dyDescent="0.2">
      <c r="G1243" s="45"/>
      <c r="L1243" s="8"/>
    </row>
    <row r="1244" spans="7:12" x14ac:dyDescent="0.2">
      <c r="G1244" s="45"/>
      <c r="L1244" s="8"/>
    </row>
    <row r="1245" spans="7:12" x14ac:dyDescent="0.2">
      <c r="G1245" s="45"/>
      <c r="L1245" s="8"/>
    </row>
    <row r="1246" spans="7:12" x14ac:dyDescent="0.2">
      <c r="G1246" s="45"/>
      <c r="L1246" s="8"/>
    </row>
    <row r="1247" spans="7:12" x14ac:dyDescent="0.2">
      <c r="G1247" s="45"/>
      <c r="L1247" s="8"/>
    </row>
    <row r="1248" spans="7:12" x14ac:dyDescent="0.2">
      <c r="G1248" s="45"/>
      <c r="L1248" s="8"/>
    </row>
    <row r="1249" spans="7:12" x14ac:dyDescent="0.2">
      <c r="G1249" s="45"/>
      <c r="L1249" s="8"/>
    </row>
    <row r="1250" spans="7:12" x14ac:dyDescent="0.2">
      <c r="G1250" s="45"/>
      <c r="L1250" s="8"/>
    </row>
    <row r="1251" spans="7:12" x14ac:dyDescent="0.2">
      <c r="G1251" s="45"/>
      <c r="L1251" s="8"/>
    </row>
    <row r="1252" spans="7:12" x14ac:dyDescent="0.2">
      <c r="G1252" s="45"/>
      <c r="L1252" s="8"/>
    </row>
    <row r="1253" spans="7:12" x14ac:dyDescent="0.2">
      <c r="G1253" s="45"/>
      <c r="L1253" s="8"/>
    </row>
    <row r="1254" spans="7:12" x14ac:dyDescent="0.2">
      <c r="G1254" s="45"/>
      <c r="L1254" s="8"/>
    </row>
    <row r="1255" spans="7:12" x14ac:dyDescent="0.2">
      <c r="G1255" s="45"/>
      <c r="L1255" s="8"/>
    </row>
    <row r="1256" spans="7:12" x14ac:dyDescent="0.2">
      <c r="G1256" s="45"/>
      <c r="L1256" s="8"/>
    </row>
    <row r="1257" spans="7:12" x14ac:dyDescent="0.2">
      <c r="G1257" s="45"/>
      <c r="L1257" s="8"/>
    </row>
    <row r="1258" spans="7:12" x14ac:dyDescent="0.2">
      <c r="G1258" s="45"/>
      <c r="L1258" s="8"/>
    </row>
    <row r="1259" spans="7:12" x14ac:dyDescent="0.2">
      <c r="G1259" s="45"/>
      <c r="L1259" s="8"/>
    </row>
    <row r="1260" spans="7:12" x14ac:dyDescent="0.2">
      <c r="G1260" s="45"/>
      <c r="L1260" s="8"/>
    </row>
    <row r="1261" spans="7:12" x14ac:dyDescent="0.2">
      <c r="G1261" s="45"/>
      <c r="L1261" s="8"/>
    </row>
    <row r="1262" spans="7:12" x14ac:dyDescent="0.2">
      <c r="G1262" s="45"/>
      <c r="L1262" s="8"/>
    </row>
    <row r="1263" spans="7:12" x14ac:dyDescent="0.2">
      <c r="G1263" s="45"/>
      <c r="L1263" s="8"/>
    </row>
    <row r="1264" spans="7:12" x14ac:dyDescent="0.2">
      <c r="G1264" s="45"/>
      <c r="L1264" s="8"/>
    </row>
    <row r="1265" spans="7:12" x14ac:dyDescent="0.2">
      <c r="G1265" s="45"/>
      <c r="L1265" s="8"/>
    </row>
    <row r="1266" spans="7:12" x14ac:dyDescent="0.2">
      <c r="G1266" s="45"/>
      <c r="L1266" s="8"/>
    </row>
    <row r="1267" spans="7:12" x14ac:dyDescent="0.2">
      <c r="G1267" s="45"/>
      <c r="L1267" s="8"/>
    </row>
    <row r="1268" spans="7:12" x14ac:dyDescent="0.2">
      <c r="G1268" s="45"/>
      <c r="L1268" s="8"/>
    </row>
    <row r="1269" spans="7:12" x14ac:dyDescent="0.2">
      <c r="G1269" s="45"/>
      <c r="L1269" s="8"/>
    </row>
    <row r="1270" spans="7:12" x14ac:dyDescent="0.2">
      <c r="G1270" s="45"/>
      <c r="L1270" s="8"/>
    </row>
    <row r="1271" spans="7:12" x14ac:dyDescent="0.2">
      <c r="G1271" s="45"/>
      <c r="L1271" s="8"/>
    </row>
    <row r="1272" spans="7:12" x14ac:dyDescent="0.2">
      <c r="G1272" s="45"/>
      <c r="L1272" s="8"/>
    </row>
    <row r="1273" spans="7:12" x14ac:dyDescent="0.2">
      <c r="G1273" s="45"/>
      <c r="L1273" s="8"/>
    </row>
    <row r="1274" spans="7:12" x14ac:dyDescent="0.2">
      <c r="G1274" s="45"/>
      <c r="L1274" s="8"/>
    </row>
    <row r="1275" spans="7:12" x14ac:dyDescent="0.2">
      <c r="G1275" s="45"/>
      <c r="L1275" s="8"/>
    </row>
    <row r="1276" spans="7:12" x14ac:dyDescent="0.2">
      <c r="G1276" s="45"/>
      <c r="L1276" s="8"/>
    </row>
    <row r="1277" spans="7:12" x14ac:dyDescent="0.2">
      <c r="G1277" s="45"/>
      <c r="L1277" s="8"/>
    </row>
    <row r="1278" spans="7:12" x14ac:dyDescent="0.2">
      <c r="G1278" s="45"/>
      <c r="L1278" s="8"/>
    </row>
    <row r="1279" spans="7:12" x14ac:dyDescent="0.2">
      <c r="G1279" s="45"/>
      <c r="L1279" s="8"/>
    </row>
    <row r="1280" spans="7:12" x14ac:dyDescent="0.2">
      <c r="G1280" s="45"/>
      <c r="L1280" s="8"/>
    </row>
    <row r="1281" spans="7:12" x14ac:dyDescent="0.2">
      <c r="G1281" s="45"/>
      <c r="L1281" s="8"/>
    </row>
    <row r="1282" spans="7:12" x14ac:dyDescent="0.2">
      <c r="G1282" s="45"/>
      <c r="L1282" s="8"/>
    </row>
    <row r="1283" spans="7:12" x14ac:dyDescent="0.2">
      <c r="G1283" s="45"/>
      <c r="L1283" s="8"/>
    </row>
    <row r="1284" spans="7:12" x14ac:dyDescent="0.2">
      <c r="G1284" s="45"/>
      <c r="L1284" s="8"/>
    </row>
    <row r="1285" spans="7:12" x14ac:dyDescent="0.2">
      <c r="G1285" s="45"/>
      <c r="L1285" s="8"/>
    </row>
    <row r="1286" spans="7:12" x14ac:dyDescent="0.2">
      <c r="G1286" s="45"/>
      <c r="L1286" s="8"/>
    </row>
    <row r="1287" spans="7:12" x14ac:dyDescent="0.2">
      <c r="G1287" s="45"/>
      <c r="L1287" s="8"/>
    </row>
    <row r="1288" spans="7:12" x14ac:dyDescent="0.2">
      <c r="G1288" s="45"/>
      <c r="L1288" s="8"/>
    </row>
    <row r="1289" spans="7:12" x14ac:dyDescent="0.2">
      <c r="G1289" s="45"/>
      <c r="L1289" s="8"/>
    </row>
    <row r="1290" spans="7:12" x14ac:dyDescent="0.2">
      <c r="G1290" s="45"/>
      <c r="L1290" s="8"/>
    </row>
    <row r="1291" spans="7:12" x14ac:dyDescent="0.2">
      <c r="G1291" s="45"/>
      <c r="L1291" s="8"/>
    </row>
    <row r="1292" spans="7:12" x14ac:dyDescent="0.2">
      <c r="G1292" s="45"/>
      <c r="L1292" s="8"/>
    </row>
    <row r="1293" spans="7:12" x14ac:dyDescent="0.2">
      <c r="G1293" s="45"/>
      <c r="L1293" s="8"/>
    </row>
    <row r="1294" spans="7:12" x14ac:dyDescent="0.2">
      <c r="G1294" s="45"/>
      <c r="L1294" s="8"/>
    </row>
    <row r="1295" spans="7:12" x14ac:dyDescent="0.2">
      <c r="G1295" s="45"/>
      <c r="L1295" s="8"/>
    </row>
    <row r="1296" spans="7:12" x14ac:dyDescent="0.2">
      <c r="G1296" s="45"/>
      <c r="L1296" s="8"/>
    </row>
    <row r="1297" spans="7:12" x14ac:dyDescent="0.2">
      <c r="G1297" s="45"/>
      <c r="L1297" s="8"/>
    </row>
    <row r="1298" spans="7:12" x14ac:dyDescent="0.2">
      <c r="G1298" s="45"/>
      <c r="L1298" s="8"/>
    </row>
    <row r="1299" spans="7:12" x14ac:dyDescent="0.2">
      <c r="G1299" s="45"/>
      <c r="L1299" s="8"/>
    </row>
    <row r="1300" spans="7:12" x14ac:dyDescent="0.2">
      <c r="G1300" s="45"/>
      <c r="L1300" s="8"/>
    </row>
    <row r="1301" spans="7:12" x14ac:dyDescent="0.2">
      <c r="G1301" s="45"/>
      <c r="L1301" s="8"/>
    </row>
    <row r="1302" spans="7:12" x14ac:dyDescent="0.2">
      <c r="G1302" s="45"/>
      <c r="L1302" s="8"/>
    </row>
    <row r="1303" spans="7:12" x14ac:dyDescent="0.2">
      <c r="G1303" s="45"/>
      <c r="L1303" s="8"/>
    </row>
    <row r="1304" spans="7:12" x14ac:dyDescent="0.2">
      <c r="G1304" s="45"/>
      <c r="L1304" s="8"/>
    </row>
    <row r="1305" spans="7:12" x14ac:dyDescent="0.2">
      <c r="G1305" s="45"/>
      <c r="L1305" s="8"/>
    </row>
    <row r="1306" spans="7:12" x14ac:dyDescent="0.2">
      <c r="G1306" s="45"/>
      <c r="L1306" s="8"/>
    </row>
    <row r="1307" spans="7:12" x14ac:dyDescent="0.2">
      <c r="G1307" s="45"/>
      <c r="L1307" s="8"/>
    </row>
    <row r="1308" spans="7:12" x14ac:dyDescent="0.2">
      <c r="G1308" s="45"/>
      <c r="L1308" s="8"/>
    </row>
    <row r="1309" spans="7:12" x14ac:dyDescent="0.2">
      <c r="G1309" s="45"/>
      <c r="L1309" s="8"/>
    </row>
    <row r="1310" spans="7:12" x14ac:dyDescent="0.2">
      <c r="G1310" s="45"/>
      <c r="L1310" s="8"/>
    </row>
    <row r="1311" spans="7:12" x14ac:dyDescent="0.2">
      <c r="G1311" s="45"/>
      <c r="L1311" s="8"/>
    </row>
    <row r="1312" spans="7:12" x14ac:dyDescent="0.2">
      <c r="G1312" s="45"/>
      <c r="L1312" s="8"/>
    </row>
    <row r="1313" spans="7:12" x14ac:dyDescent="0.2">
      <c r="G1313" s="45"/>
      <c r="L1313" s="8"/>
    </row>
    <row r="1314" spans="7:12" x14ac:dyDescent="0.2">
      <c r="G1314" s="45"/>
      <c r="L1314" s="8"/>
    </row>
    <row r="1315" spans="7:12" x14ac:dyDescent="0.2">
      <c r="G1315" s="45"/>
      <c r="L1315" s="8"/>
    </row>
    <row r="1316" spans="7:12" x14ac:dyDescent="0.2">
      <c r="G1316" s="45"/>
      <c r="L1316" s="8"/>
    </row>
    <row r="1317" spans="7:12" x14ac:dyDescent="0.2">
      <c r="G1317" s="45"/>
      <c r="L1317" s="8"/>
    </row>
    <row r="1318" spans="7:12" x14ac:dyDescent="0.2">
      <c r="G1318" s="45"/>
      <c r="L1318" s="8"/>
    </row>
    <row r="1319" spans="7:12" x14ac:dyDescent="0.2">
      <c r="G1319" s="45"/>
      <c r="L1319" s="8"/>
    </row>
    <row r="1320" spans="7:12" x14ac:dyDescent="0.2">
      <c r="G1320" s="45"/>
      <c r="L1320" s="8"/>
    </row>
    <row r="1321" spans="7:12" x14ac:dyDescent="0.2">
      <c r="G1321" s="45"/>
      <c r="L1321" s="8"/>
    </row>
    <row r="1322" spans="7:12" x14ac:dyDescent="0.2">
      <c r="G1322" s="45"/>
      <c r="L1322" s="8"/>
    </row>
    <row r="1323" spans="7:12" x14ac:dyDescent="0.2">
      <c r="G1323" s="45"/>
      <c r="L1323" s="8"/>
    </row>
    <row r="1324" spans="7:12" x14ac:dyDescent="0.2">
      <c r="G1324" s="45"/>
      <c r="L1324" s="8"/>
    </row>
    <row r="1325" spans="7:12" x14ac:dyDescent="0.2">
      <c r="G1325" s="45"/>
      <c r="L1325" s="8"/>
    </row>
    <row r="1326" spans="7:12" x14ac:dyDescent="0.2">
      <c r="G1326" s="45"/>
      <c r="L1326" s="8"/>
    </row>
    <row r="1327" spans="7:12" x14ac:dyDescent="0.2">
      <c r="G1327" s="45"/>
      <c r="L1327" s="8"/>
    </row>
    <row r="1328" spans="7:12" x14ac:dyDescent="0.2">
      <c r="G1328" s="45"/>
      <c r="L1328" s="8"/>
    </row>
    <row r="1329" spans="7:12" x14ac:dyDescent="0.2">
      <c r="G1329" s="45"/>
      <c r="L1329" s="8"/>
    </row>
    <row r="1330" spans="7:12" x14ac:dyDescent="0.2">
      <c r="G1330" s="45"/>
      <c r="L1330" s="8"/>
    </row>
    <row r="1331" spans="7:12" x14ac:dyDescent="0.2">
      <c r="G1331" s="45"/>
      <c r="L1331" s="8"/>
    </row>
    <row r="1332" spans="7:12" x14ac:dyDescent="0.2">
      <c r="G1332" s="45"/>
      <c r="L1332" s="8"/>
    </row>
    <row r="1333" spans="7:12" x14ac:dyDescent="0.2">
      <c r="G1333" s="45"/>
      <c r="L1333" s="8"/>
    </row>
    <row r="1334" spans="7:12" x14ac:dyDescent="0.2">
      <c r="G1334" s="45"/>
      <c r="L1334" s="8"/>
    </row>
    <row r="1335" spans="7:12" x14ac:dyDescent="0.2">
      <c r="G1335" s="45"/>
      <c r="L1335" s="8"/>
    </row>
    <row r="1336" spans="7:12" x14ac:dyDescent="0.2">
      <c r="G1336" s="45"/>
      <c r="L1336" s="8"/>
    </row>
    <row r="1337" spans="7:12" x14ac:dyDescent="0.2">
      <c r="G1337" s="45"/>
      <c r="L1337" s="8"/>
    </row>
    <row r="1338" spans="7:12" x14ac:dyDescent="0.2">
      <c r="G1338" s="45"/>
      <c r="L1338" s="8"/>
    </row>
    <row r="1339" spans="7:12" x14ac:dyDescent="0.2">
      <c r="G1339" s="45"/>
      <c r="L1339" s="8"/>
    </row>
    <row r="1340" spans="7:12" x14ac:dyDescent="0.2">
      <c r="G1340" s="45"/>
      <c r="L1340" s="8"/>
    </row>
    <row r="1341" spans="7:12" x14ac:dyDescent="0.2">
      <c r="G1341" s="45"/>
      <c r="L1341" s="8"/>
    </row>
    <row r="1342" spans="7:12" x14ac:dyDescent="0.2">
      <c r="G1342" s="45"/>
      <c r="L1342" s="8"/>
    </row>
    <row r="1343" spans="7:12" x14ac:dyDescent="0.2">
      <c r="G1343" s="45"/>
      <c r="L1343" s="8"/>
    </row>
    <row r="1344" spans="7:12" x14ac:dyDescent="0.2">
      <c r="G1344" s="45"/>
      <c r="L1344" s="8"/>
    </row>
    <row r="1345" spans="7:12" x14ac:dyDescent="0.2">
      <c r="G1345" s="45"/>
      <c r="L1345" s="8"/>
    </row>
    <row r="1346" spans="7:12" x14ac:dyDescent="0.2">
      <c r="G1346" s="45"/>
      <c r="L1346" s="8"/>
    </row>
    <row r="1347" spans="7:12" x14ac:dyDescent="0.2">
      <c r="G1347" s="45"/>
      <c r="L1347" s="8"/>
    </row>
    <row r="1348" spans="7:12" x14ac:dyDescent="0.2">
      <c r="G1348" s="45"/>
      <c r="L1348" s="8"/>
    </row>
    <row r="1349" spans="7:12" x14ac:dyDescent="0.2">
      <c r="G1349" s="45"/>
      <c r="L1349" s="8"/>
    </row>
    <row r="1350" spans="7:12" x14ac:dyDescent="0.2">
      <c r="G1350" s="45"/>
      <c r="L1350" s="8"/>
    </row>
    <row r="1351" spans="7:12" x14ac:dyDescent="0.2">
      <c r="G1351" s="45"/>
      <c r="L1351" s="8"/>
    </row>
    <row r="1352" spans="7:12" x14ac:dyDescent="0.2">
      <c r="G1352" s="45"/>
      <c r="L1352" s="8"/>
    </row>
    <row r="1353" spans="7:12" x14ac:dyDescent="0.2">
      <c r="G1353" s="45"/>
      <c r="L1353" s="8"/>
    </row>
    <row r="1354" spans="7:12" x14ac:dyDescent="0.2">
      <c r="G1354" s="45"/>
      <c r="L1354" s="8"/>
    </row>
    <row r="1355" spans="7:12" x14ac:dyDescent="0.2">
      <c r="G1355" s="45"/>
      <c r="L1355" s="8"/>
    </row>
    <row r="1356" spans="7:12" x14ac:dyDescent="0.2">
      <c r="G1356" s="45"/>
      <c r="L1356" s="8"/>
    </row>
    <row r="1357" spans="7:12" x14ac:dyDescent="0.2">
      <c r="G1357" s="45"/>
      <c r="L1357" s="8"/>
    </row>
    <row r="1358" spans="7:12" x14ac:dyDescent="0.2">
      <c r="G1358" s="45"/>
      <c r="L1358" s="8"/>
    </row>
    <row r="1359" spans="7:12" x14ac:dyDescent="0.2">
      <c r="G1359" s="45"/>
      <c r="L1359" s="8"/>
    </row>
    <row r="1360" spans="7:12" x14ac:dyDescent="0.2">
      <c r="G1360" s="45"/>
      <c r="L1360" s="8"/>
    </row>
    <row r="1361" spans="7:12" x14ac:dyDescent="0.2">
      <c r="G1361" s="45"/>
      <c r="L1361" s="8"/>
    </row>
    <row r="1362" spans="7:12" x14ac:dyDescent="0.2">
      <c r="G1362" s="45"/>
      <c r="L1362" s="8"/>
    </row>
    <row r="1363" spans="7:12" x14ac:dyDescent="0.2">
      <c r="G1363" s="45"/>
      <c r="L1363" s="8"/>
    </row>
    <row r="1364" spans="7:12" x14ac:dyDescent="0.2">
      <c r="G1364" s="45"/>
      <c r="L1364" s="8"/>
    </row>
    <row r="1365" spans="7:12" x14ac:dyDescent="0.2">
      <c r="G1365" s="45"/>
      <c r="L1365" s="8"/>
    </row>
    <row r="1366" spans="7:12" x14ac:dyDescent="0.2">
      <c r="G1366" s="45"/>
      <c r="L1366" s="8"/>
    </row>
    <row r="1367" spans="7:12" x14ac:dyDescent="0.2">
      <c r="G1367" s="45"/>
      <c r="L1367" s="8"/>
    </row>
    <row r="1368" spans="7:12" x14ac:dyDescent="0.2">
      <c r="G1368" s="45"/>
      <c r="L1368" s="8"/>
    </row>
    <row r="1369" spans="7:12" x14ac:dyDescent="0.2">
      <c r="G1369" s="45"/>
      <c r="L1369" s="8"/>
    </row>
    <row r="1370" spans="7:12" x14ac:dyDescent="0.2">
      <c r="G1370" s="45"/>
      <c r="L1370" s="8"/>
    </row>
    <row r="1371" spans="7:12" x14ac:dyDescent="0.2">
      <c r="G1371" s="45"/>
      <c r="L1371" s="8"/>
    </row>
    <row r="1372" spans="7:12" x14ac:dyDescent="0.2">
      <c r="G1372" s="45"/>
      <c r="L1372" s="8"/>
    </row>
    <row r="1373" spans="7:12" x14ac:dyDescent="0.2">
      <c r="G1373" s="45"/>
      <c r="L1373" s="8"/>
    </row>
    <row r="1374" spans="7:12" x14ac:dyDescent="0.2">
      <c r="G1374" s="45"/>
      <c r="L1374" s="8"/>
    </row>
    <row r="1375" spans="7:12" x14ac:dyDescent="0.2">
      <c r="G1375" s="45"/>
      <c r="L1375" s="8"/>
    </row>
    <row r="1376" spans="7:12" x14ac:dyDescent="0.2">
      <c r="G1376" s="45"/>
      <c r="L1376" s="8"/>
    </row>
    <row r="1377" spans="7:12" x14ac:dyDescent="0.2">
      <c r="G1377" s="45"/>
      <c r="L1377" s="8"/>
    </row>
    <row r="1378" spans="7:12" x14ac:dyDescent="0.2">
      <c r="G1378" s="45"/>
      <c r="L1378" s="8"/>
    </row>
    <row r="1379" spans="7:12" x14ac:dyDescent="0.2">
      <c r="G1379" s="45"/>
      <c r="L1379" s="8"/>
    </row>
    <row r="1380" spans="7:12" x14ac:dyDescent="0.2">
      <c r="G1380" s="45"/>
      <c r="L1380" s="8"/>
    </row>
    <row r="1381" spans="7:12" x14ac:dyDescent="0.2">
      <c r="G1381" s="45"/>
      <c r="L1381" s="8"/>
    </row>
    <row r="1382" spans="7:12" x14ac:dyDescent="0.2">
      <c r="G1382" s="45"/>
      <c r="L1382" s="8"/>
    </row>
    <row r="1383" spans="7:12" x14ac:dyDescent="0.2">
      <c r="G1383" s="45"/>
      <c r="L1383" s="8"/>
    </row>
    <row r="1384" spans="7:12" x14ac:dyDescent="0.2">
      <c r="G1384" s="45"/>
      <c r="L1384" s="8"/>
    </row>
    <row r="1385" spans="7:12" x14ac:dyDescent="0.2">
      <c r="G1385" s="45"/>
      <c r="L1385" s="8"/>
    </row>
    <row r="1386" spans="7:12" x14ac:dyDescent="0.2">
      <c r="G1386" s="45"/>
      <c r="L1386" s="8"/>
    </row>
    <row r="1387" spans="7:12" x14ac:dyDescent="0.2">
      <c r="G1387" s="45"/>
      <c r="L1387" s="8"/>
    </row>
    <row r="1388" spans="7:12" x14ac:dyDescent="0.2">
      <c r="G1388" s="45"/>
      <c r="L1388" s="8"/>
    </row>
    <row r="1389" spans="7:12" x14ac:dyDescent="0.2">
      <c r="G1389" s="45"/>
      <c r="L1389" s="8"/>
    </row>
    <row r="1390" spans="7:12" x14ac:dyDescent="0.2">
      <c r="G1390" s="45"/>
      <c r="L1390" s="8"/>
    </row>
    <row r="1391" spans="7:12" x14ac:dyDescent="0.2">
      <c r="G1391" s="45"/>
      <c r="L1391" s="8"/>
    </row>
    <row r="1392" spans="7:12" x14ac:dyDescent="0.2">
      <c r="G1392" s="45"/>
      <c r="L1392" s="8"/>
    </row>
    <row r="1393" spans="7:12" x14ac:dyDescent="0.2">
      <c r="G1393" s="45"/>
      <c r="L1393" s="8"/>
    </row>
    <row r="1394" spans="7:12" x14ac:dyDescent="0.2">
      <c r="G1394" s="45"/>
      <c r="L1394" s="8"/>
    </row>
    <row r="1395" spans="7:12" x14ac:dyDescent="0.2">
      <c r="G1395" s="45"/>
      <c r="L1395" s="8"/>
    </row>
    <row r="1396" spans="7:12" x14ac:dyDescent="0.2">
      <c r="G1396" s="45"/>
      <c r="L1396" s="8"/>
    </row>
    <row r="1397" spans="7:12" x14ac:dyDescent="0.2">
      <c r="G1397" s="45"/>
      <c r="L1397" s="8"/>
    </row>
    <row r="1398" spans="7:12" x14ac:dyDescent="0.2">
      <c r="G1398" s="45"/>
      <c r="L1398" s="8"/>
    </row>
    <row r="1399" spans="7:12" x14ac:dyDescent="0.2">
      <c r="G1399" s="45"/>
      <c r="L1399" s="8"/>
    </row>
    <row r="1400" spans="7:12" x14ac:dyDescent="0.2">
      <c r="G1400" s="45"/>
      <c r="L1400" s="8"/>
    </row>
    <row r="1401" spans="7:12" x14ac:dyDescent="0.2">
      <c r="G1401" s="45"/>
      <c r="L1401" s="8"/>
    </row>
    <row r="1402" spans="7:12" x14ac:dyDescent="0.2">
      <c r="G1402" s="45"/>
      <c r="L1402" s="8"/>
    </row>
    <row r="1403" spans="7:12" x14ac:dyDescent="0.2">
      <c r="G1403" s="45"/>
      <c r="L1403" s="8"/>
    </row>
    <row r="1404" spans="7:12" x14ac:dyDescent="0.2">
      <c r="G1404" s="45"/>
      <c r="L1404" s="8"/>
    </row>
    <row r="1405" spans="7:12" x14ac:dyDescent="0.2">
      <c r="G1405" s="45"/>
      <c r="L1405" s="8"/>
    </row>
    <row r="1406" spans="7:12" x14ac:dyDescent="0.2">
      <c r="G1406" s="45"/>
      <c r="L1406" s="8"/>
    </row>
    <row r="1407" spans="7:12" x14ac:dyDescent="0.2">
      <c r="G1407" s="45"/>
      <c r="L1407" s="8"/>
    </row>
    <row r="1408" spans="7:12" x14ac:dyDescent="0.2">
      <c r="G1408" s="45"/>
      <c r="L1408" s="8"/>
    </row>
    <row r="1409" spans="7:12" x14ac:dyDescent="0.2">
      <c r="G1409" s="45"/>
      <c r="L1409" s="8"/>
    </row>
    <row r="1410" spans="7:12" x14ac:dyDescent="0.2">
      <c r="G1410" s="45"/>
      <c r="L1410" s="8"/>
    </row>
    <row r="1411" spans="7:12" x14ac:dyDescent="0.2">
      <c r="G1411" s="45"/>
      <c r="L1411" s="8"/>
    </row>
    <row r="1412" spans="7:12" x14ac:dyDescent="0.2">
      <c r="G1412" s="45"/>
      <c r="L1412" s="8"/>
    </row>
    <row r="1413" spans="7:12" x14ac:dyDescent="0.2">
      <c r="G1413" s="45"/>
      <c r="L1413" s="8"/>
    </row>
    <row r="1414" spans="7:12" x14ac:dyDescent="0.2">
      <c r="G1414" s="45"/>
      <c r="L1414" s="8"/>
    </row>
    <row r="1415" spans="7:12" x14ac:dyDescent="0.2">
      <c r="G1415" s="45"/>
      <c r="L1415" s="8"/>
    </row>
    <row r="1416" spans="7:12" x14ac:dyDescent="0.2">
      <c r="G1416" s="45"/>
      <c r="L1416" s="8"/>
    </row>
    <row r="1417" spans="7:12" x14ac:dyDescent="0.2">
      <c r="G1417" s="45"/>
      <c r="L1417" s="8"/>
    </row>
    <row r="1418" spans="7:12" x14ac:dyDescent="0.2">
      <c r="G1418" s="45"/>
      <c r="L1418" s="8"/>
    </row>
    <row r="1419" spans="7:12" x14ac:dyDescent="0.2">
      <c r="G1419" s="45"/>
      <c r="L1419" s="8"/>
    </row>
    <row r="1420" spans="7:12" x14ac:dyDescent="0.2">
      <c r="G1420" s="45"/>
      <c r="L1420" s="8"/>
    </row>
    <row r="1421" spans="7:12" x14ac:dyDescent="0.2">
      <c r="G1421" s="45"/>
      <c r="L1421" s="8"/>
    </row>
    <row r="1422" spans="7:12" x14ac:dyDescent="0.2">
      <c r="G1422" s="45"/>
      <c r="L1422" s="8"/>
    </row>
    <row r="1423" spans="7:12" x14ac:dyDescent="0.2">
      <c r="G1423" s="45"/>
      <c r="L1423" s="8"/>
    </row>
    <row r="1424" spans="7:12" x14ac:dyDescent="0.2">
      <c r="G1424" s="45"/>
      <c r="L1424" s="8"/>
    </row>
    <row r="1425" spans="7:12" x14ac:dyDescent="0.2">
      <c r="G1425" s="45"/>
      <c r="L1425" s="8"/>
    </row>
    <row r="1426" spans="7:12" x14ac:dyDescent="0.2">
      <c r="G1426" s="45"/>
      <c r="L1426" s="8"/>
    </row>
    <row r="1427" spans="7:12" x14ac:dyDescent="0.2">
      <c r="G1427" s="45"/>
      <c r="L1427" s="8"/>
    </row>
    <row r="1428" spans="7:12" x14ac:dyDescent="0.2">
      <c r="G1428" s="45"/>
      <c r="L1428" s="8"/>
    </row>
    <row r="1429" spans="7:12" x14ac:dyDescent="0.2">
      <c r="G1429" s="45"/>
      <c r="L1429" s="8"/>
    </row>
    <row r="1430" spans="7:12" x14ac:dyDescent="0.2">
      <c r="G1430" s="45"/>
      <c r="L1430" s="8"/>
    </row>
    <row r="1431" spans="7:12" x14ac:dyDescent="0.2">
      <c r="G1431" s="45"/>
      <c r="L1431" s="8"/>
    </row>
    <row r="1432" spans="7:12" x14ac:dyDescent="0.2">
      <c r="G1432" s="45"/>
      <c r="L1432" s="8"/>
    </row>
    <row r="1433" spans="7:12" x14ac:dyDescent="0.2">
      <c r="G1433" s="45"/>
      <c r="L1433" s="8"/>
    </row>
    <row r="1434" spans="7:12" x14ac:dyDescent="0.2">
      <c r="G1434" s="45"/>
      <c r="L1434" s="8"/>
    </row>
    <row r="1435" spans="7:12" x14ac:dyDescent="0.2">
      <c r="G1435" s="45"/>
      <c r="L1435" s="8"/>
    </row>
    <row r="1436" spans="7:12" x14ac:dyDescent="0.2">
      <c r="G1436" s="45"/>
      <c r="L1436" s="8"/>
    </row>
    <row r="1437" spans="7:12" x14ac:dyDescent="0.2">
      <c r="G1437" s="45"/>
      <c r="L1437" s="8"/>
    </row>
    <row r="1438" spans="7:12" x14ac:dyDescent="0.2">
      <c r="G1438" s="45"/>
      <c r="L1438" s="8"/>
    </row>
    <row r="1439" spans="7:12" x14ac:dyDescent="0.2">
      <c r="G1439" s="45"/>
      <c r="L1439" s="8"/>
    </row>
    <row r="1440" spans="7:12" x14ac:dyDescent="0.2">
      <c r="G1440" s="45"/>
      <c r="L1440" s="8"/>
    </row>
    <row r="1441" spans="7:12" x14ac:dyDescent="0.2">
      <c r="G1441" s="45"/>
      <c r="L1441" s="8"/>
    </row>
    <row r="1442" spans="7:12" x14ac:dyDescent="0.2">
      <c r="G1442" s="45"/>
      <c r="L1442" s="8"/>
    </row>
    <row r="1443" spans="7:12" x14ac:dyDescent="0.2">
      <c r="G1443" s="45"/>
      <c r="L1443" s="8"/>
    </row>
    <row r="1444" spans="7:12" x14ac:dyDescent="0.2">
      <c r="G1444" s="45"/>
      <c r="L1444" s="8"/>
    </row>
    <row r="1445" spans="7:12" x14ac:dyDescent="0.2">
      <c r="G1445" s="45"/>
      <c r="L1445" s="8"/>
    </row>
    <row r="1446" spans="7:12" x14ac:dyDescent="0.2">
      <c r="G1446" s="45"/>
      <c r="L1446" s="8"/>
    </row>
    <row r="1447" spans="7:12" x14ac:dyDescent="0.2">
      <c r="G1447" s="45"/>
      <c r="L1447" s="8"/>
    </row>
    <row r="1448" spans="7:12" x14ac:dyDescent="0.2">
      <c r="G1448" s="45"/>
      <c r="L1448" s="8"/>
    </row>
    <row r="1449" spans="7:12" x14ac:dyDescent="0.2">
      <c r="G1449" s="45"/>
      <c r="L1449" s="8"/>
    </row>
    <row r="1450" spans="7:12" x14ac:dyDescent="0.2">
      <c r="G1450" s="45"/>
      <c r="L1450" s="8"/>
    </row>
    <row r="1451" spans="7:12" x14ac:dyDescent="0.2">
      <c r="G1451" s="45"/>
      <c r="L1451" s="8"/>
    </row>
    <row r="1452" spans="7:12" x14ac:dyDescent="0.2">
      <c r="G1452" s="45"/>
      <c r="L1452" s="8"/>
    </row>
    <row r="1453" spans="7:12" x14ac:dyDescent="0.2">
      <c r="G1453" s="45"/>
      <c r="L1453" s="8"/>
    </row>
    <row r="1454" spans="7:12" x14ac:dyDescent="0.2">
      <c r="G1454" s="45"/>
      <c r="L1454" s="8"/>
    </row>
    <row r="1455" spans="7:12" x14ac:dyDescent="0.2">
      <c r="G1455" s="45"/>
      <c r="L1455" s="8"/>
    </row>
    <row r="1456" spans="7:12" x14ac:dyDescent="0.2">
      <c r="G1456" s="45"/>
      <c r="L1456" s="8"/>
    </row>
    <row r="1457" spans="7:12" x14ac:dyDescent="0.2">
      <c r="G1457" s="45"/>
      <c r="L1457" s="8"/>
    </row>
    <row r="1458" spans="7:12" x14ac:dyDescent="0.2">
      <c r="G1458" s="45"/>
      <c r="L1458" s="8"/>
    </row>
    <row r="1459" spans="7:12" x14ac:dyDescent="0.2">
      <c r="G1459" s="45"/>
      <c r="L1459" s="8"/>
    </row>
    <row r="1460" spans="7:12" x14ac:dyDescent="0.2">
      <c r="G1460" s="45"/>
      <c r="L1460" s="8"/>
    </row>
    <row r="1461" spans="7:12" x14ac:dyDescent="0.2">
      <c r="G1461" s="45"/>
      <c r="L1461" s="8"/>
    </row>
    <row r="1462" spans="7:12" x14ac:dyDescent="0.2">
      <c r="G1462" s="45"/>
      <c r="L1462" s="8"/>
    </row>
    <row r="1463" spans="7:12" x14ac:dyDescent="0.2">
      <c r="G1463" s="45"/>
      <c r="L1463" s="8"/>
    </row>
    <row r="1464" spans="7:12" x14ac:dyDescent="0.2">
      <c r="G1464" s="45"/>
      <c r="L1464" s="8"/>
    </row>
    <row r="1465" spans="7:12" x14ac:dyDescent="0.2">
      <c r="G1465" s="45"/>
      <c r="L1465" s="8"/>
    </row>
    <row r="1466" spans="7:12" x14ac:dyDescent="0.2">
      <c r="G1466" s="45"/>
      <c r="L1466" s="8"/>
    </row>
    <row r="1467" spans="7:12" x14ac:dyDescent="0.2">
      <c r="G1467" s="45"/>
      <c r="L1467" s="8"/>
    </row>
    <row r="1468" spans="7:12" x14ac:dyDescent="0.2">
      <c r="G1468" s="45"/>
      <c r="L1468" s="8"/>
    </row>
    <row r="1469" spans="7:12" x14ac:dyDescent="0.2">
      <c r="G1469" s="45"/>
      <c r="L1469" s="8"/>
    </row>
    <row r="1470" spans="7:12" x14ac:dyDescent="0.2">
      <c r="G1470" s="45"/>
      <c r="L1470" s="8"/>
    </row>
    <row r="1471" spans="7:12" x14ac:dyDescent="0.2">
      <c r="G1471" s="45"/>
      <c r="L1471" s="8"/>
    </row>
    <row r="1472" spans="7:12" x14ac:dyDescent="0.2">
      <c r="G1472" s="45"/>
      <c r="L1472" s="8"/>
    </row>
    <row r="1473" spans="7:12" x14ac:dyDescent="0.2">
      <c r="G1473" s="45"/>
      <c r="L1473" s="8"/>
    </row>
    <row r="1474" spans="7:12" x14ac:dyDescent="0.2">
      <c r="G1474" s="45"/>
      <c r="L1474" s="8"/>
    </row>
    <row r="1475" spans="7:12" x14ac:dyDescent="0.2">
      <c r="G1475" s="45"/>
      <c r="L1475" s="8"/>
    </row>
    <row r="1476" spans="7:12" x14ac:dyDescent="0.2">
      <c r="G1476" s="45"/>
      <c r="L1476" s="8"/>
    </row>
    <row r="1477" spans="7:12" x14ac:dyDescent="0.2">
      <c r="G1477" s="45"/>
      <c r="L1477" s="8"/>
    </row>
    <row r="1478" spans="7:12" x14ac:dyDescent="0.2">
      <c r="G1478" s="45"/>
      <c r="L1478" s="8"/>
    </row>
    <row r="1479" spans="7:12" x14ac:dyDescent="0.2">
      <c r="G1479" s="45"/>
      <c r="L1479" s="8"/>
    </row>
    <row r="1480" spans="7:12" x14ac:dyDescent="0.2">
      <c r="G1480" s="45"/>
      <c r="L1480" s="8"/>
    </row>
    <row r="1481" spans="7:12" x14ac:dyDescent="0.2">
      <c r="G1481" s="45"/>
      <c r="L1481" s="8"/>
    </row>
    <row r="1482" spans="7:12" x14ac:dyDescent="0.2">
      <c r="G1482" s="45"/>
      <c r="L1482" s="8"/>
    </row>
    <row r="1483" spans="7:12" x14ac:dyDescent="0.2">
      <c r="G1483" s="45"/>
      <c r="L1483" s="8"/>
    </row>
    <row r="1484" spans="7:12" x14ac:dyDescent="0.2">
      <c r="G1484" s="45"/>
      <c r="L1484" s="8"/>
    </row>
    <row r="1485" spans="7:12" x14ac:dyDescent="0.2">
      <c r="G1485" s="45"/>
      <c r="L1485" s="8"/>
    </row>
    <row r="1486" spans="7:12" x14ac:dyDescent="0.2">
      <c r="G1486" s="45"/>
      <c r="L1486" s="8"/>
    </row>
    <row r="1487" spans="7:12" x14ac:dyDescent="0.2">
      <c r="G1487" s="45"/>
      <c r="L1487" s="8"/>
    </row>
    <row r="1488" spans="7:12" x14ac:dyDescent="0.2">
      <c r="G1488" s="45"/>
      <c r="L1488" s="8"/>
    </row>
    <row r="1489" spans="7:12" x14ac:dyDescent="0.2">
      <c r="G1489" s="45"/>
      <c r="L1489" s="8"/>
    </row>
    <row r="1490" spans="7:12" x14ac:dyDescent="0.2">
      <c r="G1490" s="45"/>
      <c r="L1490" s="8"/>
    </row>
    <row r="1491" spans="7:12" x14ac:dyDescent="0.2">
      <c r="G1491" s="45"/>
      <c r="L1491" s="8"/>
    </row>
    <row r="1492" spans="7:12" x14ac:dyDescent="0.2">
      <c r="G1492" s="45"/>
      <c r="L1492" s="8"/>
    </row>
    <row r="1493" spans="7:12" x14ac:dyDescent="0.2">
      <c r="G1493" s="45"/>
      <c r="L1493" s="8"/>
    </row>
    <row r="1494" spans="7:12" x14ac:dyDescent="0.2">
      <c r="G1494" s="45"/>
      <c r="L1494" s="8"/>
    </row>
    <row r="1495" spans="7:12" x14ac:dyDescent="0.2">
      <c r="G1495" s="45"/>
      <c r="L1495" s="8"/>
    </row>
    <row r="1496" spans="7:12" x14ac:dyDescent="0.2">
      <c r="G1496" s="45"/>
      <c r="L1496" s="8"/>
    </row>
    <row r="1497" spans="7:12" x14ac:dyDescent="0.2">
      <c r="G1497" s="45"/>
      <c r="L1497" s="8"/>
    </row>
    <row r="1498" spans="7:12" x14ac:dyDescent="0.2">
      <c r="G1498" s="45"/>
      <c r="L1498" s="8"/>
    </row>
    <row r="1499" spans="7:12" x14ac:dyDescent="0.2">
      <c r="G1499" s="45"/>
      <c r="L1499" s="8"/>
    </row>
    <row r="1500" spans="7:12" x14ac:dyDescent="0.2">
      <c r="G1500" s="45"/>
      <c r="L1500" s="8"/>
    </row>
    <row r="1501" spans="7:12" x14ac:dyDescent="0.2">
      <c r="G1501" s="45"/>
      <c r="L1501" s="8"/>
    </row>
    <row r="1502" spans="7:12" x14ac:dyDescent="0.2">
      <c r="G1502" s="45"/>
      <c r="L1502" s="8"/>
    </row>
    <row r="1503" spans="7:12" x14ac:dyDescent="0.2">
      <c r="G1503" s="45"/>
      <c r="L1503" s="8"/>
    </row>
    <row r="1504" spans="7:12" x14ac:dyDescent="0.2">
      <c r="G1504" s="45"/>
      <c r="L1504" s="8"/>
    </row>
    <row r="1505" spans="7:12" x14ac:dyDescent="0.2">
      <c r="G1505" s="45"/>
      <c r="L1505" s="8"/>
    </row>
    <row r="1506" spans="7:12" x14ac:dyDescent="0.2">
      <c r="G1506" s="45"/>
      <c r="L1506" s="8"/>
    </row>
    <row r="1507" spans="7:12" x14ac:dyDescent="0.2">
      <c r="G1507" s="45"/>
      <c r="L1507" s="8"/>
    </row>
    <row r="1508" spans="7:12" x14ac:dyDescent="0.2">
      <c r="G1508" s="45"/>
      <c r="L1508" s="8"/>
    </row>
    <row r="1509" spans="7:12" x14ac:dyDescent="0.2">
      <c r="G1509" s="45"/>
      <c r="L1509" s="8"/>
    </row>
    <row r="1510" spans="7:12" x14ac:dyDescent="0.2">
      <c r="G1510" s="45"/>
      <c r="L1510" s="8"/>
    </row>
    <row r="1511" spans="7:12" x14ac:dyDescent="0.2">
      <c r="G1511" s="45"/>
      <c r="L1511" s="8"/>
    </row>
    <row r="1512" spans="7:12" x14ac:dyDescent="0.2">
      <c r="G1512" s="45"/>
      <c r="L1512" s="8"/>
    </row>
    <row r="1513" spans="7:12" x14ac:dyDescent="0.2">
      <c r="G1513" s="45"/>
      <c r="L1513" s="8"/>
    </row>
    <row r="1514" spans="7:12" x14ac:dyDescent="0.2">
      <c r="G1514" s="45"/>
      <c r="L1514" s="8"/>
    </row>
    <row r="1515" spans="7:12" x14ac:dyDescent="0.2">
      <c r="G1515" s="45"/>
      <c r="L1515" s="8"/>
    </row>
    <row r="1516" spans="7:12" x14ac:dyDescent="0.2">
      <c r="G1516" s="45"/>
      <c r="L1516" s="8"/>
    </row>
    <row r="1517" spans="7:12" x14ac:dyDescent="0.2">
      <c r="G1517" s="45"/>
      <c r="L1517" s="8"/>
    </row>
    <row r="1518" spans="7:12" x14ac:dyDescent="0.2">
      <c r="G1518" s="45"/>
      <c r="L1518" s="8"/>
    </row>
    <row r="1519" spans="7:12" x14ac:dyDescent="0.2">
      <c r="G1519" s="45"/>
      <c r="L1519" s="8"/>
    </row>
    <row r="1520" spans="7:12" x14ac:dyDescent="0.2">
      <c r="G1520" s="45"/>
      <c r="L1520" s="8"/>
    </row>
    <row r="1521" spans="7:12" x14ac:dyDescent="0.2">
      <c r="G1521" s="45"/>
      <c r="L1521" s="8"/>
    </row>
    <row r="1522" spans="7:12" x14ac:dyDescent="0.2">
      <c r="G1522" s="45"/>
      <c r="L1522" s="8"/>
    </row>
    <row r="1523" spans="7:12" x14ac:dyDescent="0.2">
      <c r="G1523" s="45"/>
      <c r="L1523" s="8"/>
    </row>
    <row r="1524" spans="7:12" x14ac:dyDescent="0.2">
      <c r="G1524" s="45"/>
      <c r="L1524" s="8"/>
    </row>
    <row r="1525" spans="7:12" x14ac:dyDescent="0.2">
      <c r="G1525" s="45"/>
      <c r="L1525" s="8"/>
    </row>
    <row r="1526" spans="7:12" x14ac:dyDescent="0.2">
      <c r="G1526" s="45"/>
      <c r="L1526" s="8"/>
    </row>
    <row r="1527" spans="7:12" x14ac:dyDescent="0.2">
      <c r="G1527" s="45"/>
      <c r="L1527" s="8"/>
    </row>
    <row r="1528" spans="7:12" x14ac:dyDescent="0.2">
      <c r="G1528" s="45"/>
      <c r="L1528" s="8"/>
    </row>
    <row r="1529" spans="7:12" x14ac:dyDescent="0.2">
      <c r="G1529" s="45"/>
      <c r="L1529" s="8"/>
    </row>
    <row r="1530" spans="7:12" x14ac:dyDescent="0.2">
      <c r="G1530" s="45"/>
      <c r="L1530" s="8"/>
    </row>
    <row r="1531" spans="7:12" x14ac:dyDescent="0.2">
      <c r="G1531" s="45"/>
      <c r="L1531" s="8"/>
    </row>
    <row r="1532" spans="7:12" x14ac:dyDescent="0.2">
      <c r="G1532" s="45"/>
      <c r="L1532" s="8"/>
    </row>
    <row r="1533" spans="7:12" x14ac:dyDescent="0.2">
      <c r="G1533" s="45"/>
      <c r="L1533" s="8"/>
    </row>
    <row r="1534" spans="7:12" x14ac:dyDescent="0.2">
      <c r="G1534" s="45"/>
      <c r="L1534" s="8"/>
    </row>
    <row r="1535" spans="7:12" x14ac:dyDescent="0.2">
      <c r="G1535" s="45"/>
      <c r="L1535" s="8"/>
    </row>
    <row r="1536" spans="7:12" x14ac:dyDescent="0.2">
      <c r="G1536" s="45"/>
      <c r="L1536" s="8"/>
    </row>
    <row r="1537" spans="7:12" x14ac:dyDescent="0.2">
      <c r="G1537" s="45"/>
      <c r="L1537" s="8"/>
    </row>
    <row r="1538" spans="7:12" x14ac:dyDescent="0.2">
      <c r="G1538" s="45"/>
      <c r="L1538" s="8"/>
    </row>
    <row r="1539" spans="7:12" x14ac:dyDescent="0.2">
      <c r="G1539" s="45"/>
      <c r="L1539" s="8"/>
    </row>
    <row r="1540" spans="7:12" x14ac:dyDescent="0.2">
      <c r="G1540" s="45"/>
      <c r="L1540" s="8"/>
    </row>
    <row r="1541" spans="7:12" x14ac:dyDescent="0.2">
      <c r="G1541" s="45"/>
      <c r="L1541" s="8"/>
    </row>
    <row r="1542" spans="7:12" x14ac:dyDescent="0.2">
      <c r="G1542" s="45"/>
      <c r="L1542" s="8"/>
    </row>
    <row r="1543" spans="7:12" x14ac:dyDescent="0.2">
      <c r="G1543" s="45"/>
      <c r="L1543" s="8"/>
    </row>
    <row r="1544" spans="7:12" x14ac:dyDescent="0.2">
      <c r="G1544" s="45"/>
      <c r="L1544" s="8"/>
    </row>
    <row r="1545" spans="7:12" x14ac:dyDescent="0.2">
      <c r="G1545" s="45"/>
      <c r="L1545" s="8"/>
    </row>
    <row r="1546" spans="7:12" x14ac:dyDescent="0.2">
      <c r="G1546" s="45"/>
      <c r="L1546" s="8"/>
    </row>
    <row r="1547" spans="7:12" x14ac:dyDescent="0.2">
      <c r="G1547" s="45"/>
      <c r="L1547" s="8"/>
    </row>
    <row r="1548" spans="7:12" x14ac:dyDescent="0.2">
      <c r="G1548" s="45"/>
      <c r="L1548" s="8"/>
    </row>
    <row r="1549" spans="7:12" x14ac:dyDescent="0.2">
      <c r="G1549" s="45"/>
      <c r="L1549" s="8"/>
    </row>
    <row r="1550" spans="7:12" x14ac:dyDescent="0.2">
      <c r="G1550" s="45"/>
      <c r="L1550" s="8"/>
    </row>
    <row r="1551" spans="7:12" x14ac:dyDescent="0.2">
      <c r="G1551" s="45"/>
      <c r="L1551" s="8"/>
    </row>
    <row r="1552" spans="7:12" x14ac:dyDescent="0.2">
      <c r="G1552" s="45"/>
      <c r="L1552" s="8"/>
    </row>
    <row r="1553" spans="7:12" x14ac:dyDescent="0.2">
      <c r="G1553" s="45"/>
      <c r="L1553" s="8"/>
    </row>
    <row r="1554" spans="7:12" x14ac:dyDescent="0.2">
      <c r="G1554" s="45"/>
      <c r="L1554" s="8"/>
    </row>
    <row r="1555" spans="7:12" x14ac:dyDescent="0.2">
      <c r="G1555" s="45"/>
      <c r="L1555" s="8"/>
    </row>
    <row r="1556" spans="7:12" x14ac:dyDescent="0.2">
      <c r="G1556" s="45"/>
      <c r="L1556" s="8"/>
    </row>
    <row r="1557" spans="7:12" x14ac:dyDescent="0.2">
      <c r="G1557" s="45"/>
      <c r="L1557" s="8"/>
    </row>
    <row r="1558" spans="7:12" x14ac:dyDescent="0.2">
      <c r="G1558" s="45"/>
      <c r="L1558" s="8"/>
    </row>
    <row r="1559" spans="7:12" x14ac:dyDescent="0.2">
      <c r="G1559" s="45"/>
      <c r="L1559" s="8"/>
    </row>
    <row r="1560" spans="7:12" x14ac:dyDescent="0.2">
      <c r="G1560" s="45"/>
      <c r="L1560" s="8"/>
    </row>
    <row r="1561" spans="7:12" x14ac:dyDescent="0.2">
      <c r="G1561" s="45"/>
      <c r="L1561" s="8"/>
    </row>
    <row r="1562" spans="7:12" x14ac:dyDescent="0.2">
      <c r="G1562" s="45"/>
      <c r="L1562" s="8"/>
    </row>
    <row r="1563" spans="7:12" x14ac:dyDescent="0.2">
      <c r="G1563" s="45"/>
      <c r="L1563" s="8"/>
    </row>
    <row r="1564" spans="7:12" x14ac:dyDescent="0.2">
      <c r="G1564" s="45"/>
      <c r="L1564" s="8"/>
    </row>
    <row r="1565" spans="7:12" x14ac:dyDescent="0.2">
      <c r="G1565" s="45"/>
      <c r="L1565" s="8"/>
    </row>
    <row r="1566" spans="7:12" x14ac:dyDescent="0.2">
      <c r="G1566" s="45"/>
      <c r="L1566" s="8"/>
    </row>
    <row r="1567" spans="7:12" x14ac:dyDescent="0.2">
      <c r="G1567" s="45"/>
      <c r="L1567" s="8"/>
    </row>
    <row r="1568" spans="7:12" x14ac:dyDescent="0.2">
      <c r="G1568" s="45"/>
      <c r="L1568" s="8"/>
    </row>
    <row r="1569" spans="7:12" x14ac:dyDescent="0.2">
      <c r="G1569" s="45"/>
      <c r="L1569" s="8"/>
    </row>
    <row r="1570" spans="7:12" x14ac:dyDescent="0.2">
      <c r="G1570" s="45"/>
      <c r="L1570" s="8"/>
    </row>
    <row r="1571" spans="7:12" x14ac:dyDescent="0.2">
      <c r="G1571" s="45"/>
      <c r="L1571" s="8"/>
    </row>
    <row r="1572" spans="7:12" x14ac:dyDescent="0.2">
      <c r="G1572" s="45"/>
      <c r="L1572" s="8"/>
    </row>
    <row r="1573" spans="7:12" x14ac:dyDescent="0.2">
      <c r="G1573" s="45"/>
      <c r="L1573" s="8"/>
    </row>
    <row r="1574" spans="7:12" x14ac:dyDescent="0.2">
      <c r="G1574" s="45"/>
      <c r="L1574" s="8"/>
    </row>
    <row r="1575" spans="7:12" x14ac:dyDescent="0.2">
      <c r="G1575" s="45"/>
      <c r="L1575" s="8"/>
    </row>
    <row r="1576" spans="7:12" x14ac:dyDescent="0.2">
      <c r="G1576" s="45"/>
      <c r="L1576" s="8"/>
    </row>
    <row r="1577" spans="7:12" x14ac:dyDescent="0.2">
      <c r="G1577" s="45"/>
      <c r="L1577" s="8"/>
    </row>
    <row r="1578" spans="7:12" x14ac:dyDescent="0.2">
      <c r="G1578" s="45"/>
      <c r="L1578" s="8"/>
    </row>
    <row r="1579" spans="7:12" x14ac:dyDescent="0.2">
      <c r="G1579" s="45"/>
      <c r="L1579" s="8"/>
    </row>
    <row r="1580" spans="7:12" x14ac:dyDescent="0.2">
      <c r="G1580" s="45"/>
      <c r="L1580" s="8"/>
    </row>
    <row r="1581" spans="7:12" x14ac:dyDescent="0.2">
      <c r="G1581" s="45"/>
      <c r="L1581" s="8"/>
    </row>
    <row r="1582" spans="7:12" x14ac:dyDescent="0.2">
      <c r="G1582" s="45"/>
      <c r="L1582" s="8"/>
    </row>
    <row r="1583" spans="7:12" x14ac:dyDescent="0.2">
      <c r="G1583" s="45"/>
      <c r="L1583" s="8"/>
    </row>
    <row r="1584" spans="7:12" x14ac:dyDescent="0.2">
      <c r="G1584" s="45"/>
      <c r="L1584" s="8"/>
    </row>
    <row r="1585" spans="7:12" x14ac:dyDescent="0.2">
      <c r="G1585" s="45"/>
      <c r="L1585" s="8"/>
    </row>
    <row r="1586" spans="7:12" x14ac:dyDescent="0.2">
      <c r="G1586" s="45"/>
      <c r="L1586" s="8"/>
    </row>
    <row r="1587" spans="7:12" x14ac:dyDescent="0.2">
      <c r="G1587" s="45"/>
      <c r="L1587" s="8"/>
    </row>
    <row r="1588" spans="7:12" x14ac:dyDescent="0.2">
      <c r="G1588" s="45"/>
      <c r="L1588" s="8"/>
    </row>
    <row r="1589" spans="7:12" x14ac:dyDescent="0.2">
      <c r="G1589" s="45"/>
      <c r="L1589" s="8"/>
    </row>
    <row r="1590" spans="7:12" x14ac:dyDescent="0.2">
      <c r="G1590" s="45"/>
      <c r="L1590" s="8"/>
    </row>
    <row r="1591" spans="7:12" x14ac:dyDescent="0.2">
      <c r="G1591" s="45"/>
      <c r="L1591" s="8"/>
    </row>
    <row r="1592" spans="7:12" x14ac:dyDescent="0.2">
      <c r="G1592" s="45"/>
      <c r="L1592" s="8"/>
    </row>
    <row r="1593" spans="7:12" x14ac:dyDescent="0.2">
      <c r="G1593" s="45"/>
      <c r="L1593" s="8"/>
    </row>
    <row r="1594" spans="7:12" x14ac:dyDescent="0.2">
      <c r="G1594" s="45"/>
      <c r="L1594" s="8"/>
    </row>
    <row r="1595" spans="7:12" x14ac:dyDescent="0.2">
      <c r="G1595" s="45"/>
      <c r="L1595" s="8"/>
    </row>
    <row r="1596" spans="7:12" x14ac:dyDescent="0.2">
      <c r="G1596" s="45"/>
      <c r="L1596" s="8"/>
    </row>
    <row r="1597" spans="7:12" x14ac:dyDescent="0.2">
      <c r="G1597" s="45"/>
      <c r="L1597" s="8"/>
    </row>
    <row r="1598" spans="7:12" x14ac:dyDescent="0.2">
      <c r="G1598" s="45"/>
      <c r="L1598" s="8"/>
    </row>
    <row r="1599" spans="7:12" x14ac:dyDescent="0.2">
      <c r="G1599" s="45"/>
      <c r="L1599" s="8"/>
    </row>
    <row r="1600" spans="7:12" x14ac:dyDescent="0.2">
      <c r="G1600" s="45"/>
      <c r="L1600" s="8"/>
    </row>
    <row r="1601" spans="7:12" x14ac:dyDescent="0.2">
      <c r="G1601" s="45"/>
      <c r="L1601" s="8"/>
    </row>
    <row r="1602" spans="7:12" x14ac:dyDescent="0.2">
      <c r="G1602" s="45"/>
      <c r="L1602" s="8"/>
    </row>
    <row r="1603" spans="7:12" x14ac:dyDescent="0.2">
      <c r="G1603" s="45"/>
      <c r="L1603" s="8"/>
    </row>
    <row r="1604" spans="7:12" x14ac:dyDescent="0.2">
      <c r="G1604" s="45"/>
      <c r="L1604" s="8"/>
    </row>
    <row r="1605" spans="7:12" x14ac:dyDescent="0.2">
      <c r="G1605" s="45"/>
      <c r="L1605" s="8"/>
    </row>
    <row r="1606" spans="7:12" x14ac:dyDescent="0.2">
      <c r="G1606" s="45"/>
      <c r="L1606" s="8"/>
    </row>
    <row r="1607" spans="7:12" x14ac:dyDescent="0.2">
      <c r="G1607" s="45"/>
      <c r="L1607" s="8"/>
    </row>
    <row r="1608" spans="7:12" x14ac:dyDescent="0.2">
      <c r="G1608" s="45"/>
      <c r="L1608" s="8"/>
    </row>
    <row r="1609" spans="7:12" x14ac:dyDescent="0.2">
      <c r="G1609" s="45"/>
      <c r="L1609" s="8"/>
    </row>
    <row r="1610" spans="7:12" x14ac:dyDescent="0.2">
      <c r="G1610" s="45"/>
      <c r="L1610" s="8"/>
    </row>
    <row r="1611" spans="7:12" x14ac:dyDescent="0.2">
      <c r="G1611" s="45"/>
      <c r="L1611" s="8"/>
    </row>
    <row r="1612" spans="7:12" x14ac:dyDescent="0.2">
      <c r="G1612" s="45"/>
      <c r="L1612" s="8"/>
    </row>
    <row r="1613" spans="7:12" x14ac:dyDescent="0.2">
      <c r="G1613" s="45"/>
      <c r="L1613" s="8"/>
    </row>
    <row r="1614" spans="7:12" x14ac:dyDescent="0.2">
      <c r="G1614" s="45"/>
      <c r="L1614" s="8"/>
    </row>
    <row r="1615" spans="7:12" x14ac:dyDescent="0.2">
      <c r="G1615" s="45"/>
      <c r="L1615" s="8"/>
    </row>
    <row r="1616" spans="7:12" x14ac:dyDescent="0.2">
      <c r="G1616" s="45"/>
      <c r="L1616" s="8"/>
    </row>
    <row r="1617" spans="7:12" x14ac:dyDescent="0.2">
      <c r="G1617" s="45"/>
      <c r="L1617" s="8"/>
    </row>
    <row r="1618" spans="7:12" x14ac:dyDescent="0.2">
      <c r="G1618" s="45"/>
      <c r="L1618" s="8"/>
    </row>
    <row r="1619" spans="7:12" x14ac:dyDescent="0.2">
      <c r="G1619" s="45"/>
      <c r="L1619" s="8"/>
    </row>
    <row r="1620" spans="7:12" x14ac:dyDescent="0.2">
      <c r="G1620" s="45"/>
      <c r="L1620" s="8"/>
    </row>
    <row r="1621" spans="7:12" x14ac:dyDescent="0.2">
      <c r="G1621" s="45"/>
      <c r="L1621" s="8"/>
    </row>
    <row r="1622" spans="7:12" x14ac:dyDescent="0.2">
      <c r="G1622" s="45"/>
      <c r="L1622" s="8"/>
    </row>
    <row r="1623" spans="7:12" x14ac:dyDescent="0.2">
      <c r="G1623" s="45"/>
      <c r="L1623" s="8"/>
    </row>
    <row r="1624" spans="7:12" x14ac:dyDescent="0.2">
      <c r="G1624" s="45"/>
      <c r="L1624" s="8"/>
    </row>
    <row r="1625" spans="7:12" x14ac:dyDescent="0.2">
      <c r="G1625" s="45"/>
      <c r="L1625" s="8"/>
    </row>
    <row r="1626" spans="7:12" x14ac:dyDescent="0.2">
      <c r="G1626" s="45"/>
      <c r="L1626" s="8"/>
    </row>
    <row r="1627" spans="7:12" x14ac:dyDescent="0.2">
      <c r="G1627" s="45"/>
      <c r="L1627" s="8"/>
    </row>
    <row r="1628" spans="7:12" x14ac:dyDescent="0.2">
      <c r="G1628" s="45"/>
      <c r="L1628" s="8"/>
    </row>
    <row r="1629" spans="7:12" x14ac:dyDescent="0.2">
      <c r="G1629" s="45"/>
      <c r="L1629" s="8"/>
    </row>
    <row r="1630" spans="7:12" x14ac:dyDescent="0.2">
      <c r="G1630" s="45"/>
      <c r="L1630" s="8"/>
    </row>
    <row r="1631" spans="7:12" x14ac:dyDescent="0.2">
      <c r="G1631" s="45"/>
      <c r="L1631" s="8"/>
    </row>
    <row r="1632" spans="7:12" x14ac:dyDescent="0.2">
      <c r="G1632" s="45"/>
      <c r="L1632" s="8"/>
    </row>
    <row r="1633" spans="7:12" x14ac:dyDescent="0.2">
      <c r="G1633" s="45"/>
      <c r="L1633" s="8"/>
    </row>
    <row r="1634" spans="7:12" x14ac:dyDescent="0.2">
      <c r="G1634" s="45"/>
      <c r="L1634" s="8"/>
    </row>
    <row r="1635" spans="7:12" x14ac:dyDescent="0.2">
      <c r="G1635" s="45"/>
      <c r="L1635" s="8"/>
    </row>
    <row r="1636" spans="7:12" x14ac:dyDescent="0.2">
      <c r="G1636" s="45"/>
      <c r="L1636" s="8"/>
    </row>
    <row r="1637" spans="7:12" x14ac:dyDescent="0.2">
      <c r="G1637" s="45"/>
      <c r="L1637" s="8"/>
    </row>
    <row r="1638" spans="7:12" x14ac:dyDescent="0.2">
      <c r="G1638" s="45"/>
      <c r="L1638" s="8"/>
    </row>
    <row r="1639" spans="7:12" x14ac:dyDescent="0.2">
      <c r="G1639" s="45"/>
      <c r="L1639" s="8"/>
    </row>
    <row r="1640" spans="7:12" x14ac:dyDescent="0.2">
      <c r="G1640" s="45"/>
      <c r="L1640" s="8"/>
    </row>
    <row r="1641" spans="7:12" x14ac:dyDescent="0.2">
      <c r="G1641" s="45"/>
      <c r="L1641" s="8"/>
    </row>
    <row r="1642" spans="7:12" x14ac:dyDescent="0.2">
      <c r="G1642" s="45"/>
      <c r="L1642" s="8"/>
    </row>
    <row r="1643" spans="7:12" x14ac:dyDescent="0.2">
      <c r="G1643" s="45"/>
      <c r="L1643" s="8"/>
    </row>
    <row r="1644" spans="7:12" x14ac:dyDescent="0.2">
      <c r="G1644" s="45"/>
      <c r="L1644" s="8"/>
    </row>
    <row r="1645" spans="7:12" x14ac:dyDescent="0.2">
      <c r="G1645" s="45"/>
      <c r="L1645" s="8"/>
    </row>
    <row r="1646" spans="7:12" x14ac:dyDescent="0.2">
      <c r="G1646" s="45"/>
      <c r="L1646" s="8"/>
    </row>
    <row r="1647" spans="7:12" x14ac:dyDescent="0.2">
      <c r="G1647" s="45"/>
      <c r="L1647" s="8"/>
    </row>
    <row r="1648" spans="7:12" x14ac:dyDescent="0.2">
      <c r="G1648" s="45"/>
      <c r="L1648" s="8"/>
    </row>
    <row r="1649" spans="7:12" x14ac:dyDescent="0.2">
      <c r="G1649" s="45"/>
      <c r="L1649" s="8"/>
    </row>
    <row r="1650" spans="7:12" x14ac:dyDescent="0.2">
      <c r="G1650" s="45"/>
      <c r="L1650" s="8"/>
    </row>
    <row r="1651" spans="7:12" x14ac:dyDescent="0.2">
      <c r="G1651" s="45"/>
      <c r="L1651" s="8"/>
    </row>
    <row r="1652" spans="7:12" x14ac:dyDescent="0.2">
      <c r="G1652" s="45"/>
      <c r="L1652" s="8"/>
    </row>
    <row r="1653" spans="7:12" x14ac:dyDescent="0.2">
      <c r="G1653" s="45"/>
      <c r="L1653" s="8"/>
    </row>
    <row r="1654" spans="7:12" x14ac:dyDescent="0.2">
      <c r="G1654" s="45"/>
      <c r="L1654" s="8"/>
    </row>
    <row r="1655" spans="7:12" x14ac:dyDescent="0.2">
      <c r="G1655" s="45"/>
      <c r="L1655" s="8"/>
    </row>
    <row r="1656" spans="7:12" x14ac:dyDescent="0.2">
      <c r="G1656" s="45"/>
      <c r="L1656" s="8"/>
    </row>
    <row r="1657" spans="7:12" x14ac:dyDescent="0.2">
      <c r="G1657" s="45"/>
      <c r="L1657" s="8"/>
    </row>
    <row r="1658" spans="7:12" x14ac:dyDescent="0.2">
      <c r="G1658" s="45"/>
      <c r="L1658" s="8"/>
    </row>
    <row r="1659" spans="7:12" x14ac:dyDescent="0.2">
      <c r="G1659" s="45"/>
      <c r="L1659" s="8"/>
    </row>
    <row r="1660" spans="7:12" x14ac:dyDescent="0.2">
      <c r="G1660" s="45"/>
      <c r="L1660" s="8"/>
    </row>
    <row r="1661" spans="7:12" x14ac:dyDescent="0.2">
      <c r="G1661" s="45"/>
      <c r="L1661" s="8"/>
    </row>
    <row r="1662" spans="7:12" x14ac:dyDescent="0.2">
      <c r="G1662" s="45"/>
      <c r="L1662" s="8"/>
    </row>
    <row r="1663" spans="7:12" x14ac:dyDescent="0.2">
      <c r="G1663" s="45"/>
      <c r="L1663" s="8"/>
    </row>
    <row r="1664" spans="7:12" x14ac:dyDescent="0.2">
      <c r="G1664" s="45"/>
      <c r="L1664" s="8"/>
    </row>
    <row r="1665" spans="7:12" x14ac:dyDescent="0.2">
      <c r="G1665" s="45"/>
      <c r="L1665" s="8"/>
    </row>
    <row r="1666" spans="7:12" x14ac:dyDescent="0.2">
      <c r="G1666" s="45"/>
      <c r="L1666" s="8"/>
    </row>
    <row r="1667" spans="7:12" x14ac:dyDescent="0.2">
      <c r="G1667" s="45"/>
      <c r="L1667" s="8"/>
    </row>
    <row r="1668" spans="7:12" x14ac:dyDescent="0.2">
      <c r="G1668" s="45"/>
      <c r="L1668" s="8"/>
    </row>
    <row r="1669" spans="7:12" x14ac:dyDescent="0.2">
      <c r="G1669" s="45"/>
      <c r="L1669" s="8"/>
    </row>
    <row r="1670" spans="7:12" x14ac:dyDescent="0.2">
      <c r="G1670" s="45"/>
      <c r="L1670" s="8"/>
    </row>
    <row r="1671" spans="7:12" x14ac:dyDescent="0.2">
      <c r="G1671" s="45"/>
      <c r="L1671" s="8"/>
    </row>
    <row r="1672" spans="7:12" x14ac:dyDescent="0.2">
      <c r="G1672" s="45"/>
      <c r="L1672" s="8"/>
    </row>
    <row r="1673" spans="7:12" x14ac:dyDescent="0.2">
      <c r="G1673" s="45"/>
      <c r="L1673" s="8"/>
    </row>
    <row r="1674" spans="7:12" x14ac:dyDescent="0.2">
      <c r="G1674" s="45"/>
      <c r="L1674" s="8"/>
    </row>
    <row r="1675" spans="7:12" x14ac:dyDescent="0.2">
      <c r="G1675" s="45"/>
      <c r="L1675" s="8"/>
    </row>
    <row r="1676" spans="7:12" x14ac:dyDescent="0.2">
      <c r="G1676" s="45"/>
      <c r="L1676" s="8"/>
    </row>
    <row r="1677" spans="7:12" x14ac:dyDescent="0.2">
      <c r="G1677" s="45"/>
      <c r="L1677" s="8"/>
    </row>
    <row r="1678" spans="7:12" x14ac:dyDescent="0.2">
      <c r="G1678" s="45"/>
      <c r="L1678" s="8"/>
    </row>
    <row r="1679" spans="7:12" x14ac:dyDescent="0.2">
      <c r="G1679" s="45"/>
      <c r="L1679" s="8"/>
    </row>
    <row r="1680" spans="7:12" x14ac:dyDescent="0.2">
      <c r="G1680" s="45"/>
      <c r="L1680" s="8"/>
    </row>
    <row r="1681" spans="7:12" x14ac:dyDescent="0.2">
      <c r="G1681" s="45"/>
      <c r="L1681" s="8"/>
    </row>
    <row r="1682" spans="7:12" x14ac:dyDescent="0.2">
      <c r="G1682" s="45"/>
      <c r="L1682" s="8"/>
    </row>
    <row r="1683" spans="7:12" x14ac:dyDescent="0.2">
      <c r="G1683" s="45"/>
      <c r="L1683" s="8"/>
    </row>
    <row r="1684" spans="7:12" x14ac:dyDescent="0.2">
      <c r="G1684" s="45"/>
      <c r="L1684" s="8"/>
    </row>
    <row r="1685" spans="7:12" x14ac:dyDescent="0.2">
      <c r="G1685" s="45"/>
      <c r="L1685" s="8"/>
    </row>
    <row r="1686" spans="7:12" x14ac:dyDescent="0.2">
      <c r="G1686" s="45"/>
      <c r="L1686" s="8"/>
    </row>
    <row r="1687" spans="7:12" x14ac:dyDescent="0.2">
      <c r="G1687" s="45"/>
      <c r="L1687" s="8"/>
    </row>
    <row r="1688" spans="7:12" x14ac:dyDescent="0.2">
      <c r="G1688" s="45"/>
      <c r="L1688" s="8"/>
    </row>
    <row r="1689" spans="7:12" x14ac:dyDescent="0.2">
      <c r="G1689" s="45"/>
      <c r="L1689" s="8"/>
    </row>
    <row r="1690" spans="7:12" x14ac:dyDescent="0.2">
      <c r="G1690" s="45"/>
      <c r="L1690" s="8"/>
    </row>
    <row r="1691" spans="7:12" x14ac:dyDescent="0.2">
      <c r="G1691" s="45"/>
      <c r="L1691" s="8"/>
    </row>
    <row r="1692" spans="7:12" x14ac:dyDescent="0.2">
      <c r="G1692" s="45"/>
      <c r="L1692" s="8"/>
    </row>
    <row r="1693" spans="7:12" x14ac:dyDescent="0.2">
      <c r="G1693" s="45"/>
      <c r="L1693" s="8"/>
    </row>
    <row r="1694" spans="7:12" x14ac:dyDescent="0.2">
      <c r="G1694" s="45"/>
      <c r="L1694" s="8"/>
    </row>
    <row r="1695" spans="7:12" x14ac:dyDescent="0.2">
      <c r="G1695" s="45"/>
      <c r="L1695" s="8"/>
    </row>
    <row r="1696" spans="7:12" x14ac:dyDescent="0.2">
      <c r="G1696" s="45"/>
      <c r="L1696" s="8"/>
    </row>
    <row r="1697" spans="7:12" x14ac:dyDescent="0.2">
      <c r="G1697" s="45"/>
      <c r="L1697" s="8"/>
    </row>
    <row r="1698" spans="7:12" x14ac:dyDescent="0.2">
      <c r="G1698" s="45"/>
      <c r="L1698" s="8"/>
    </row>
    <row r="1699" spans="7:12" x14ac:dyDescent="0.2">
      <c r="G1699" s="45"/>
      <c r="L1699" s="8"/>
    </row>
    <row r="1700" spans="7:12" x14ac:dyDescent="0.2">
      <c r="G1700" s="45"/>
      <c r="L1700" s="8"/>
    </row>
    <row r="1701" spans="7:12" x14ac:dyDescent="0.2">
      <c r="G1701" s="45"/>
      <c r="L1701" s="8"/>
    </row>
    <row r="1702" spans="7:12" x14ac:dyDescent="0.2">
      <c r="G1702" s="45"/>
      <c r="L1702" s="8"/>
    </row>
    <row r="1703" spans="7:12" x14ac:dyDescent="0.2">
      <c r="G1703" s="45"/>
      <c r="L1703" s="8"/>
    </row>
    <row r="1704" spans="7:12" x14ac:dyDescent="0.2">
      <c r="G1704" s="45"/>
      <c r="L1704" s="8"/>
    </row>
    <row r="1705" spans="7:12" x14ac:dyDescent="0.2">
      <c r="G1705" s="45"/>
      <c r="L1705" s="8"/>
    </row>
    <row r="1706" spans="7:12" x14ac:dyDescent="0.2">
      <c r="G1706" s="45"/>
      <c r="L1706" s="8"/>
    </row>
    <row r="1707" spans="7:12" x14ac:dyDescent="0.2">
      <c r="G1707" s="45"/>
      <c r="L1707" s="8"/>
    </row>
    <row r="1708" spans="7:12" x14ac:dyDescent="0.2">
      <c r="G1708" s="45"/>
      <c r="L1708" s="8"/>
    </row>
    <row r="1709" spans="7:12" x14ac:dyDescent="0.2">
      <c r="G1709" s="45"/>
      <c r="L1709" s="8"/>
    </row>
    <row r="1710" spans="7:12" x14ac:dyDescent="0.2">
      <c r="G1710" s="45"/>
      <c r="L1710" s="8"/>
    </row>
    <row r="1711" spans="7:12" x14ac:dyDescent="0.2">
      <c r="G1711" s="45"/>
      <c r="L1711" s="8"/>
    </row>
    <row r="1712" spans="7:12" x14ac:dyDescent="0.2">
      <c r="G1712" s="45"/>
      <c r="L1712" s="8"/>
    </row>
    <row r="1713" spans="7:12" x14ac:dyDescent="0.2">
      <c r="G1713" s="45"/>
      <c r="L1713" s="8"/>
    </row>
    <row r="1714" spans="7:12" x14ac:dyDescent="0.2">
      <c r="G1714" s="45"/>
      <c r="L1714" s="8"/>
    </row>
    <row r="1715" spans="7:12" x14ac:dyDescent="0.2">
      <c r="G1715" s="45"/>
      <c r="L1715" s="8"/>
    </row>
    <row r="1716" spans="7:12" x14ac:dyDescent="0.2">
      <c r="G1716" s="45"/>
      <c r="L1716" s="8"/>
    </row>
    <row r="1717" spans="7:12" x14ac:dyDescent="0.2">
      <c r="G1717" s="45"/>
      <c r="L1717" s="8"/>
    </row>
    <row r="1718" spans="7:12" x14ac:dyDescent="0.2">
      <c r="G1718" s="45"/>
      <c r="L1718" s="8"/>
    </row>
    <row r="1719" spans="7:12" x14ac:dyDescent="0.2">
      <c r="G1719" s="45"/>
      <c r="L1719" s="8"/>
    </row>
    <row r="1720" spans="7:12" x14ac:dyDescent="0.2">
      <c r="G1720" s="45"/>
      <c r="L1720" s="8"/>
    </row>
    <row r="1721" spans="7:12" x14ac:dyDescent="0.2">
      <c r="G1721" s="45"/>
      <c r="L1721" s="8"/>
    </row>
    <row r="1722" spans="7:12" x14ac:dyDescent="0.2">
      <c r="G1722" s="45"/>
      <c r="L1722" s="8"/>
    </row>
    <row r="1723" spans="7:12" x14ac:dyDescent="0.2">
      <c r="G1723" s="45"/>
      <c r="L1723" s="8"/>
    </row>
    <row r="1724" spans="7:12" x14ac:dyDescent="0.2">
      <c r="G1724" s="45"/>
      <c r="L1724" s="8"/>
    </row>
    <row r="1725" spans="7:12" x14ac:dyDescent="0.2">
      <c r="G1725" s="45"/>
      <c r="L1725" s="8"/>
    </row>
    <row r="1726" spans="7:12" x14ac:dyDescent="0.2">
      <c r="G1726" s="45"/>
      <c r="L1726" s="8"/>
    </row>
    <row r="1727" spans="7:12" x14ac:dyDescent="0.2">
      <c r="G1727" s="45"/>
      <c r="L1727" s="8"/>
    </row>
    <row r="1728" spans="7:12" x14ac:dyDescent="0.2">
      <c r="G1728" s="45"/>
      <c r="L1728" s="8"/>
    </row>
    <row r="1729" spans="7:12" x14ac:dyDescent="0.2">
      <c r="G1729" s="45"/>
      <c r="L1729" s="8"/>
    </row>
    <row r="1730" spans="7:12" x14ac:dyDescent="0.2">
      <c r="G1730" s="45"/>
      <c r="L1730" s="8"/>
    </row>
    <row r="1731" spans="7:12" x14ac:dyDescent="0.2">
      <c r="G1731" s="45"/>
      <c r="L1731" s="8"/>
    </row>
    <row r="1732" spans="7:12" x14ac:dyDescent="0.2">
      <c r="G1732" s="45"/>
      <c r="L1732" s="8"/>
    </row>
    <row r="1733" spans="7:12" x14ac:dyDescent="0.2">
      <c r="G1733" s="45"/>
      <c r="L1733" s="8"/>
    </row>
    <row r="1734" spans="7:12" x14ac:dyDescent="0.2">
      <c r="G1734" s="45"/>
      <c r="L1734" s="8"/>
    </row>
    <row r="1735" spans="7:12" x14ac:dyDescent="0.2">
      <c r="G1735" s="45"/>
      <c r="L1735" s="8"/>
    </row>
    <row r="1736" spans="7:12" x14ac:dyDescent="0.2">
      <c r="G1736" s="45"/>
      <c r="L1736" s="8"/>
    </row>
    <row r="1737" spans="7:12" x14ac:dyDescent="0.2">
      <c r="G1737" s="45"/>
      <c r="L1737" s="8"/>
    </row>
    <row r="1738" spans="7:12" x14ac:dyDescent="0.2">
      <c r="G1738" s="45"/>
      <c r="L1738" s="8"/>
    </row>
    <row r="1739" spans="7:12" x14ac:dyDescent="0.2">
      <c r="G1739" s="45"/>
      <c r="L1739" s="8"/>
    </row>
    <row r="1740" spans="7:12" x14ac:dyDescent="0.2">
      <c r="G1740" s="45"/>
      <c r="L1740" s="8"/>
    </row>
    <row r="1741" spans="7:12" x14ac:dyDescent="0.2">
      <c r="G1741" s="45"/>
      <c r="L1741" s="8"/>
    </row>
    <row r="1742" spans="7:12" x14ac:dyDescent="0.2">
      <c r="G1742" s="45"/>
      <c r="L1742" s="8"/>
    </row>
    <row r="1743" spans="7:12" x14ac:dyDescent="0.2">
      <c r="G1743" s="45"/>
      <c r="L1743" s="8"/>
    </row>
    <row r="1744" spans="7:12" x14ac:dyDescent="0.2">
      <c r="G1744" s="45"/>
      <c r="L1744" s="8"/>
    </row>
    <row r="1745" spans="7:12" x14ac:dyDescent="0.2">
      <c r="G1745" s="45"/>
      <c r="L1745" s="8"/>
    </row>
    <row r="1746" spans="7:12" x14ac:dyDescent="0.2">
      <c r="G1746" s="45"/>
      <c r="L1746" s="8"/>
    </row>
    <row r="1747" spans="7:12" x14ac:dyDescent="0.2">
      <c r="G1747" s="45"/>
      <c r="L1747" s="8"/>
    </row>
    <row r="1748" spans="7:12" x14ac:dyDescent="0.2">
      <c r="G1748" s="45"/>
      <c r="L1748" s="8"/>
    </row>
    <row r="1749" spans="7:12" x14ac:dyDescent="0.2">
      <c r="G1749" s="45"/>
      <c r="L1749" s="8"/>
    </row>
    <row r="1750" spans="7:12" x14ac:dyDescent="0.2">
      <c r="G1750" s="45"/>
      <c r="L1750" s="8"/>
    </row>
    <row r="1751" spans="7:12" x14ac:dyDescent="0.2">
      <c r="G1751" s="45"/>
      <c r="L1751" s="8"/>
    </row>
    <row r="1752" spans="7:12" x14ac:dyDescent="0.2">
      <c r="G1752" s="45"/>
      <c r="L1752" s="8"/>
    </row>
    <row r="1753" spans="7:12" x14ac:dyDescent="0.2">
      <c r="G1753" s="45"/>
      <c r="L1753" s="8"/>
    </row>
    <row r="1754" spans="7:12" x14ac:dyDescent="0.2">
      <c r="G1754" s="45"/>
      <c r="L1754" s="8"/>
    </row>
    <row r="1755" spans="7:12" x14ac:dyDescent="0.2">
      <c r="G1755" s="45"/>
      <c r="L1755" s="8"/>
    </row>
    <row r="1756" spans="7:12" x14ac:dyDescent="0.2">
      <c r="G1756" s="45"/>
      <c r="L1756" s="8"/>
    </row>
    <row r="1757" spans="7:12" x14ac:dyDescent="0.2">
      <c r="G1757" s="45"/>
      <c r="L1757" s="8"/>
    </row>
    <row r="1758" spans="7:12" x14ac:dyDescent="0.2">
      <c r="G1758" s="45"/>
      <c r="L1758" s="8"/>
    </row>
    <row r="1759" spans="7:12" x14ac:dyDescent="0.2">
      <c r="G1759" s="45"/>
      <c r="L1759" s="8"/>
    </row>
    <row r="1760" spans="7:12" x14ac:dyDescent="0.2">
      <c r="G1760" s="45"/>
      <c r="L1760" s="8"/>
    </row>
    <row r="1761" spans="7:12" x14ac:dyDescent="0.2">
      <c r="G1761" s="45"/>
      <c r="L1761" s="8"/>
    </row>
    <row r="1762" spans="7:12" x14ac:dyDescent="0.2">
      <c r="G1762" s="45"/>
      <c r="L1762" s="8"/>
    </row>
    <row r="1763" spans="7:12" x14ac:dyDescent="0.2">
      <c r="G1763" s="45"/>
      <c r="L1763" s="8"/>
    </row>
    <row r="1764" spans="7:12" x14ac:dyDescent="0.2">
      <c r="G1764" s="45"/>
      <c r="L1764" s="8"/>
    </row>
    <row r="1765" spans="7:12" x14ac:dyDescent="0.2">
      <c r="G1765" s="45"/>
      <c r="L1765" s="8"/>
    </row>
    <row r="1766" spans="7:12" x14ac:dyDescent="0.2">
      <c r="G1766" s="45"/>
      <c r="L1766" s="8"/>
    </row>
    <row r="1767" spans="7:12" x14ac:dyDescent="0.2">
      <c r="G1767" s="45"/>
      <c r="L1767" s="8"/>
    </row>
    <row r="1768" spans="7:12" x14ac:dyDescent="0.2">
      <c r="G1768" s="45"/>
      <c r="L1768" s="8"/>
    </row>
    <row r="1769" spans="7:12" x14ac:dyDescent="0.2">
      <c r="G1769" s="45"/>
      <c r="L1769" s="8"/>
    </row>
    <row r="1770" spans="7:12" x14ac:dyDescent="0.2">
      <c r="G1770" s="45"/>
      <c r="L1770" s="8"/>
    </row>
    <row r="1771" spans="7:12" x14ac:dyDescent="0.2">
      <c r="G1771" s="45"/>
      <c r="L1771" s="8"/>
    </row>
    <row r="1772" spans="7:12" x14ac:dyDescent="0.2">
      <c r="G1772" s="45"/>
      <c r="L1772" s="8"/>
    </row>
    <row r="1773" spans="7:12" x14ac:dyDescent="0.2">
      <c r="G1773" s="45"/>
      <c r="L1773" s="8"/>
    </row>
    <row r="1774" spans="7:12" x14ac:dyDescent="0.2">
      <c r="G1774" s="45"/>
      <c r="L1774" s="8"/>
    </row>
    <row r="1775" spans="7:12" x14ac:dyDescent="0.2">
      <c r="G1775" s="45"/>
      <c r="L1775" s="8"/>
    </row>
    <row r="1776" spans="7:12" x14ac:dyDescent="0.2">
      <c r="G1776" s="45"/>
      <c r="L1776" s="8"/>
    </row>
    <row r="1777" spans="7:12" x14ac:dyDescent="0.2">
      <c r="G1777" s="45"/>
      <c r="L1777" s="8"/>
    </row>
    <row r="1778" spans="7:12" x14ac:dyDescent="0.2">
      <c r="G1778" s="45"/>
      <c r="L1778" s="8"/>
    </row>
    <row r="1779" spans="7:12" x14ac:dyDescent="0.2">
      <c r="G1779" s="45"/>
      <c r="L1779" s="8"/>
    </row>
    <row r="1780" spans="7:12" x14ac:dyDescent="0.2">
      <c r="G1780" s="45"/>
      <c r="L1780" s="8"/>
    </row>
    <row r="1781" spans="7:12" x14ac:dyDescent="0.2">
      <c r="G1781" s="45"/>
      <c r="L1781" s="8"/>
    </row>
    <row r="1782" spans="7:12" x14ac:dyDescent="0.2">
      <c r="G1782" s="45"/>
      <c r="L1782" s="8"/>
    </row>
    <row r="1783" spans="7:12" x14ac:dyDescent="0.2">
      <c r="G1783" s="45"/>
      <c r="L1783" s="8"/>
    </row>
    <row r="1784" spans="7:12" x14ac:dyDescent="0.2">
      <c r="G1784" s="45"/>
      <c r="L1784" s="8"/>
    </row>
    <row r="1785" spans="7:12" x14ac:dyDescent="0.2">
      <c r="G1785" s="45"/>
      <c r="L1785" s="8"/>
    </row>
    <row r="1786" spans="7:12" x14ac:dyDescent="0.2">
      <c r="G1786" s="45"/>
      <c r="L1786" s="8"/>
    </row>
    <row r="1787" spans="7:12" x14ac:dyDescent="0.2">
      <c r="G1787" s="45"/>
      <c r="L1787" s="8"/>
    </row>
    <row r="1788" spans="7:12" x14ac:dyDescent="0.2">
      <c r="G1788" s="45"/>
      <c r="L1788" s="8"/>
    </row>
    <row r="1789" spans="7:12" x14ac:dyDescent="0.2">
      <c r="G1789" s="45"/>
      <c r="L1789" s="8"/>
    </row>
    <row r="1790" spans="7:12" x14ac:dyDescent="0.2">
      <c r="G1790" s="45"/>
      <c r="L1790" s="8"/>
    </row>
    <row r="1791" spans="7:12" x14ac:dyDescent="0.2">
      <c r="G1791" s="45"/>
      <c r="L1791" s="8"/>
    </row>
    <row r="1792" spans="7:12" x14ac:dyDescent="0.2">
      <c r="G1792" s="45"/>
      <c r="L1792" s="8"/>
    </row>
    <row r="1793" spans="7:12" x14ac:dyDescent="0.2">
      <c r="G1793" s="45"/>
      <c r="L1793" s="8"/>
    </row>
    <row r="1794" spans="7:12" x14ac:dyDescent="0.2">
      <c r="G1794" s="45"/>
      <c r="L1794" s="8"/>
    </row>
    <row r="1795" spans="7:12" x14ac:dyDescent="0.2">
      <c r="G1795" s="45"/>
      <c r="L1795" s="8"/>
    </row>
    <row r="1796" spans="7:12" x14ac:dyDescent="0.2">
      <c r="G1796" s="45"/>
      <c r="L1796" s="8"/>
    </row>
    <row r="1797" spans="7:12" x14ac:dyDescent="0.2">
      <c r="G1797" s="45"/>
      <c r="L1797" s="8"/>
    </row>
    <row r="1798" spans="7:12" x14ac:dyDescent="0.2">
      <c r="G1798" s="45"/>
      <c r="L1798" s="8"/>
    </row>
    <row r="1799" spans="7:12" x14ac:dyDescent="0.2">
      <c r="G1799" s="45"/>
      <c r="L1799" s="8"/>
    </row>
    <row r="1800" spans="7:12" x14ac:dyDescent="0.2">
      <c r="G1800" s="45"/>
      <c r="L1800" s="8"/>
    </row>
    <row r="1801" spans="7:12" x14ac:dyDescent="0.2">
      <c r="G1801" s="45"/>
      <c r="L1801" s="8"/>
    </row>
    <row r="1802" spans="7:12" x14ac:dyDescent="0.2">
      <c r="G1802" s="45"/>
      <c r="L1802" s="8"/>
    </row>
    <row r="1803" spans="7:12" x14ac:dyDescent="0.2">
      <c r="G1803" s="45"/>
      <c r="L1803" s="8"/>
    </row>
    <row r="1804" spans="7:12" x14ac:dyDescent="0.2">
      <c r="G1804" s="45"/>
      <c r="L1804" s="8"/>
    </row>
    <row r="1805" spans="7:12" x14ac:dyDescent="0.2">
      <c r="G1805" s="45"/>
      <c r="L1805" s="8"/>
    </row>
    <row r="1806" spans="7:12" x14ac:dyDescent="0.2">
      <c r="G1806" s="45"/>
      <c r="L1806" s="8"/>
    </row>
    <row r="1807" spans="7:12" x14ac:dyDescent="0.2">
      <c r="G1807" s="45"/>
      <c r="L1807" s="8"/>
    </row>
    <row r="1808" spans="7:12" x14ac:dyDescent="0.2">
      <c r="G1808" s="45"/>
      <c r="L1808" s="8"/>
    </row>
    <row r="1809" spans="7:12" x14ac:dyDescent="0.2">
      <c r="G1809" s="45"/>
      <c r="L1809" s="8"/>
    </row>
    <row r="1810" spans="7:12" x14ac:dyDescent="0.2">
      <c r="G1810" s="45"/>
      <c r="L1810" s="8"/>
    </row>
    <row r="1811" spans="7:12" x14ac:dyDescent="0.2">
      <c r="G1811" s="45"/>
      <c r="L1811" s="8"/>
    </row>
    <row r="1812" spans="7:12" x14ac:dyDescent="0.2">
      <c r="G1812" s="45"/>
      <c r="L1812" s="8"/>
    </row>
    <row r="1813" spans="7:12" x14ac:dyDescent="0.2">
      <c r="G1813" s="45"/>
      <c r="L1813" s="8"/>
    </row>
    <row r="1814" spans="7:12" x14ac:dyDescent="0.2">
      <c r="G1814" s="45"/>
      <c r="L1814" s="8"/>
    </row>
    <row r="1815" spans="7:12" x14ac:dyDescent="0.2">
      <c r="G1815" s="45"/>
      <c r="L1815" s="8"/>
    </row>
    <row r="1816" spans="7:12" x14ac:dyDescent="0.2">
      <c r="G1816" s="45"/>
      <c r="L1816" s="8"/>
    </row>
    <row r="1817" spans="7:12" x14ac:dyDescent="0.2">
      <c r="G1817" s="45"/>
      <c r="L1817" s="8"/>
    </row>
    <row r="1818" spans="7:12" x14ac:dyDescent="0.2">
      <c r="G1818" s="45"/>
      <c r="L1818" s="8"/>
    </row>
    <row r="1819" spans="7:12" x14ac:dyDescent="0.2">
      <c r="G1819" s="45"/>
      <c r="L1819" s="8"/>
    </row>
    <row r="1820" spans="7:12" x14ac:dyDescent="0.2">
      <c r="G1820" s="45"/>
      <c r="L1820" s="8"/>
    </row>
    <row r="1821" spans="7:12" x14ac:dyDescent="0.2">
      <c r="G1821" s="45"/>
      <c r="L1821" s="8"/>
    </row>
    <row r="1822" spans="7:12" x14ac:dyDescent="0.2">
      <c r="G1822" s="45"/>
      <c r="L1822" s="8"/>
    </row>
    <row r="1823" spans="7:12" x14ac:dyDescent="0.2">
      <c r="G1823" s="45"/>
      <c r="L1823" s="8"/>
    </row>
    <row r="1824" spans="7:12" x14ac:dyDescent="0.2">
      <c r="G1824" s="45"/>
      <c r="L1824" s="8"/>
    </row>
    <row r="1825" spans="7:12" x14ac:dyDescent="0.2">
      <c r="G1825" s="45"/>
      <c r="L1825" s="8"/>
    </row>
    <row r="1826" spans="7:12" x14ac:dyDescent="0.2">
      <c r="G1826" s="45"/>
      <c r="L1826" s="8"/>
    </row>
    <row r="1827" spans="7:12" x14ac:dyDescent="0.2">
      <c r="G1827" s="45"/>
      <c r="L1827" s="8"/>
    </row>
    <row r="1828" spans="7:12" x14ac:dyDescent="0.2">
      <c r="G1828" s="45"/>
      <c r="L1828" s="8"/>
    </row>
    <row r="1829" spans="7:12" x14ac:dyDescent="0.2">
      <c r="G1829" s="45"/>
      <c r="L1829" s="8"/>
    </row>
    <row r="1830" spans="7:12" x14ac:dyDescent="0.2">
      <c r="G1830" s="45"/>
      <c r="L1830" s="8"/>
    </row>
    <row r="1831" spans="7:12" x14ac:dyDescent="0.2">
      <c r="G1831" s="45"/>
      <c r="L1831" s="8"/>
    </row>
    <row r="1832" spans="7:12" x14ac:dyDescent="0.2">
      <c r="G1832" s="45"/>
      <c r="L1832" s="8"/>
    </row>
    <row r="1833" spans="7:12" x14ac:dyDescent="0.2">
      <c r="G1833" s="45"/>
      <c r="L1833" s="8"/>
    </row>
    <row r="1834" spans="7:12" x14ac:dyDescent="0.2">
      <c r="G1834" s="45"/>
      <c r="L1834" s="8"/>
    </row>
    <row r="1835" spans="7:12" x14ac:dyDescent="0.2">
      <c r="G1835" s="45"/>
      <c r="L1835" s="8"/>
    </row>
    <row r="1836" spans="7:12" x14ac:dyDescent="0.2">
      <c r="G1836" s="45"/>
      <c r="L1836" s="8"/>
    </row>
    <row r="1837" spans="7:12" x14ac:dyDescent="0.2">
      <c r="G1837" s="45"/>
      <c r="L1837" s="8"/>
    </row>
    <row r="1838" spans="7:12" x14ac:dyDescent="0.2">
      <c r="G1838" s="45"/>
      <c r="L1838" s="8"/>
    </row>
    <row r="1839" spans="7:12" x14ac:dyDescent="0.2">
      <c r="G1839" s="45"/>
      <c r="L1839" s="8"/>
    </row>
    <row r="1840" spans="7:12" x14ac:dyDescent="0.2">
      <c r="G1840" s="45"/>
      <c r="L1840" s="8"/>
    </row>
    <row r="1841" spans="7:12" x14ac:dyDescent="0.2">
      <c r="G1841" s="45"/>
      <c r="L1841" s="8"/>
    </row>
    <row r="1842" spans="7:12" x14ac:dyDescent="0.2">
      <c r="G1842" s="45"/>
      <c r="L1842" s="8"/>
    </row>
    <row r="1843" spans="7:12" x14ac:dyDescent="0.2">
      <c r="G1843" s="45"/>
      <c r="L1843" s="8"/>
    </row>
    <row r="1844" spans="7:12" x14ac:dyDescent="0.2">
      <c r="G1844" s="45"/>
      <c r="L1844" s="8"/>
    </row>
    <row r="1845" spans="7:12" x14ac:dyDescent="0.2">
      <c r="G1845" s="45"/>
      <c r="L1845" s="8"/>
    </row>
    <row r="1846" spans="7:12" x14ac:dyDescent="0.2">
      <c r="G1846" s="45"/>
      <c r="L1846" s="8"/>
    </row>
    <row r="1847" spans="7:12" x14ac:dyDescent="0.2">
      <c r="G1847" s="45"/>
      <c r="L1847" s="8"/>
    </row>
    <row r="1848" spans="7:12" x14ac:dyDescent="0.2">
      <c r="G1848" s="45"/>
      <c r="L1848" s="8"/>
    </row>
    <row r="1849" spans="7:12" x14ac:dyDescent="0.2">
      <c r="G1849" s="45"/>
      <c r="L1849" s="8"/>
    </row>
    <row r="1850" spans="7:12" x14ac:dyDescent="0.2">
      <c r="G1850" s="45"/>
      <c r="L1850" s="8"/>
    </row>
    <row r="1851" spans="7:12" x14ac:dyDescent="0.2">
      <c r="G1851" s="45"/>
      <c r="L1851" s="8"/>
    </row>
    <row r="1852" spans="7:12" x14ac:dyDescent="0.2">
      <c r="G1852" s="45"/>
      <c r="L1852" s="8"/>
    </row>
    <row r="1853" spans="7:12" x14ac:dyDescent="0.2">
      <c r="G1853" s="45"/>
      <c r="L1853" s="8"/>
    </row>
    <row r="1854" spans="7:12" x14ac:dyDescent="0.2">
      <c r="G1854" s="45"/>
      <c r="L1854" s="8"/>
    </row>
    <row r="1855" spans="7:12" x14ac:dyDescent="0.2">
      <c r="G1855" s="45"/>
      <c r="L1855" s="8"/>
    </row>
    <row r="1856" spans="7:12" x14ac:dyDescent="0.2">
      <c r="G1856" s="45"/>
      <c r="L1856" s="8"/>
    </row>
    <row r="1857" spans="7:12" x14ac:dyDescent="0.2">
      <c r="G1857" s="45"/>
      <c r="L1857" s="8"/>
    </row>
    <row r="1858" spans="7:12" x14ac:dyDescent="0.2">
      <c r="G1858" s="45"/>
      <c r="L1858" s="8"/>
    </row>
    <row r="1859" spans="7:12" x14ac:dyDescent="0.2">
      <c r="G1859" s="45"/>
      <c r="L1859" s="8"/>
    </row>
    <row r="1860" spans="7:12" x14ac:dyDescent="0.2">
      <c r="G1860" s="45"/>
      <c r="L1860" s="8"/>
    </row>
    <row r="1861" spans="7:12" x14ac:dyDescent="0.2">
      <c r="G1861" s="45"/>
      <c r="L1861" s="8"/>
    </row>
    <row r="1862" spans="7:12" x14ac:dyDescent="0.2">
      <c r="G1862" s="45"/>
      <c r="L1862" s="8"/>
    </row>
    <row r="1863" spans="7:12" x14ac:dyDescent="0.2">
      <c r="G1863" s="45"/>
      <c r="L1863" s="8"/>
    </row>
    <row r="1864" spans="7:12" x14ac:dyDescent="0.2">
      <c r="G1864" s="45"/>
      <c r="L1864" s="8"/>
    </row>
    <row r="1865" spans="7:12" x14ac:dyDescent="0.2">
      <c r="G1865" s="45"/>
      <c r="L1865" s="8"/>
    </row>
    <row r="1866" spans="7:12" x14ac:dyDescent="0.2">
      <c r="G1866" s="45"/>
      <c r="L1866" s="8"/>
    </row>
    <row r="1867" spans="7:12" x14ac:dyDescent="0.2">
      <c r="G1867" s="45"/>
      <c r="L1867" s="8"/>
    </row>
    <row r="1868" spans="7:12" x14ac:dyDescent="0.2">
      <c r="G1868" s="45"/>
      <c r="L1868" s="8"/>
    </row>
    <row r="1869" spans="7:12" x14ac:dyDescent="0.2">
      <c r="G1869" s="45"/>
      <c r="L1869" s="8"/>
    </row>
    <row r="1870" spans="7:12" x14ac:dyDescent="0.2">
      <c r="G1870" s="45"/>
      <c r="L1870" s="8"/>
    </row>
    <row r="1871" spans="7:12" x14ac:dyDescent="0.2">
      <c r="G1871" s="45"/>
      <c r="L1871" s="8"/>
    </row>
    <row r="1872" spans="7:12" x14ac:dyDescent="0.2">
      <c r="G1872" s="45"/>
      <c r="L1872" s="8"/>
    </row>
    <row r="1873" spans="7:12" x14ac:dyDescent="0.2">
      <c r="G1873" s="45"/>
      <c r="L1873" s="8"/>
    </row>
    <row r="1874" spans="7:12" x14ac:dyDescent="0.2">
      <c r="G1874" s="45"/>
      <c r="L1874" s="8"/>
    </row>
    <row r="1875" spans="7:12" x14ac:dyDescent="0.2">
      <c r="G1875" s="45"/>
      <c r="L1875" s="8"/>
    </row>
    <row r="1876" spans="7:12" x14ac:dyDescent="0.2">
      <c r="G1876" s="45"/>
      <c r="L1876" s="8"/>
    </row>
    <row r="1877" spans="7:12" x14ac:dyDescent="0.2">
      <c r="G1877" s="45"/>
      <c r="L1877" s="8"/>
    </row>
    <row r="1878" spans="7:12" x14ac:dyDescent="0.2">
      <c r="G1878" s="45"/>
      <c r="L1878" s="8"/>
    </row>
    <row r="1879" spans="7:12" x14ac:dyDescent="0.2">
      <c r="G1879" s="45"/>
      <c r="L1879" s="8"/>
    </row>
    <row r="1880" spans="7:12" x14ac:dyDescent="0.2">
      <c r="G1880" s="45"/>
      <c r="L1880" s="8"/>
    </row>
    <row r="1881" spans="7:12" x14ac:dyDescent="0.2">
      <c r="G1881" s="45"/>
      <c r="L1881" s="8"/>
    </row>
    <row r="1882" spans="7:12" x14ac:dyDescent="0.2">
      <c r="G1882" s="45"/>
      <c r="L1882" s="8"/>
    </row>
    <row r="1883" spans="7:12" x14ac:dyDescent="0.2">
      <c r="G1883" s="45"/>
      <c r="L1883" s="8"/>
    </row>
    <row r="1884" spans="7:12" x14ac:dyDescent="0.2">
      <c r="G1884" s="45"/>
      <c r="L1884" s="8"/>
    </row>
    <row r="1885" spans="7:12" x14ac:dyDescent="0.2">
      <c r="G1885" s="45"/>
      <c r="L1885" s="8"/>
    </row>
    <row r="1886" spans="7:12" x14ac:dyDescent="0.2">
      <c r="G1886" s="45"/>
      <c r="L1886" s="8"/>
    </row>
    <row r="1887" spans="7:12" x14ac:dyDescent="0.2">
      <c r="G1887" s="45"/>
      <c r="L1887" s="8"/>
    </row>
    <row r="1888" spans="7:12" x14ac:dyDescent="0.2">
      <c r="G1888" s="45"/>
      <c r="L1888" s="8"/>
    </row>
    <row r="1889" spans="7:12" x14ac:dyDescent="0.2">
      <c r="G1889" s="45"/>
      <c r="L1889" s="8"/>
    </row>
    <row r="1890" spans="7:12" x14ac:dyDescent="0.2">
      <c r="G1890" s="45"/>
      <c r="L1890" s="8"/>
    </row>
    <row r="1891" spans="7:12" x14ac:dyDescent="0.2">
      <c r="G1891" s="45"/>
      <c r="L1891" s="8"/>
    </row>
    <row r="1892" spans="7:12" x14ac:dyDescent="0.2">
      <c r="G1892" s="45"/>
      <c r="L1892" s="8"/>
    </row>
    <row r="1893" spans="7:12" x14ac:dyDescent="0.2">
      <c r="G1893" s="45"/>
      <c r="L1893" s="8"/>
    </row>
    <row r="1894" spans="7:12" x14ac:dyDescent="0.2">
      <c r="G1894" s="45"/>
      <c r="L1894" s="8"/>
    </row>
    <row r="1895" spans="7:12" x14ac:dyDescent="0.2">
      <c r="G1895" s="45"/>
      <c r="L1895" s="8"/>
    </row>
    <row r="1896" spans="7:12" x14ac:dyDescent="0.2">
      <c r="G1896" s="45"/>
      <c r="L1896" s="8"/>
    </row>
    <row r="1897" spans="7:12" x14ac:dyDescent="0.2">
      <c r="G1897" s="45"/>
      <c r="L1897" s="8"/>
    </row>
    <row r="1898" spans="7:12" x14ac:dyDescent="0.2">
      <c r="G1898" s="45"/>
      <c r="L1898" s="8"/>
    </row>
    <row r="1899" spans="7:12" x14ac:dyDescent="0.2">
      <c r="G1899" s="45"/>
      <c r="L1899" s="8"/>
    </row>
    <row r="1900" spans="7:12" x14ac:dyDescent="0.2">
      <c r="G1900" s="45"/>
      <c r="L1900" s="8"/>
    </row>
    <row r="1901" spans="7:12" x14ac:dyDescent="0.2">
      <c r="G1901" s="45"/>
      <c r="L1901" s="8"/>
    </row>
    <row r="1902" spans="7:12" x14ac:dyDescent="0.2">
      <c r="G1902" s="45"/>
      <c r="L1902" s="8"/>
    </row>
    <row r="1903" spans="7:12" x14ac:dyDescent="0.2">
      <c r="G1903" s="45"/>
      <c r="L1903" s="8"/>
    </row>
    <row r="1904" spans="7:12" x14ac:dyDescent="0.2">
      <c r="G1904" s="45"/>
      <c r="L1904" s="8"/>
    </row>
    <row r="1905" spans="7:12" x14ac:dyDescent="0.2">
      <c r="G1905" s="45"/>
      <c r="L1905" s="8"/>
    </row>
    <row r="1906" spans="7:12" x14ac:dyDescent="0.2">
      <c r="G1906" s="45"/>
      <c r="L1906" s="8"/>
    </row>
    <row r="1907" spans="7:12" x14ac:dyDescent="0.2">
      <c r="G1907" s="45"/>
      <c r="L1907" s="8"/>
    </row>
    <row r="1908" spans="7:12" x14ac:dyDescent="0.2">
      <c r="G1908" s="45"/>
      <c r="L1908" s="8"/>
    </row>
    <row r="1909" spans="7:12" x14ac:dyDescent="0.2">
      <c r="G1909" s="45"/>
      <c r="L1909" s="8"/>
    </row>
    <row r="1910" spans="7:12" x14ac:dyDescent="0.2">
      <c r="G1910" s="45"/>
      <c r="L1910" s="8"/>
    </row>
    <row r="1911" spans="7:12" x14ac:dyDescent="0.2">
      <c r="G1911" s="45"/>
      <c r="L1911" s="8"/>
    </row>
    <row r="1912" spans="7:12" x14ac:dyDescent="0.2">
      <c r="G1912" s="45"/>
      <c r="L1912" s="8"/>
    </row>
    <row r="1913" spans="7:12" x14ac:dyDescent="0.2">
      <c r="G1913" s="45"/>
      <c r="L1913" s="8"/>
    </row>
    <row r="1914" spans="7:12" x14ac:dyDescent="0.2">
      <c r="G1914" s="45"/>
      <c r="L1914" s="8"/>
    </row>
    <row r="1915" spans="7:12" x14ac:dyDescent="0.2">
      <c r="G1915" s="45"/>
      <c r="L1915" s="8"/>
    </row>
    <row r="1916" spans="7:12" x14ac:dyDescent="0.2">
      <c r="G1916" s="45"/>
      <c r="L1916" s="8"/>
    </row>
    <row r="1917" spans="7:12" x14ac:dyDescent="0.2">
      <c r="G1917" s="45"/>
      <c r="L1917" s="8"/>
    </row>
    <row r="1918" spans="7:12" x14ac:dyDescent="0.2">
      <c r="G1918" s="45"/>
      <c r="L1918" s="8"/>
    </row>
    <row r="1919" spans="7:12" x14ac:dyDescent="0.2">
      <c r="G1919" s="45"/>
      <c r="L1919" s="8"/>
    </row>
    <row r="1920" spans="7:12" x14ac:dyDescent="0.2">
      <c r="G1920" s="45"/>
      <c r="L1920" s="8"/>
    </row>
    <row r="1921" spans="7:12" x14ac:dyDescent="0.2">
      <c r="G1921" s="45"/>
      <c r="L1921" s="8"/>
    </row>
    <row r="1922" spans="7:12" x14ac:dyDescent="0.2">
      <c r="G1922" s="45"/>
      <c r="L1922" s="8"/>
    </row>
    <row r="1923" spans="7:12" x14ac:dyDescent="0.2">
      <c r="G1923" s="45"/>
      <c r="L1923" s="8"/>
    </row>
    <row r="1924" spans="7:12" x14ac:dyDescent="0.2">
      <c r="G1924" s="45"/>
      <c r="L1924" s="8"/>
    </row>
    <row r="1925" spans="7:12" x14ac:dyDescent="0.2">
      <c r="G1925" s="45"/>
      <c r="L1925" s="8"/>
    </row>
    <row r="1926" spans="7:12" x14ac:dyDescent="0.2">
      <c r="G1926" s="45"/>
      <c r="L1926" s="8"/>
    </row>
    <row r="1927" spans="7:12" x14ac:dyDescent="0.2">
      <c r="G1927" s="45"/>
      <c r="L1927" s="8"/>
    </row>
    <row r="1928" spans="7:12" x14ac:dyDescent="0.2">
      <c r="G1928" s="45"/>
      <c r="L1928" s="8"/>
    </row>
    <row r="1929" spans="7:12" x14ac:dyDescent="0.2">
      <c r="G1929" s="45"/>
      <c r="L1929" s="8"/>
    </row>
    <row r="1930" spans="7:12" x14ac:dyDescent="0.2">
      <c r="G1930" s="45"/>
      <c r="L1930" s="8"/>
    </row>
    <row r="1931" spans="7:12" x14ac:dyDescent="0.2">
      <c r="G1931" s="45"/>
      <c r="L1931" s="8"/>
    </row>
    <row r="1932" spans="7:12" x14ac:dyDescent="0.2">
      <c r="G1932" s="45"/>
      <c r="L1932" s="8"/>
    </row>
    <row r="1933" spans="7:12" x14ac:dyDescent="0.2">
      <c r="G1933" s="45"/>
      <c r="L1933" s="8"/>
    </row>
    <row r="1934" spans="7:12" x14ac:dyDescent="0.2">
      <c r="G1934" s="45"/>
      <c r="L1934" s="8"/>
    </row>
    <row r="1935" spans="7:12" x14ac:dyDescent="0.2">
      <c r="G1935" s="45"/>
      <c r="L1935" s="8"/>
    </row>
    <row r="1936" spans="7:12" x14ac:dyDescent="0.2">
      <c r="G1936" s="45"/>
      <c r="L1936" s="8"/>
    </row>
    <row r="1937" spans="7:12" x14ac:dyDescent="0.2">
      <c r="G1937" s="45"/>
      <c r="L1937" s="8"/>
    </row>
    <row r="1938" spans="7:12" x14ac:dyDescent="0.2">
      <c r="G1938" s="45"/>
      <c r="L1938" s="8"/>
    </row>
    <row r="1939" spans="7:12" x14ac:dyDescent="0.2">
      <c r="G1939" s="45"/>
      <c r="L1939" s="8"/>
    </row>
    <row r="1940" spans="7:12" x14ac:dyDescent="0.2">
      <c r="G1940" s="45"/>
      <c r="L1940" s="8"/>
    </row>
    <row r="1941" spans="7:12" x14ac:dyDescent="0.2">
      <c r="G1941" s="45"/>
      <c r="L1941" s="8"/>
    </row>
    <row r="1942" spans="7:12" x14ac:dyDescent="0.2">
      <c r="G1942" s="45"/>
      <c r="L1942" s="8"/>
    </row>
    <row r="1943" spans="7:12" x14ac:dyDescent="0.2">
      <c r="G1943" s="45"/>
      <c r="L1943" s="8"/>
    </row>
    <row r="1944" spans="7:12" x14ac:dyDescent="0.2">
      <c r="G1944" s="45"/>
      <c r="L1944" s="8"/>
    </row>
    <row r="1945" spans="7:12" x14ac:dyDescent="0.2">
      <c r="G1945" s="45"/>
      <c r="L1945" s="8"/>
    </row>
    <row r="1946" spans="7:12" x14ac:dyDescent="0.2">
      <c r="G1946" s="45"/>
      <c r="L1946" s="8"/>
    </row>
    <row r="1947" spans="7:12" x14ac:dyDescent="0.2">
      <c r="G1947" s="45"/>
      <c r="L1947" s="8"/>
    </row>
    <row r="1948" spans="7:12" x14ac:dyDescent="0.2">
      <c r="G1948" s="45"/>
      <c r="L1948" s="8"/>
    </row>
    <row r="1949" spans="7:12" x14ac:dyDescent="0.2">
      <c r="G1949" s="45"/>
      <c r="L1949" s="8"/>
    </row>
    <row r="1950" spans="7:12" x14ac:dyDescent="0.2">
      <c r="G1950" s="45"/>
      <c r="L1950" s="8"/>
    </row>
    <row r="1951" spans="7:12" x14ac:dyDescent="0.2">
      <c r="G1951" s="45"/>
      <c r="L1951" s="8"/>
    </row>
    <row r="1952" spans="7:12" x14ac:dyDescent="0.2">
      <c r="G1952" s="45"/>
      <c r="L1952" s="8"/>
    </row>
    <row r="1953" spans="7:12" x14ac:dyDescent="0.2">
      <c r="G1953" s="45"/>
      <c r="L1953" s="8"/>
    </row>
    <row r="1954" spans="7:12" x14ac:dyDescent="0.2">
      <c r="G1954" s="45"/>
      <c r="L1954" s="8"/>
    </row>
    <row r="1955" spans="7:12" x14ac:dyDescent="0.2">
      <c r="G1955" s="45"/>
      <c r="L1955" s="8"/>
    </row>
    <row r="1956" spans="7:12" x14ac:dyDescent="0.2">
      <c r="G1956" s="45"/>
      <c r="L1956" s="8"/>
    </row>
    <row r="1957" spans="7:12" x14ac:dyDescent="0.2">
      <c r="G1957" s="45"/>
      <c r="L1957" s="8"/>
    </row>
    <row r="1958" spans="7:12" x14ac:dyDescent="0.2">
      <c r="G1958" s="45"/>
      <c r="L1958" s="8"/>
    </row>
    <row r="1959" spans="7:12" x14ac:dyDescent="0.2">
      <c r="G1959" s="45"/>
      <c r="L1959" s="8"/>
    </row>
    <row r="1960" spans="7:12" x14ac:dyDescent="0.2">
      <c r="G1960" s="45"/>
      <c r="L1960" s="8"/>
    </row>
    <row r="1961" spans="7:12" x14ac:dyDescent="0.2">
      <c r="G1961" s="45"/>
      <c r="L1961" s="8"/>
    </row>
    <row r="1962" spans="7:12" x14ac:dyDescent="0.2">
      <c r="G1962" s="45"/>
      <c r="L1962" s="8"/>
    </row>
    <row r="1963" spans="7:12" x14ac:dyDescent="0.2">
      <c r="G1963" s="45"/>
      <c r="L1963" s="8"/>
    </row>
    <row r="1964" spans="7:12" x14ac:dyDescent="0.2">
      <c r="G1964" s="45"/>
      <c r="L1964" s="8"/>
    </row>
    <row r="1965" spans="7:12" x14ac:dyDescent="0.2">
      <c r="G1965" s="45"/>
      <c r="L1965" s="8"/>
    </row>
    <row r="1966" spans="7:12" x14ac:dyDescent="0.2">
      <c r="G1966" s="45"/>
      <c r="L1966" s="8"/>
    </row>
    <row r="1967" spans="7:12" x14ac:dyDescent="0.2">
      <c r="G1967" s="45"/>
      <c r="L1967" s="8"/>
    </row>
    <row r="1968" spans="7:12" x14ac:dyDescent="0.2">
      <c r="G1968" s="45"/>
      <c r="L1968" s="8"/>
    </row>
    <row r="1969" spans="7:12" x14ac:dyDescent="0.2">
      <c r="G1969" s="45"/>
      <c r="L1969" s="8"/>
    </row>
    <row r="1970" spans="7:12" x14ac:dyDescent="0.2">
      <c r="G1970" s="45"/>
      <c r="L1970" s="8"/>
    </row>
    <row r="1971" spans="7:12" x14ac:dyDescent="0.2">
      <c r="G1971" s="45"/>
      <c r="L1971" s="8"/>
    </row>
    <row r="1972" spans="7:12" x14ac:dyDescent="0.2">
      <c r="G1972" s="45"/>
      <c r="L1972" s="8"/>
    </row>
    <row r="1973" spans="7:12" x14ac:dyDescent="0.2">
      <c r="G1973" s="45"/>
      <c r="L1973" s="8"/>
    </row>
    <row r="1974" spans="7:12" x14ac:dyDescent="0.2">
      <c r="G1974" s="45"/>
      <c r="L1974" s="8"/>
    </row>
    <row r="1975" spans="7:12" x14ac:dyDescent="0.2">
      <c r="G1975" s="45"/>
      <c r="L1975" s="8"/>
    </row>
    <row r="1976" spans="7:12" x14ac:dyDescent="0.2">
      <c r="G1976" s="45"/>
      <c r="L1976" s="8"/>
    </row>
    <row r="1977" spans="7:12" x14ac:dyDescent="0.2">
      <c r="G1977" s="45"/>
      <c r="L1977" s="8"/>
    </row>
    <row r="1978" spans="7:12" x14ac:dyDescent="0.2">
      <c r="G1978" s="45"/>
      <c r="L1978" s="8"/>
    </row>
    <row r="1979" spans="7:12" x14ac:dyDescent="0.2">
      <c r="G1979" s="45"/>
      <c r="L1979" s="8"/>
    </row>
    <row r="1980" spans="7:12" x14ac:dyDescent="0.2">
      <c r="G1980" s="45"/>
      <c r="L1980" s="8"/>
    </row>
    <row r="1981" spans="7:12" x14ac:dyDescent="0.2">
      <c r="G1981" s="45"/>
      <c r="L1981" s="8"/>
    </row>
    <row r="1982" spans="7:12" x14ac:dyDescent="0.2">
      <c r="G1982" s="45"/>
      <c r="L1982" s="8"/>
    </row>
    <row r="1983" spans="7:12" x14ac:dyDescent="0.2">
      <c r="G1983" s="45"/>
      <c r="L1983" s="8"/>
    </row>
    <row r="1984" spans="7:12" x14ac:dyDescent="0.2">
      <c r="G1984" s="45"/>
      <c r="L1984" s="8"/>
    </row>
    <row r="1985" spans="7:12" x14ac:dyDescent="0.2">
      <c r="G1985" s="45"/>
      <c r="L1985" s="8"/>
    </row>
    <row r="1986" spans="7:12" x14ac:dyDescent="0.2">
      <c r="G1986" s="45"/>
      <c r="L1986" s="8"/>
    </row>
    <row r="1987" spans="7:12" x14ac:dyDescent="0.2">
      <c r="G1987" s="45"/>
      <c r="L1987" s="8"/>
    </row>
    <row r="1988" spans="7:12" x14ac:dyDescent="0.2">
      <c r="G1988" s="45"/>
      <c r="L1988" s="8"/>
    </row>
    <row r="1989" spans="7:12" x14ac:dyDescent="0.2">
      <c r="G1989" s="45"/>
      <c r="L1989" s="8"/>
    </row>
    <row r="1990" spans="7:12" x14ac:dyDescent="0.2">
      <c r="G1990" s="45"/>
      <c r="L1990" s="8"/>
    </row>
    <row r="1991" spans="7:12" x14ac:dyDescent="0.2">
      <c r="G1991" s="45"/>
      <c r="L1991" s="8"/>
    </row>
    <row r="1992" spans="7:12" x14ac:dyDescent="0.2">
      <c r="G1992" s="45"/>
      <c r="L1992" s="8"/>
    </row>
    <row r="1993" spans="7:12" x14ac:dyDescent="0.2">
      <c r="G1993" s="45"/>
      <c r="L1993" s="8"/>
    </row>
    <row r="1994" spans="7:12" x14ac:dyDescent="0.2">
      <c r="G1994" s="45"/>
      <c r="L1994" s="8"/>
    </row>
    <row r="1995" spans="7:12" x14ac:dyDescent="0.2">
      <c r="G1995" s="45"/>
      <c r="L1995" s="8"/>
    </row>
    <row r="1996" spans="7:12" x14ac:dyDescent="0.2">
      <c r="G1996" s="45"/>
      <c r="L1996" s="8"/>
    </row>
    <row r="1997" spans="7:12" x14ac:dyDescent="0.2">
      <c r="G1997" s="45"/>
      <c r="L1997" s="8"/>
    </row>
    <row r="1998" spans="7:12" x14ac:dyDescent="0.2">
      <c r="G1998" s="45"/>
      <c r="L1998" s="8"/>
    </row>
    <row r="1999" spans="7:12" x14ac:dyDescent="0.2">
      <c r="G1999" s="45"/>
      <c r="L1999" s="8"/>
    </row>
    <row r="2000" spans="7:12" x14ac:dyDescent="0.2">
      <c r="G2000" s="45"/>
      <c r="L2000" s="8"/>
    </row>
    <row r="2001" spans="7:12" x14ac:dyDescent="0.2">
      <c r="G2001" s="45"/>
      <c r="L2001" s="8"/>
    </row>
    <row r="2002" spans="7:12" x14ac:dyDescent="0.2">
      <c r="G2002" s="45"/>
      <c r="L2002" s="8"/>
    </row>
    <row r="2003" spans="7:12" x14ac:dyDescent="0.2">
      <c r="G2003" s="45"/>
      <c r="L2003" s="8"/>
    </row>
    <row r="2004" spans="7:12" x14ac:dyDescent="0.2">
      <c r="G2004" s="45"/>
      <c r="L2004" s="8"/>
    </row>
    <row r="2005" spans="7:12" x14ac:dyDescent="0.2">
      <c r="G2005" s="45"/>
      <c r="L2005" s="8"/>
    </row>
    <row r="2006" spans="7:12" x14ac:dyDescent="0.2">
      <c r="G2006" s="45"/>
      <c r="L2006" s="8"/>
    </row>
    <row r="2007" spans="7:12" x14ac:dyDescent="0.2">
      <c r="G2007" s="45"/>
      <c r="L2007" s="8"/>
    </row>
    <row r="2008" spans="7:12" x14ac:dyDescent="0.2">
      <c r="G2008" s="45"/>
      <c r="L2008" s="8"/>
    </row>
    <row r="2009" spans="7:12" x14ac:dyDescent="0.2">
      <c r="G2009" s="45"/>
      <c r="L2009" s="8"/>
    </row>
    <row r="2010" spans="7:12" x14ac:dyDescent="0.2">
      <c r="G2010" s="45"/>
      <c r="L2010" s="8"/>
    </row>
    <row r="2011" spans="7:12" x14ac:dyDescent="0.2">
      <c r="G2011" s="45"/>
      <c r="L2011" s="8"/>
    </row>
    <row r="2012" spans="7:12" x14ac:dyDescent="0.2">
      <c r="G2012" s="45"/>
      <c r="L2012" s="8"/>
    </row>
    <row r="2013" spans="7:12" x14ac:dyDescent="0.2">
      <c r="G2013" s="45"/>
      <c r="L2013" s="8"/>
    </row>
    <row r="2014" spans="7:12" x14ac:dyDescent="0.2">
      <c r="G2014" s="45"/>
      <c r="L2014" s="8"/>
    </row>
    <row r="2015" spans="7:12" x14ac:dyDescent="0.2">
      <c r="G2015" s="45"/>
      <c r="L2015" s="8"/>
    </row>
    <row r="2016" spans="7:12" x14ac:dyDescent="0.2">
      <c r="G2016" s="45"/>
      <c r="L2016" s="8"/>
    </row>
    <row r="2017" spans="7:12" x14ac:dyDescent="0.2">
      <c r="G2017" s="45"/>
      <c r="L2017" s="8"/>
    </row>
    <row r="2018" spans="7:12" x14ac:dyDescent="0.2">
      <c r="G2018" s="45"/>
      <c r="L2018" s="8"/>
    </row>
    <row r="2019" spans="7:12" x14ac:dyDescent="0.2">
      <c r="G2019" s="45"/>
      <c r="L2019" s="8"/>
    </row>
    <row r="2020" spans="7:12" x14ac:dyDescent="0.2">
      <c r="G2020" s="45"/>
      <c r="L2020" s="8"/>
    </row>
    <row r="2021" spans="7:12" x14ac:dyDescent="0.2">
      <c r="G2021" s="45"/>
      <c r="L2021" s="8"/>
    </row>
    <row r="2022" spans="7:12" x14ac:dyDescent="0.2">
      <c r="G2022" s="45"/>
      <c r="L2022" s="8"/>
    </row>
    <row r="2023" spans="7:12" x14ac:dyDescent="0.2">
      <c r="G2023" s="45"/>
      <c r="L2023" s="8"/>
    </row>
    <row r="2024" spans="7:12" x14ac:dyDescent="0.2">
      <c r="G2024" s="45"/>
      <c r="L2024" s="8"/>
    </row>
    <row r="2025" spans="7:12" x14ac:dyDescent="0.2">
      <c r="G2025" s="45"/>
      <c r="L2025" s="8"/>
    </row>
    <row r="2026" spans="7:12" x14ac:dyDescent="0.2">
      <c r="G2026" s="45"/>
      <c r="L2026" s="8"/>
    </row>
    <row r="2027" spans="7:12" x14ac:dyDescent="0.2">
      <c r="G2027" s="45"/>
      <c r="L2027" s="8"/>
    </row>
    <row r="2028" spans="7:12" x14ac:dyDescent="0.2">
      <c r="G2028" s="45"/>
      <c r="L2028" s="8"/>
    </row>
    <row r="2029" spans="7:12" x14ac:dyDescent="0.2">
      <c r="G2029" s="45"/>
      <c r="L2029" s="8"/>
    </row>
    <row r="2030" spans="7:12" x14ac:dyDescent="0.2">
      <c r="G2030" s="45"/>
      <c r="L2030" s="8"/>
    </row>
    <row r="2031" spans="7:12" x14ac:dyDescent="0.2">
      <c r="G2031" s="45"/>
      <c r="L2031" s="8"/>
    </row>
    <row r="2032" spans="7:12" x14ac:dyDescent="0.2">
      <c r="G2032" s="45"/>
      <c r="L2032" s="8"/>
    </row>
    <row r="2033" spans="7:12" x14ac:dyDescent="0.2">
      <c r="G2033" s="45"/>
      <c r="L2033" s="8"/>
    </row>
    <row r="2034" spans="7:12" x14ac:dyDescent="0.2">
      <c r="G2034" s="45"/>
      <c r="L2034" s="8"/>
    </row>
    <row r="2035" spans="7:12" x14ac:dyDescent="0.2">
      <c r="G2035" s="45"/>
      <c r="L2035" s="8"/>
    </row>
    <row r="2036" spans="7:12" x14ac:dyDescent="0.2">
      <c r="G2036" s="45"/>
      <c r="L2036" s="8"/>
    </row>
    <row r="2037" spans="7:12" x14ac:dyDescent="0.2">
      <c r="G2037" s="45"/>
      <c r="L2037" s="8"/>
    </row>
    <row r="2038" spans="7:12" x14ac:dyDescent="0.2">
      <c r="G2038" s="45"/>
      <c r="L2038" s="8"/>
    </row>
    <row r="2039" spans="7:12" x14ac:dyDescent="0.2">
      <c r="G2039" s="45"/>
      <c r="L2039" s="8"/>
    </row>
    <row r="2040" spans="7:12" x14ac:dyDescent="0.2">
      <c r="G2040" s="45"/>
      <c r="L2040" s="8"/>
    </row>
    <row r="2041" spans="7:12" x14ac:dyDescent="0.2">
      <c r="G2041" s="45"/>
      <c r="L2041" s="8"/>
    </row>
    <row r="2042" spans="7:12" x14ac:dyDescent="0.2">
      <c r="G2042" s="45"/>
      <c r="L2042" s="8"/>
    </row>
    <row r="2043" spans="7:12" x14ac:dyDescent="0.2">
      <c r="G2043" s="45"/>
      <c r="L2043" s="8"/>
    </row>
    <row r="2044" spans="7:12" x14ac:dyDescent="0.2">
      <c r="G2044" s="45"/>
      <c r="L2044" s="8"/>
    </row>
    <row r="2045" spans="7:12" x14ac:dyDescent="0.2">
      <c r="G2045" s="45"/>
      <c r="L2045" s="8"/>
    </row>
    <row r="2046" spans="7:12" x14ac:dyDescent="0.2">
      <c r="G2046" s="45"/>
      <c r="L2046" s="8"/>
    </row>
    <row r="2047" spans="7:12" x14ac:dyDescent="0.2">
      <c r="G2047" s="45"/>
      <c r="L2047" s="8"/>
    </row>
    <row r="2048" spans="7:12" x14ac:dyDescent="0.2">
      <c r="G2048" s="45"/>
      <c r="L2048" s="8"/>
    </row>
    <row r="2049" spans="7:12" x14ac:dyDescent="0.2">
      <c r="G2049" s="45"/>
      <c r="L2049" s="8"/>
    </row>
    <row r="2050" spans="7:12" x14ac:dyDescent="0.2">
      <c r="G2050" s="45"/>
      <c r="L2050" s="8"/>
    </row>
    <row r="2051" spans="7:12" x14ac:dyDescent="0.2">
      <c r="G2051" s="45"/>
      <c r="L2051" s="8"/>
    </row>
    <row r="2052" spans="7:12" x14ac:dyDescent="0.2">
      <c r="G2052" s="45"/>
      <c r="L2052" s="8"/>
    </row>
    <row r="2053" spans="7:12" x14ac:dyDescent="0.2">
      <c r="G2053" s="45"/>
      <c r="L2053" s="8"/>
    </row>
    <row r="2054" spans="7:12" x14ac:dyDescent="0.2">
      <c r="G2054" s="45"/>
      <c r="L2054" s="8"/>
    </row>
    <row r="2055" spans="7:12" x14ac:dyDescent="0.2">
      <c r="G2055" s="45"/>
      <c r="L2055" s="8"/>
    </row>
    <row r="2056" spans="7:12" x14ac:dyDescent="0.2">
      <c r="G2056" s="45"/>
      <c r="L2056" s="8"/>
    </row>
    <row r="2057" spans="7:12" x14ac:dyDescent="0.2">
      <c r="G2057" s="45"/>
      <c r="L2057" s="8"/>
    </row>
    <row r="2058" spans="7:12" x14ac:dyDescent="0.2">
      <c r="G2058" s="45"/>
      <c r="L2058" s="8"/>
    </row>
    <row r="2059" spans="7:12" x14ac:dyDescent="0.2">
      <c r="G2059" s="45"/>
      <c r="L2059" s="8"/>
    </row>
    <row r="2060" spans="7:12" x14ac:dyDescent="0.2">
      <c r="G2060" s="45"/>
      <c r="L2060" s="8"/>
    </row>
    <row r="2061" spans="7:12" x14ac:dyDescent="0.2">
      <c r="G2061" s="45"/>
      <c r="L2061" s="8"/>
    </row>
    <row r="2062" spans="7:12" x14ac:dyDescent="0.2">
      <c r="G2062" s="45"/>
      <c r="L2062" s="8"/>
    </row>
    <row r="2063" spans="7:12" x14ac:dyDescent="0.2">
      <c r="G2063" s="45"/>
      <c r="L2063" s="8"/>
    </row>
    <row r="2064" spans="7:12" x14ac:dyDescent="0.2">
      <c r="G2064" s="45"/>
      <c r="L2064" s="8"/>
    </row>
    <row r="2065" spans="7:12" x14ac:dyDescent="0.2">
      <c r="G2065" s="45"/>
      <c r="L2065" s="8"/>
    </row>
    <row r="2066" spans="7:12" x14ac:dyDescent="0.2">
      <c r="G2066" s="45"/>
      <c r="L2066" s="8"/>
    </row>
    <row r="2067" spans="7:12" x14ac:dyDescent="0.2">
      <c r="G2067" s="45"/>
      <c r="L2067" s="8"/>
    </row>
    <row r="2068" spans="7:12" x14ac:dyDescent="0.2">
      <c r="G2068" s="45"/>
      <c r="L2068" s="8"/>
    </row>
    <row r="2069" spans="7:12" x14ac:dyDescent="0.2">
      <c r="G2069" s="45"/>
      <c r="L2069" s="8"/>
    </row>
    <row r="2070" spans="7:12" x14ac:dyDescent="0.2">
      <c r="G2070" s="45"/>
      <c r="L2070" s="8"/>
    </row>
    <row r="2071" spans="7:12" x14ac:dyDescent="0.2">
      <c r="G2071" s="45"/>
      <c r="L2071" s="8"/>
    </row>
    <row r="2072" spans="7:12" x14ac:dyDescent="0.2">
      <c r="G2072" s="45"/>
      <c r="L2072" s="8"/>
    </row>
    <row r="2073" spans="7:12" x14ac:dyDescent="0.2">
      <c r="G2073" s="45"/>
      <c r="L2073" s="8"/>
    </row>
    <row r="2074" spans="7:12" x14ac:dyDescent="0.2">
      <c r="G2074" s="45"/>
      <c r="L2074" s="8"/>
    </row>
    <row r="2075" spans="7:12" x14ac:dyDescent="0.2">
      <c r="G2075" s="45"/>
      <c r="L2075" s="8"/>
    </row>
    <row r="2076" spans="7:12" x14ac:dyDescent="0.2">
      <c r="G2076" s="45"/>
      <c r="L2076" s="8"/>
    </row>
    <row r="2077" spans="7:12" x14ac:dyDescent="0.2">
      <c r="G2077" s="45"/>
      <c r="L2077" s="8"/>
    </row>
    <row r="2078" spans="7:12" x14ac:dyDescent="0.2">
      <c r="G2078" s="45"/>
      <c r="L2078" s="8"/>
    </row>
    <row r="2079" spans="7:12" x14ac:dyDescent="0.2">
      <c r="G2079" s="45"/>
      <c r="L2079" s="8"/>
    </row>
    <row r="2080" spans="7:12" x14ac:dyDescent="0.2">
      <c r="G2080" s="45"/>
      <c r="L2080" s="8"/>
    </row>
    <row r="2081" spans="7:12" x14ac:dyDescent="0.2">
      <c r="G2081" s="45"/>
      <c r="L2081" s="8"/>
    </row>
    <row r="2082" spans="7:12" x14ac:dyDescent="0.2">
      <c r="G2082" s="45"/>
      <c r="L2082" s="8"/>
    </row>
    <row r="2083" spans="7:12" x14ac:dyDescent="0.2">
      <c r="G2083" s="45"/>
      <c r="L2083" s="8"/>
    </row>
    <row r="2084" spans="7:12" x14ac:dyDescent="0.2">
      <c r="G2084" s="45"/>
      <c r="L2084" s="8"/>
    </row>
    <row r="2085" spans="7:12" x14ac:dyDescent="0.2">
      <c r="G2085" s="45"/>
      <c r="L2085" s="8"/>
    </row>
    <row r="2086" spans="7:12" x14ac:dyDescent="0.2">
      <c r="G2086" s="45"/>
      <c r="L2086" s="8"/>
    </row>
    <row r="2087" spans="7:12" x14ac:dyDescent="0.2">
      <c r="G2087" s="45"/>
      <c r="L2087" s="8"/>
    </row>
    <row r="2088" spans="7:12" x14ac:dyDescent="0.2">
      <c r="G2088" s="45"/>
      <c r="L2088" s="8"/>
    </row>
    <row r="2089" spans="7:12" x14ac:dyDescent="0.2">
      <c r="G2089" s="45"/>
      <c r="L2089" s="8"/>
    </row>
    <row r="2090" spans="7:12" x14ac:dyDescent="0.2">
      <c r="G2090" s="45"/>
      <c r="L2090" s="8"/>
    </row>
    <row r="2091" spans="7:12" x14ac:dyDescent="0.2">
      <c r="G2091" s="45"/>
      <c r="L2091" s="8"/>
    </row>
    <row r="2092" spans="7:12" x14ac:dyDescent="0.2">
      <c r="G2092" s="45"/>
      <c r="L2092" s="8"/>
    </row>
    <row r="2093" spans="7:12" x14ac:dyDescent="0.2">
      <c r="G2093" s="45"/>
      <c r="L2093" s="8"/>
    </row>
    <row r="2094" spans="7:12" x14ac:dyDescent="0.2">
      <c r="G2094" s="45"/>
      <c r="L2094" s="8"/>
    </row>
    <row r="2095" spans="7:12" x14ac:dyDescent="0.2">
      <c r="G2095" s="45"/>
      <c r="L2095" s="8"/>
    </row>
    <row r="2096" spans="7:12" x14ac:dyDescent="0.2">
      <c r="G2096" s="45"/>
      <c r="L2096" s="8"/>
    </row>
    <row r="2097" spans="7:12" x14ac:dyDescent="0.2">
      <c r="G2097" s="45"/>
      <c r="L2097" s="8"/>
    </row>
    <row r="2098" spans="7:12" x14ac:dyDescent="0.2">
      <c r="G2098" s="45"/>
      <c r="L2098" s="8"/>
    </row>
    <row r="2099" spans="7:12" x14ac:dyDescent="0.2">
      <c r="G2099" s="45"/>
      <c r="L2099" s="8"/>
    </row>
    <row r="2100" spans="7:12" x14ac:dyDescent="0.2">
      <c r="G2100" s="45"/>
      <c r="L2100" s="8"/>
    </row>
    <row r="2101" spans="7:12" x14ac:dyDescent="0.2">
      <c r="G2101" s="45"/>
      <c r="L2101" s="8"/>
    </row>
    <row r="2102" spans="7:12" x14ac:dyDescent="0.2">
      <c r="G2102" s="45"/>
      <c r="L2102" s="8"/>
    </row>
    <row r="2103" spans="7:12" x14ac:dyDescent="0.2">
      <c r="G2103" s="45"/>
      <c r="L2103" s="8"/>
    </row>
    <row r="2104" spans="7:12" x14ac:dyDescent="0.2">
      <c r="G2104" s="45"/>
      <c r="L2104" s="8"/>
    </row>
    <row r="2105" spans="7:12" x14ac:dyDescent="0.2">
      <c r="G2105" s="45"/>
      <c r="L2105" s="8"/>
    </row>
    <row r="2106" spans="7:12" x14ac:dyDescent="0.2">
      <c r="G2106" s="45"/>
      <c r="L2106" s="8"/>
    </row>
    <row r="2107" spans="7:12" x14ac:dyDescent="0.2">
      <c r="G2107" s="45"/>
      <c r="L2107" s="8"/>
    </row>
    <row r="2108" spans="7:12" x14ac:dyDescent="0.2">
      <c r="G2108" s="45"/>
      <c r="L2108" s="8"/>
    </row>
    <row r="2109" spans="7:12" x14ac:dyDescent="0.2">
      <c r="G2109" s="45"/>
      <c r="L2109" s="8"/>
    </row>
    <row r="2110" spans="7:12" x14ac:dyDescent="0.2">
      <c r="G2110" s="45"/>
      <c r="L2110" s="8"/>
    </row>
    <row r="2111" spans="7:12" x14ac:dyDescent="0.2">
      <c r="G2111" s="45"/>
      <c r="L2111" s="8"/>
    </row>
    <row r="2112" spans="7:12" x14ac:dyDescent="0.2">
      <c r="G2112" s="45"/>
      <c r="L2112" s="8"/>
    </row>
    <row r="2113" spans="7:12" x14ac:dyDescent="0.2">
      <c r="G2113" s="45"/>
      <c r="L2113" s="8"/>
    </row>
    <row r="2114" spans="7:12" x14ac:dyDescent="0.2">
      <c r="G2114" s="45"/>
      <c r="L2114" s="8"/>
    </row>
    <row r="2115" spans="7:12" x14ac:dyDescent="0.2">
      <c r="G2115" s="45"/>
      <c r="L2115" s="8"/>
    </row>
    <row r="2116" spans="7:12" x14ac:dyDescent="0.2">
      <c r="G2116" s="45"/>
      <c r="L2116" s="8"/>
    </row>
    <row r="2117" spans="7:12" x14ac:dyDescent="0.2">
      <c r="G2117" s="45"/>
      <c r="L2117" s="8"/>
    </row>
    <row r="2118" spans="7:12" x14ac:dyDescent="0.2">
      <c r="G2118" s="45"/>
      <c r="L2118" s="8"/>
    </row>
    <row r="2119" spans="7:12" x14ac:dyDescent="0.2">
      <c r="G2119" s="45"/>
      <c r="L2119" s="8"/>
    </row>
    <row r="2120" spans="7:12" x14ac:dyDescent="0.2">
      <c r="G2120" s="45"/>
      <c r="L2120" s="8"/>
    </row>
    <row r="2121" spans="7:12" x14ac:dyDescent="0.2">
      <c r="G2121" s="45"/>
      <c r="L2121" s="8"/>
    </row>
    <row r="2122" spans="7:12" x14ac:dyDescent="0.2">
      <c r="G2122" s="45"/>
      <c r="L2122" s="8"/>
    </row>
    <row r="2123" spans="7:12" x14ac:dyDescent="0.2">
      <c r="G2123" s="45"/>
      <c r="L2123" s="8"/>
    </row>
    <row r="2124" spans="7:12" x14ac:dyDescent="0.2">
      <c r="G2124" s="45"/>
      <c r="L2124" s="8"/>
    </row>
    <row r="2125" spans="7:12" x14ac:dyDescent="0.2">
      <c r="G2125" s="45"/>
      <c r="L2125" s="8"/>
    </row>
    <row r="2126" spans="7:12" x14ac:dyDescent="0.2">
      <c r="G2126" s="45"/>
      <c r="L2126" s="8"/>
    </row>
    <row r="2127" spans="7:12" x14ac:dyDescent="0.2">
      <c r="G2127" s="45"/>
      <c r="L2127" s="8"/>
    </row>
    <row r="2128" spans="7:12" x14ac:dyDescent="0.2">
      <c r="G2128" s="45"/>
      <c r="L2128" s="8"/>
    </row>
    <row r="2129" spans="7:12" x14ac:dyDescent="0.2">
      <c r="G2129" s="45"/>
      <c r="L2129" s="8"/>
    </row>
    <row r="2130" spans="7:12" x14ac:dyDescent="0.2">
      <c r="G2130" s="45"/>
      <c r="L2130" s="8"/>
    </row>
    <row r="2131" spans="7:12" x14ac:dyDescent="0.2">
      <c r="G2131" s="45"/>
      <c r="L2131" s="8"/>
    </row>
    <row r="2132" spans="7:12" x14ac:dyDescent="0.2">
      <c r="G2132" s="45"/>
      <c r="L2132" s="8"/>
    </row>
    <row r="2133" spans="7:12" x14ac:dyDescent="0.2">
      <c r="G2133" s="45"/>
      <c r="L2133" s="8"/>
    </row>
    <row r="2134" spans="7:12" x14ac:dyDescent="0.2">
      <c r="G2134" s="45"/>
      <c r="L2134" s="8"/>
    </row>
    <row r="2135" spans="7:12" x14ac:dyDescent="0.2">
      <c r="G2135" s="45"/>
      <c r="L2135" s="8"/>
    </row>
    <row r="2136" spans="7:12" x14ac:dyDescent="0.2">
      <c r="G2136" s="45"/>
      <c r="L2136" s="8"/>
    </row>
    <row r="2137" spans="7:12" x14ac:dyDescent="0.2">
      <c r="G2137" s="45"/>
      <c r="L2137" s="8"/>
    </row>
    <row r="2138" spans="7:12" x14ac:dyDescent="0.2">
      <c r="G2138" s="45"/>
      <c r="L2138" s="8"/>
    </row>
    <row r="2139" spans="7:12" x14ac:dyDescent="0.2">
      <c r="G2139" s="45"/>
      <c r="L2139" s="8"/>
    </row>
    <row r="2140" spans="7:12" x14ac:dyDescent="0.2">
      <c r="G2140" s="45"/>
      <c r="L2140" s="8"/>
    </row>
    <row r="2141" spans="7:12" x14ac:dyDescent="0.2">
      <c r="G2141" s="45"/>
      <c r="L2141" s="8"/>
    </row>
    <row r="2142" spans="7:12" x14ac:dyDescent="0.2">
      <c r="G2142" s="45"/>
      <c r="L2142" s="8"/>
    </row>
    <row r="2143" spans="7:12" x14ac:dyDescent="0.2">
      <c r="G2143" s="45"/>
      <c r="L2143" s="8"/>
    </row>
    <row r="2144" spans="7:12" x14ac:dyDescent="0.2">
      <c r="G2144" s="45"/>
      <c r="L2144" s="8"/>
    </row>
    <row r="2145" spans="7:12" x14ac:dyDescent="0.2">
      <c r="G2145" s="45"/>
      <c r="L2145" s="8"/>
    </row>
    <row r="2146" spans="7:12" x14ac:dyDescent="0.2">
      <c r="G2146" s="45"/>
      <c r="L2146" s="8"/>
    </row>
    <row r="2147" spans="7:12" x14ac:dyDescent="0.2">
      <c r="G2147" s="45"/>
      <c r="L2147" s="8"/>
    </row>
    <row r="2148" spans="7:12" x14ac:dyDescent="0.2">
      <c r="G2148" s="45"/>
      <c r="L2148" s="8"/>
    </row>
    <row r="2149" spans="7:12" x14ac:dyDescent="0.2">
      <c r="G2149" s="45"/>
      <c r="L2149" s="8"/>
    </row>
    <row r="2150" spans="7:12" x14ac:dyDescent="0.2">
      <c r="G2150" s="45"/>
      <c r="L2150" s="8"/>
    </row>
    <row r="2151" spans="7:12" x14ac:dyDescent="0.2">
      <c r="G2151" s="45"/>
      <c r="L2151" s="8"/>
    </row>
    <row r="2152" spans="7:12" x14ac:dyDescent="0.2">
      <c r="G2152" s="45"/>
      <c r="L2152" s="8"/>
    </row>
    <row r="2153" spans="7:12" x14ac:dyDescent="0.2">
      <c r="G2153" s="45"/>
      <c r="L2153" s="8"/>
    </row>
    <row r="2154" spans="7:12" x14ac:dyDescent="0.2">
      <c r="G2154" s="45"/>
      <c r="L2154" s="8"/>
    </row>
    <row r="2155" spans="7:12" x14ac:dyDescent="0.2">
      <c r="G2155" s="45"/>
      <c r="L2155" s="8"/>
    </row>
    <row r="2156" spans="7:12" x14ac:dyDescent="0.2">
      <c r="G2156" s="45"/>
      <c r="L2156" s="8"/>
    </row>
    <row r="2157" spans="7:12" x14ac:dyDescent="0.2">
      <c r="G2157" s="45"/>
      <c r="L2157" s="8"/>
    </row>
    <row r="2158" spans="7:12" x14ac:dyDescent="0.2">
      <c r="G2158" s="45"/>
      <c r="L2158" s="8"/>
    </row>
    <row r="2159" spans="7:12" x14ac:dyDescent="0.2">
      <c r="G2159" s="45"/>
      <c r="L2159" s="8"/>
    </row>
    <row r="2160" spans="7:12" x14ac:dyDescent="0.2">
      <c r="G2160" s="45"/>
      <c r="L2160" s="8"/>
    </row>
    <row r="2161" spans="7:12" x14ac:dyDescent="0.2">
      <c r="G2161" s="45"/>
      <c r="L2161" s="8"/>
    </row>
    <row r="2162" spans="7:12" x14ac:dyDescent="0.2">
      <c r="G2162" s="45"/>
      <c r="L2162" s="8"/>
    </row>
    <row r="2163" spans="7:12" x14ac:dyDescent="0.2">
      <c r="G2163" s="45"/>
      <c r="L2163" s="8"/>
    </row>
    <row r="2164" spans="7:12" x14ac:dyDescent="0.2">
      <c r="G2164" s="45"/>
      <c r="L2164" s="8"/>
    </row>
    <row r="2165" spans="7:12" x14ac:dyDescent="0.2">
      <c r="G2165" s="45"/>
      <c r="L2165" s="8"/>
    </row>
    <row r="2166" spans="7:12" x14ac:dyDescent="0.2">
      <c r="G2166" s="45"/>
      <c r="L2166" s="8"/>
    </row>
    <row r="2167" spans="7:12" x14ac:dyDescent="0.2">
      <c r="G2167" s="45"/>
      <c r="L2167" s="8"/>
    </row>
    <row r="2168" spans="7:12" x14ac:dyDescent="0.2">
      <c r="G2168" s="45"/>
      <c r="L2168" s="8"/>
    </row>
    <row r="2169" spans="7:12" x14ac:dyDescent="0.2">
      <c r="G2169" s="45"/>
      <c r="L2169" s="8"/>
    </row>
    <row r="2170" spans="7:12" x14ac:dyDescent="0.2">
      <c r="G2170" s="45"/>
      <c r="L2170" s="8"/>
    </row>
    <row r="2171" spans="7:12" x14ac:dyDescent="0.2">
      <c r="G2171" s="45"/>
      <c r="L2171" s="8"/>
    </row>
    <row r="2172" spans="7:12" x14ac:dyDescent="0.2">
      <c r="G2172" s="45"/>
      <c r="L2172" s="8"/>
    </row>
    <row r="2173" spans="7:12" x14ac:dyDescent="0.2">
      <c r="G2173" s="45"/>
      <c r="L2173" s="8"/>
    </row>
    <row r="2174" spans="7:12" x14ac:dyDescent="0.2">
      <c r="G2174" s="45"/>
      <c r="L2174" s="8"/>
    </row>
    <row r="2175" spans="7:12" x14ac:dyDescent="0.2">
      <c r="G2175" s="45"/>
      <c r="L2175" s="8"/>
    </row>
    <row r="2176" spans="7:12" x14ac:dyDescent="0.2">
      <c r="G2176" s="45"/>
      <c r="L2176" s="8"/>
    </row>
    <row r="2177" spans="7:12" x14ac:dyDescent="0.2">
      <c r="G2177" s="45"/>
      <c r="L2177" s="8"/>
    </row>
    <row r="2178" spans="7:12" x14ac:dyDescent="0.2">
      <c r="G2178" s="45"/>
      <c r="L2178" s="8"/>
    </row>
    <row r="2179" spans="7:12" x14ac:dyDescent="0.2">
      <c r="G2179" s="45"/>
      <c r="L2179" s="8"/>
    </row>
    <row r="2180" spans="7:12" x14ac:dyDescent="0.2">
      <c r="G2180" s="45"/>
      <c r="L2180" s="8"/>
    </row>
    <row r="2181" spans="7:12" x14ac:dyDescent="0.2">
      <c r="G2181" s="45"/>
      <c r="L2181" s="8"/>
    </row>
    <row r="2182" spans="7:12" x14ac:dyDescent="0.2">
      <c r="G2182" s="45"/>
      <c r="L2182" s="8"/>
    </row>
    <row r="2183" spans="7:12" x14ac:dyDescent="0.2">
      <c r="G2183" s="45"/>
      <c r="L2183" s="8"/>
    </row>
    <row r="2184" spans="7:12" x14ac:dyDescent="0.2">
      <c r="G2184" s="45"/>
      <c r="L2184" s="8"/>
    </row>
    <row r="2185" spans="7:12" x14ac:dyDescent="0.2">
      <c r="G2185" s="45"/>
      <c r="L2185" s="8"/>
    </row>
    <row r="2186" spans="7:12" x14ac:dyDescent="0.2">
      <c r="G2186" s="45"/>
      <c r="L2186" s="8"/>
    </row>
    <row r="2187" spans="7:12" x14ac:dyDescent="0.2">
      <c r="G2187" s="45"/>
      <c r="L2187" s="8"/>
    </row>
    <row r="2188" spans="7:12" x14ac:dyDescent="0.2">
      <c r="G2188" s="45"/>
      <c r="L2188" s="8"/>
    </row>
    <row r="2189" spans="7:12" x14ac:dyDescent="0.2">
      <c r="G2189" s="45"/>
      <c r="L2189" s="8"/>
    </row>
    <row r="2190" spans="7:12" x14ac:dyDescent="0.2">
      <c r="G2190" s="45"/>
      <c r="L2190" s="8"/>
    </row>
    <row r="2191" spans="7:12" x14ac:dyDescent="0.2">
      <c r="G2191" s="45"/>
      <c r="L2191" s="8"/>
    </row>
    <row r="2192" spans="7:12" x14ac:dyDescent="0.2">
      <c r="G2192" s="45"/>
      <c r="L2192" s="8"/>
    </row>
    <row r="2193" spans="7:12" x14ac:dyDescent="0.2">
      <c r="G2193" s="45"/>
      <c r="L2193" s="8"/>
    </row>
    <row r="2194" spans="7:12" x14ac:dyDescent="0.2">
      <c r="G2194" s="45"/>
      <c r="L2194" s="8"/>
    </row>
    <row r="2195" spans="7:12" x14ac:dyDescent="0.2">
      <c r="G2195" s="45"/>
      <c r="L2195" s="8"/>
    </row>
    <row r="2196" spans="7:12" x14ac:dyDescent="0.2">
      <c r="G2196" s="45"/>
      <c r="L2196" s="8"/>
    </row>
    <row r="2197" spans="7:12" x14ac:dyDescent="0.2">
      <c r="G2197" s="45"/>
      <c r="L2197" s="8"/>
    </row>
    <row r="2198" spans="7:12" x14ac:dyDescent="0.2">
      <c r="G2198" s="45"/>
      <c r="L2198" s="8"/>
    </row>
    <row r="2199" spans="7:12" x14ac:dyDescent="0.2">
      <c r="G2199" s="45"/>
      <c r="L2199" s="8"/>
    </row>
    <row r="2200" spans="7:12" x14ac:dyDescent="0.2">
      <c r="G2200" s="45"/>
      <c r="L2200" s="8"/>
    </row>
    <row r="2201" spans="7:12" x14ac:dyDescent="0.2">
      <c r="G2201" s="45"/>
      <c r="L2201" s="8"/>
    </row>
    <row r="2202" spans="7:12" x14ac:dyDescent="0.2">
      <c r="G2202" s="45"/>
      <c r="L2202" s="8"/>
    </row>
    <row r="2203" spans="7:12" x14ac:dyDescent="0.2">
      <c r="G2203" s="45"/>
      <c r="L2203" s="8"/>
    </row>
    <row r="2204" spans="7:12" x14ac:dyDescent="0.2">
      <c r="G2204" s="45"/>
      <c r="L2204" s="8"/>
    </row>
    <row r="2205" spans="7:12" x14ac:dyDescent="0.2">
      <c r="G2205" s="45"/>
      <c r="L2205" s="8"/>
    </row>
    <row r="2206" spans="7:12" x14ac:dyDescent="0.2">
      <c r="G2206" s="45"/>
      <c r="L2206" s="8"/>
    </row>
    <row r="2207" spans="7:12" x14ac:dyDescent="0.2">
      <c r="G2207" s="45"/>
      <c r="L2207" s="8"/>
    </row>
    <row r="2208" spans="7:12" x14ac:dyDescent="0.2">
      <c r="G2208" s="45"/>
      <c r="L2208" s="8"/>
    </row>
    <row r="2209" spans="7:12" x14ac:dyDescent="0.2">
      <c r="G2209" s="45"/>
      <c r="L2209" s="8"/>
    </row>
    <row r="2210" spans="7:12" x14ac:dyDescent="0.2">
      <c r="G2210" s="45"/>
      <c r="L2210" s="8"/>
    </row>
    <row r="2211" spans="7:12" x14ac:dyDescent="0.2">
      <c r="G2211" s="45"/>
      <c r="L2211" s="8"/>
    </row>
    <row r="2212" spans="7:12" x14ac:dyDescent="0.2">
      <c r="G2212" s="45"/>
      <c r="L2212" s="8"/>
    </row>
    <row r="2213" spans="7:12" x14ac:dyDescent="0.2">
      <c r="G2213" s="45"/>
      <c r="L2213" s="8"/>
    </row>
    <row r="2214" spans="7:12" x14ac:dyDescent="0.2">
      <c r="G2214" s="45"/>
      <c r="L2214" s="8"/>
    </row>
    <row r="2215" spans="7:12" x14ac:dyDescent="0.2">
      <c r="G2215" s="45"/>
      <c r="L2215" s="8"/>
    </row>
    <row r="2216" spans="7:12" x14ac:dyDescent="0.2">
      <c r="G2216" s="45"/>
      <c r="L2216" s="8"/>
    </row>
    <row r="2217" spans="7:12" x14ac:dyDescent="0.2">
      <c r="G2217" s="45"/>
      <c r="L2217" s="8"/>
    </row>
    <row r="2218" spans="7:12" x14ac:dyDescent="0.2">
      <c r="G2218" s="45"/>
      <c r="L2218" s="8"/>
    </row>
    <row r="2219" spans="7:12" x14ac:dyDescent="0.2">
      <c r="G2219" s="45"/>
      <c r="L2219" s="8"/>
    </row>
    <row r="2220" spans="7:12" x14ac:dyDescent="0.2">
      <c r="G2220" s="45"/>
      <c r="L2220" s="8"/>
    </row>
    <row r="2221" spans="7:12" x14ac:dyDescent="0.2">
      <c r="G2221" s="45"/>
      <c r="L2221" s="8"/>
    </row>
    <row r="2222" spans="7:12" x14ac:dyDescent="0.2">
      <c r="G2222" s="45"/>
      <c r="L2222" s="8"/>
    </row>
    <row r="2223" spans="7:12" x14ac:dyDescent="0.2">
      <c r="G2223" s="45"/>
      <c r="L2223" s="8"/>
    </row>
    <row r="2224" spans="7:12" x14ac:dyDescent="0.2">
      <c r="G2224" s="45"/>
      <c r="L2224" s="8"/>
    </row>
    <row r="2225" spans="7:12" x14ac:dyDescent="0.2">
      <c r="G2225" s="45"/>
      <c r="L2225" s="8"/>
    </row>
    <row r="2226" spans="7:12" x14ac:dyDescent="0.2">
      <c r="G2226" s="45"/>
      <c r="L2226" s="8"/>
    </row>
    <row r="2227" spans="7:12" x14ac:dyDescent="0.2">
      <c r="G2227" s="45"/>
      <c r="L2227" s="8"/>
    </row>
    <row r="2228" spans="7:12" x14ac:dyDescent="0.2">
      <c r="G2228" s="45"/>
      <c r="L2228" s="8"/>
    </row>
    <row r="2229" spans="7:12" x14ac:dyDescent="0.2">
      <c r="G2229" s="45"/>
      <c r="L2229" s="8"/>
    </row>
    <row r="2230" spans="7:12" x14ac:dyDescent="0.2">
      <c r="G2230" s="45"/>
      <c r="L2230" s="8"/>
    </row>
    <row r="2231" spans="7:12" x14ac:dyDescent="0.2">
      <c r="G2231" s="45"/>
      <c r="L2231" s="8"/>
    </row>
    <row r="2232" spans="7:12" x14ac:dyDescent="0.2">
      <c r="G2232" s="45"/>
      <c r="L2232" s="8"/>
    </row>
    <row r="2233" spans="7:12" x14ac:dyDescent="0.2">
      <c r="G2233" s="45"/>
      <c r="L2233" s="8"/>
    </row>
    <row r="2234" spans="7:12" x14ac:dyDescent="0.2">
      <c r="G2234" s="45"/>
      <c r="L2234" s="8"/>
    </row>
    <row r="2235" spans="7:12" x14ac:dyDescent="0.2">
      <c r="G2235" s="45"/>
      <c r="L2235" s="8"/>
    </row>
    <row r="2236" spans="7:12" x14ac:dyDescent="0.2">
      <c r="G2236" s="45"/>
      <c r="L2236" s="8"/>
    </row>
    <row r="2237" spans="7:12" x14ac:dyDescent="0.2">
      <c r="G2237" s="45"/>
      <c r="L2237" s="8"/>
    </row>
    <row r="2238" spans="7:12" x14ac:dyDescent="0.2">
      <c r="G2238" s="45"/>
      <c r="L2238" s="8"/>
    </row>
    <row r="2239" spans="7:12" x14ac:dyDescent="0.2">
      <c r="G2239" s="45"/>
      <c r="L2239" s="8"/>
    </row>
    <row r="2240" spans="7:12" x14ac:dyDescent="0.2">
      <c r="G2240" s="45"/>
      <c r="L2240" s="8"/>
    </row>
    <row r="2241" spans="7:12" x14ac:dyDescent="0.2">
      <c r="G2241" s="45"/>
      <c r="L2241" s="8"/>
    </row>
    <row r="2242" spans="7:12" x14ac:dyDescent="0.2">
      <c r="G2242" s="45"/>
      <c r="L2242" s="8"/>
    </row>
    <row r="2243" spans="7:12" x14ac:dyDescent="0.2">
      <c r="G2243" s="45"/>
      <c r="L2243" s="8"/>
    </row>
    <row r="2244" spans="7:12" x14ac:dyDescent="0.2">
      <c r="G2244" s="45"/>
      <c r="L2244" s="8"/>
    </row>
    <row r="2245" spans="7:12" x14ac:dyDescent="0.2">
      <c r="G2245" s="45"/>
      <c r="L2245" s="8"/>
    </row>
    <row r="2246" spans="7:12" x14ac:dyDescent="0.2">
      <c r="G2246" s="45"/>
      <c r="L2246" s="8"/>
    </row>
    <row r="2247" spans="7:12" x14ac:dyDescent="0.2">
      <c r="G2247" s="45"/>
      <c r="L2247" s="8"/>
    </row>
    <row r="2248" spans="7:12" x14ac:dyDescent="0.2">
      <c r="G2248" s="45"/>
      <c r="L2248" s="8"/>
    </row>
    <row r="2249" spans="7:12" x14ac:dyDescent="0.2">
      <c r="G2249" s="45"/>
      <c r="L2249" s="8"/>
    </row>
    <row r="2250" spans="7:12" x14ac:dyDescent="0.2">
      <c r="G2250" s="45"/>
      <c r="L2250" s="8"/>
    </row>
    <row r="2251" spans="7:12" x14ac:dyDescent="0.2">
      <c r="G2251" s="45"/>
      <c r="L2251" s="8"/>
    </row>
    <row r="2252" spans="7:12" x14ac:dyDescent="0.2">
      <c r="G2252" s="45"/>
      <c r="L2252" s="8"/>
    </row>
    <row r="2253" spans="7:12" x14ac:dyDescent="0.2">
      <c r="G2253" s="45"/>
      <c r="L2253" s="8"/>
    </row>
    <row r="2254" spans="7:12" x14ac:dyDescent="0.2">
      <c r="G2254" s="45"/>
      <c r="L2254" s="8"/>
    </row>
    <row r="2255" spans="7:12" x14ac:dyDescent="0.2">
      <c r="G2255" s="45"/>
      <c r="L2255" s="8"/>
    </row>
    <row r="2256" spans="7:12" x14ac:dyDescent="0.2">
      <c r="G2256" s="45"/>
      <c r="L2256" s="8"/>
    </row>
    <row r="2257" spans="7:12" x14ac:dyDescent="0.2">
      <c r="G2257" s="45"/>
      <c r="L2257" s="8"/>
    </row>
    <row r="2258" spans="7:12" x14ac:dyDescent="0.2">
      <c r="G2258" s="45"/>
      <c r="L2258" s="8"/>
    </row>
    <row r="2259" spans="7:12" x14ac:dyDescent="0.2">
      <c r="G2259" s="45"/>
      <c r="L2259" s="8"/>
    </row>
    <row r="2260" spans="7:12" x14ac:dyDescent="0.2">
      <c r="G2260" s="45"/>
      <c r="L2260" s="8"/>
    </row>
    <row r="2261" spans="7:12" x14ac:dyDescent="0.2">
      <c r="G2261" s="45"/>
      <c r="L2261" s="8"/>
    </row>
    <row r="2262" spans="7:12" x14ac:dyDescent="0.2">
      <c r="G2262" s="45"/>
      <c r="L2262" s="8"/>
    </row>
    <row r="2263" spans="7:12" x14ac:dyDescent="0.2">
      <c r="G2263" s="45"/>
      <c r="L2263" s="8"/>
    </row>
    <row r="2264" spans="7:12" x14ac:dyDescent="0.2">
      <c r="G2264" s="45"/>
      <c r="L2264" s="8"/>
    </row>
    <row r="2265" spans="7:12" x14ac:dyDescent="0.2">
      <c r="G2265" s="45"/>
      <c r="L2265" s="8"/>
    </row>
    <row r="2266" spans="7:12" x14ac:dyDescent="0.2">
      <c r="G2266" s="45"/>
      <c r="L2266" s="8"/>
    </row>
    <row r="2267" spans="7:12" x14ac:dyDescent="0.2">
      <c r="G2267" s="45"/>
      <c r="L2267" s="8"/>
    </row>
    <row r="2268" spans="7:12" x14ac:dyDescent="0.2">
      <c r="G2268" s="45"/>
      <c r="L2268" s="8"/>
    </row>
    <row r="2269" spans="7:12" x14ac:dyDescent="0.2">
      <c r="G2269" s="45"/>
      <c r="L2269" s="8"/>
    </row>
    <row r="2270" spans="7:12" x14ac:dyDescent="0.2">
      <c r="G2270" s="45"/>
      <c r="L2270" s="8"/>
    </row>
    <row r="2271" spans="7:12" x14ac:dyDescent="0.2">
      <c r="G2271" s="45"/>
      <c r="L2271" s="8"/>
    </row>
    <row r="2272" spans="7:12" x14ac:dyDescent="0.2">
      <c r="G2272" s="45"/>
      <c r="L2272" s="8"/>
    </row>
    <row r="2273" spans="7:12" x14ac:dyDescent="0.2">
      <c r="G2273" s="45"/>
      <c r="L2273" s="8"/>
    </row>
    <row r="2274" spans="7:12" x14ac:dyDescent="0.2">
      <c r="G2274" s="45"/>
      <c r="L2274" s="8"/>
    </row>
    <row r="2275" spans="7:12" x14ac:dyDescent="0.2">
      <c r="G2275" s="45"/>
      <c r="L2275" s="8"/>
    </row>
    <row r="2276" spans="7:12" x14ac:dyDescent="0.2">
      <c r="G2276" s="45"/>
      <c r="L2276" s="8"/>
    </row>
    <row r="2277" spans="7:12" x14ac:dyDescent="0.2">
      <c r="G2277" s="45"/>
      <c r="L2277" s="8"/>
    </row>
    <row r="2278" spans="7:12" x14ac:dyDescent="0.2">
      <c r="G2278" s="45"/>
      <c r="L2278" s="8"/>
    </row>
    <row r="2279" spans="7:12" x14ac:dyDescent="0.2">
      <c r="G2279" s="45"/>
      <c r="L2279" s="8"/>
    </row>
    <row r="2280" spans="7:12" x14ac:dyDescent="0.2">
      <c r="G2280" s="45"/>
      <c r="L2280" s="8"/>
    </row>
    <row r="2281" spans="7:12" x14ac:dyDescent="0.2">
      <c r="G2281" s="45"/>
      <c r="L2281" s="8"/>
    </row>
    <row r="2282" spans="7:12" x14ac:dyDescent="0.2">
      <c r="G2282" s="45"/>
      <c r="L2282" s="8"/>
    </row>
    <row r="2283" spans="7:12" x14ac:dyDescent="0.2">
      <c r="G2283" s="45"/>
      <c r="L2283" s="8"/>
    </row>
    <row r="2284" spans="7:12" x14ac:dyDescent="0.2">
      <c r="G2284" s="45"/>
      <c r="L2284" s="8"/>
    </row>
    <row r="2285" spans="7:12" x14ac:dyDescent="0.2">
      <c r="G2285" s="45"/>
      <c r="L2285" s="8"/>
    </row>
    <row r="2286" spans="7:12" x14ac:dyDescent="0.2">
      <c r="G2286" s="45"/>
      <c r="L2286" s="8"/>
    </row>
    <row r="2287" spans="7:12" x14ac:dyDescent="0.2">
      <c r="G2287" s="45"/>
      <c r="L2287" s="8"/>
    </row>
    <row r="2288" spans="7:12" x14ac:dyDescent="0.2">
      <c r="G2288" s="45"/>
      <c r="L2288" s="8"/>
    </row>
    <row r="2289" spans="7:12" x14ac:dyDescent="0.2">
      <c r="G2289" s="45"/>
      <c r="L2289" s="8"/>
    </row>
    <row r="2290" spans="7:12" x14ac:dyDescent="0.2">
      <c r="G2290" s="45"/>
      <c r="L2290" s="8"/>
    </row>
    <row r="2291" spans="7:12" x14ac:dyDescent="0.2">
      <c r="G2291" s="45"/>
      <c r="L2291" s="8"/>
    </row>
    <row r="2292" spans="7:12" x14ac:dyDescent="0.2">
      <c r="G2292" s="45"/>
      <c r="L2292" s="8"/>
    </row>
    <row r="2293" spans="7:12" x14ac:dyDescent="0.2">
      <c r="G2293" s="45"/>
      <c r="L2293" s="8"/>
    </row>
    <row r="2294" spans="7:12" x14ac:dyDescent="0.2">
      <c r="G2294" s="45"/>
      <c r="L2294" s="8"/>
    </row>
    <row r="2295" spans="7:12" x14ac:dyDescent="0.2">
      <c r="G2295" s="45"/>
      <c r="L2295" s="8"/>
    </row>
    <row r="2296" spans="7:12" x14ac:dyDescent="0.2">
      <c r="G2296" s="45"/>
      <c r="L2296" s="8"/>
    </row>
    <row r="2297" spans="7:12" x14ac:dyDescent="0.2">
      <c r="G2297" s="45"/>
      <c r="L2297" s="8"/>
    </row>
    <row r="2298" spans="7:12" x14ac:dyDescent="0.2">
      <c r="G2298" s="45"/>
      <c r="L2298" s="8"/>
    </row>
    <row r="2299" spans="7:12" x14ac:dyDescent="0.2">
      <c r="G2299" s="45"/>
      <c r="L2299" s="8"/>
    </row>
    <row r="2300" spans="7:12" x14ac:dyDescent="0.2">
      <c r="G2300" s="45"/>
      <c r="L2300" s="8"/>
    </row>
    <row r="2301" spans="7:12" x14ac:dyDescent="0.2">
      <c r="G2301" s="45"/>
      <c r="L2301" s="8"/>
    </row>
    <row r="2302" spans="7:12" x14ac:dyDescent="0.2">
      <c r="G2302" s="45"/>
      <c r="L2302" s="8"/>
    </row>
    <row r="2303" spans="7:12" x14ac:dyDescent="0.2">
      <c r="G2303" s="45"/>
      <c r="L2303" s="8"/>
    </row>
    <row r="2304" spans="7:12" x14ac:dyDescent="0.2">
      <c r="G2304" s="45"/>
      <c r="L2304" s="8"/>
    </row>
    <row r="2305" spans="7:12" x14ac:dyDescent="0.2">
      <c r="G2305" s="45"/>
      <c r="L2305" s="8"/>
    </row>
    <row r="2306" spans="7:12" x14ac:dyDescent="0.2">
      <c r="G2306" s="45"/>
      <c r="L2306" s="8"/>
    </row>
    <row r="2307" spans="7:12" x14ac:dyDescent="0.2">
      <c r="G2307" s="45"/>
      <c r="L2307" s="8"/>
    </row>
    <row r="2308" spans="7:12" x14ac:dyDescent="0.2">
      <c r="G2308" s="45"/>
      <c r="L2308" s="8"/>
    </row>
    <row r="2309" spans="7:12" x14ac:dyDescent="0.2">
      <c r="G2309" s="45"/>
      <c r="L2309" s="8"/>
    </row>
    <row r="2310" spans="7:12" x14ac:dyDescent="0.2">
      <c r="G2310" s="45"/>
      <c r="L2310" s="8"/>
    </row>
    <row r="2311" spans="7:12" x14ac:dyDescent="0.2">
      <c r="G2311" s="45"/>
      <c r="L2311" s="8"/>
    </row>
    <row r="2312" spans="7:12" x14ac:dyDescent="0.2">
      <c r="G2312" s="45"/>
      <c r="L2312" s="8"/>
    </row>
    <row r="2313" spans="7:12" x14ac:dyDescent="0.2">
      <c r="G2313" s="45"/>
      <c r="L2313" s="8"/>
    </row>
    <row r="2314" spans="7:12" x14ac:dyDescent="0.2">
      <c r="G2314" s="45"/>
      <c r="L2314" s="8"/>
    </row>
    <row r="2315" spans="7:12" x14ac:dyDescent="0.2">
      <c r="G2315" s="45"/>
      <c r="L2315" s="8"/>
    </row>
    <row r="2316" spans="7:12" x14ac:dyDescent="0.2">
      <c r="G2316" s="45"/>
      <c r="L2316" s="8"/>
    </row>
    <row r="2317" spans="7:12" x14ac:dyDescent="0.2">
      <c r="G2317" s="45"/>
      <c r="L2317" s="8"/>
    </row>
    <row r="2318" spans="7:12" x14ac:dyDescent="0.2">
      <c r="G2318" s="45"/>
      <c r="L2318" s="8"/>
    </row>
    <row r="2319" spans="7:12" x14ac:dyDescent="0.2">
      <c r="G2319" s="45"/>
      <c r="L2319" s="8"/>
    </row>
    <row r="2320" spans="7:12" x14ac:dyDescent="0.2">
      <c r="G2320" s="45"/>
      <c r="L2320" s="8"/>
    </row>
    <row r="2321" spans="7:12" x14ac:dyDescent="0.2">
      <c r="G2321" s="45"/>
      <c r="L2321" s="8"/>
    </row>
    <row r="2322" spans="7:12" x14ac:dyDescent="0.2">
      <c r="G2322" s="45"/>
      <c r="L2322" s="8"/>
    </row>
    <row r="2323" spans="7:12" x14ac:dyDescent="0.2">
      <c r="G2323" s="45"/>
      <c r="L2323" s="8"/>
    </row>
    <row r="2324" spans="7:12" x14ac:dyDescent="0.2">
      <c r="G2324" s="45"/>
      <c r="L2324" s="8"/>
    </row>
    <row r="2325" spans="7:12" x14ac:dyDescent="0.2">
      <c r="G2325" s="45"/>
      <c r="L2325" s="8"/>
    </row>
    <row r="2326" spans="7:12" x14ac:dyDescent="0.2">
      <c r="G2326" s="45"/>
      <c r="L2326" s="8"/>
    </row>
    <row r="2327" spans="7:12" x14ac:dyDescent="0.2">
      <c r="G2327" s="45"/>
      <c r="L2327" s="8"/>
    </row>
    <row r="2328" spans="7:12" x14ac:dyDescent="0.2">
      <c r="G2328" s="45"/>
      <c r="L2328" s="8"/>
    </row>
    <row r="2329" spans="7:12" x14ac:dyDescent="0.2">
      <c r="G2329" s="45"/>
      <c r="L2329" s="8"/>
    </row>
    <row r="2330" spans="7:12" x14ac:dyDescent="0.2">
      <c r="G2330" s="45"/>
      <c r="L2330" s="8"/>
    </row>
    <row r="2331" spans="7:12" x14ac:dyDescent="0.2">
      <c r="G2331" s="45"/>
      <c r="L2331" s="8"/>
    </row>
    <row r="2332" spans="7:12" x14ac:dyDescent="0.2">
      <c r="G2332" s="45"/>
      <c r="L2332" s="8"/>
    </row>
    <row r="2333" spans="7:12" x14ac:dyDescent="0.2">
      <c r="G2333" s="45"/>
      <c r="L2333" s="8"/>
    </row>
    <row r="2334" spans="7:12" x14ac:dyDescent="0.2">
      <c r="G2334" s="45"/>
      <c r="L2334" s="8"/>
    </row>
    <row r="2335" spans="7:12" x14ac:dyDescent="0.2">
      <c r="G2335" s="45"/>
      <c r="L2335" s="8"/>
    </row>
    <row r="2336" spans="7:12" x14ac:dyDescent="0.2">
      <c r="G2336" s="45"/>
      <c r="L2336" s="8"/>
    </row>
    <row r="2337" spans="7:12" x14ac:dyDescent="0.2">
      <c r="G2337" s="45"/>
      <c r="L2337" s="8"/>
    </row>
    <row r="2338" spans="7:12" x14ac:dyDescent="0.2">
      <c r="G2338" s="45"/>
      <c r="L2338" s="8"/>
    </row>
    <row r="2339" spans="7:12" x14ac:dyDescent="0.2">
      <c r="G2339" s="45"/>
      <c r="L2339" s="8"/>
    </row>
    <row r="2340" spans="7:12" x14ac:dyDescent="0.2">
      <c r="G2340" s="45"/>
      <c r="L2340" s="8"/>
    </row>
    <row r="2341" spans="7:12" x14ac:dyDescent="0.2">
      <c r="G2341" s="45"/>
      <c r="L2341" s="8"/>
    </row>
    <row r="2342" spans="7:12" x14ac:dyDescent="0.2">
      <c r="G2342" s="45"/>
      <c r="L2342" s="8"/>
    </row>
    <row r="2343" spans="7:12" x14ac:dyDescent="0.2">
      <c r="G2343" s="45"/>
      <c r="L2343" s="8"/>
    </row>
    <row r="2344" spans="7:12" x14ac:dyDescent="0.2">
      <c r="G2344" s="45"/>
      <c r="L2344" s="8"/>
    </row>
    <row r="2345" spans="7:12" x14ac:dyDescent="0.2">
      <c r="G2345" s="45"/>
      <c r="L2345" s="8"/>
    </row>
    <row r="2346" spans="7:12" x14ac:dyDescent="0.2">
      <c r="G2346" s="45"/>
      <c r="L2346" s="8"/>
    </row>
    <row r="2347" spans="7:12" x14ac:dyDescent="0.2">
      <c r="G2347" s="45"/>
      <c r="L2347" s="8"/>
    </row>
    <row r="2348" spans="7:12" x14ac:dyDescent="0.2">
      <c r="G2348" s="45"/>
      <c r="L2348" s="8"/>
    </row>
    <row r="2349" spans="7:12" x14ac:dyDescent="0.2">
      <c r="G2349" s="45"/>
      <c r="L2349" s="8"/>
    </row>
    <row r="2350" spans="7:12" x14ac:dyDescent="0.2">
      <c r="G2350" s="45"/>
      <c r="L2350" s="8"/>
    </row>
    <row r="2351" spans="7:12" x14ac:dyDescent="0.2">
      <c r="G2351" s="45"/>
      <c r="L2351" s="8"/>
    </row>
    <row r="2352" spans="7:12" x14ac:dyDescent="0.2">
      <c r="G2352" s="45"/>
      <c r="L2352" s="8"/>
    </row>
    <row r="2353" spans="7:12" x14ac:dyDescent="0.2">
      <c r="G2353" s="45"/>
      <c r="L2353" s="8"/>
    </row>
    <row r="2354" spans="7:12" x14ac:dyDescent="0.2">
      <c r="G2354" s="45"/>
      <c r="L2354" s="8"/>
    </row>
    <row r="2355" spans="7:12" x14ac:dyDescent="0.2">
      <c r="G2355" s="45"/>
      <c r="L2355" s="8"/>
    </row>
    <row r="2356" spans="7:12" x14ac:dyDescent="0.2">
      <c r="G2356" s="45"/>
      <c r="L2356" s="8"/>
    </row>
    <row r="2357" spans="7:12" x14ac:dyDescent="0.2">
      <c r="G2357" s="45"/>
      <c r="L2357" s="8"/>
    </row>
    <row r="2358" spans="7:12" x14ac:dyDescent="0.2">
      <c r="G2358" s="45"/>
      <c r="L2358" s="8"/>
    </row>
    <row r="2359" spans="7:12" x14ac:dyDescent="0.2">
      <c r="G2359" s="45"/>
      <c r="L2359" s="8"/>
    </row>
    <row r="2360" spans="7:12" x14ac:dyDescent="0.2">
      <c r="G2360" s="45"/>
      <c r="L2360" s="8"/>
    </row>
    <row r="2361" spans="7:12" x14ac:dyDescent="0.2">
      <c r="G2361" s="45"/>
      <c r="L2361" s="8"/>
    </row>
    <row r="2362" spans="7:12" x14ac:dyDescent="0.2">
      <c r="G2362" s="45"/>
      <c r="L2362" s="8"/>
    </row>
    <row r="2363" spans="7:12" x14ac:dyDescent="0.2">
      <c r="G2363" s="45"/>
      <c r="L2363" s="8"/>
    </row>
    <row r="2364" spans="7:12" x14ac:dyDescent="0.2">
      <c r="G2364" s="45"/>
      <c r="L2364" s="8"/>
    </row>
    <row r="2365" spans="7:12" x14ac:dyDescent="0.2">
      <c r="G2365" s="45"/>
      <c r="L2365" s="8"/>
    </row>
    <row r="2366" spans="7:12" x14ac:dyDescent="0.2">
      <c r="G2366" s="45"/>
      <c r="L2366" s="8"/>
    </row>
    <row r="2367" spans="7:12" x14ac:dyDescent="0.2">
      <c r="G2367" s="45"/>
      <c r="L2367" s="8"/>
    </row>
    <row r="2368" spans="7:12" x14ac:dyDescent="0.2">
      <c r="G2368" s="45"/>
      <c r="L2368" s="8"/>
    </row>
    <row r="2369" spans="7:12" x14ac:dyDescent="0.2">
      <c r="G2369" s="45"/>
      <c r="L2369" s="8"/>
    </row>
    <row r="2370" spans="7:12" x14ac:dyDescent="0.2">
      <c r="G2370" s="45"/>
      <c r="L2370" s="8"/>
    </row>
    <row r="2371" spans="7:12" x14ac:dyDescent="0.2">
      <c r="G2371" s="45"/>
      <c r="L2371" s="8"/>
    </row>
    <row r="2372" spans="7:12" x14ac:dyDescent="0.2">
      <c r="G2372" s="45"/>
      <c r="L2372" s="8"/>
    </row>
    <row r="2373" spans="7:12" x14ac:dyDescent="0.2">
      <c r="G2373" s="45"/>
      <c r="L2373" s="8"/>
    </row>
    <row r="2374" spans="7:12" x14ac:dyDescent="0.2">
      <c r="G2374" s="45"/>
      <c r="L2374" s="8"/>
    </row>
    <row r="2375" spans="7:12" x14ac:dyDescent="0.2">
      <c r="G2375" s="45"/>
      <c r="L2375" s="8"/>
    </row>
    <row r="2376" spans="7:12" x14ac:dyDescent="0.2">
      <c r="G2376" s="45"/>
      <c r="L2376" s="8"/>
    </row>
    <row r="2377" spans="7:12" x14ac:dyDescent="0.2">
      <c r="G2377" s="45"/>
      <c r="L2377" s="8"/>
    </row>
    <row r="2378" spans="7:12" x14ac:dyDescent="0.2">
      <c r="G2378" s="45"/>
      <c r="L2378" s="8"/>
    </row>
    <row r="2379" spans="7:12" x14ac:dyDescent="0.2">
      <c r="G2379" s="45"/>
      <c r="L2379" s="8"/>
    </row>
    <row r="2380" spans="7:12" x14ac:dyDescent="0.2">
      <c r="G2380" s="45"/>
      <c r="L2380" s="8"/>
    </row>
    <row r="2381" spans="7:12" x14ac:dyDescent="0.2">
      <c r="G2381" s="45"/>
      <c r="L2381" s="8"/>
    </row>
    <row r="2382" spans="7:12" x14ac:dyDescent="0.2">
      <c r="G2382" s="45"/>
      <c r="L2382" s="8"/>
    </row>
    <row r="2383" spans="7:12" x14ac:dyDescent="0.2">
      <c r="G2383" s="45"/>
      <c r="L2383" s="8"/>
    </row>
    <row r="2384" spans="7:12" x14ac:dyDescent="0.2">
      <c r="G2384" s="45"/>
      <c r="L2384" s="8"/>
    </row>
    <row r="2385" spans="7:12" x14ac:dyDescent="0.2">
      <c r="G2385" s="45"/>
      <c r="L2385" s="8"/>
    </row>
    <row r="2386" spans="7:12" x14ac:dyDescent="0.2">
      <c r="G2386" s="45"/>
      <c r="L2386" s="8"/>
    </row>
    <row r="2387" spans="7:12" x14ac:dyDescent="0.2">
      <c r="G2387" s="45"/>
      <c r="L2387" s="8"/>
    </row>
    <row r="2388" spans="7:12" x14ac:dyDescent="0.2">
      <c r="G2388" s="45"/>
      <c r="L2388" s="8"/>
    </row>
    <row r="2389" spans="7:12" x14ac:dyDescent="0.2">
      <c r="G2389" s="45"/>
      <c r="L2389" s="8"/>
    </row>
    <row r="2390" spans="7:12" x14ac:dyDescent="0.2">
      <c r="G2390" s="45"/>
      <c r="L2390" s="8"/>
    </row>
    <row r="2391" spans="7:12" x14ac:dyDescent="0.2">
      <c r="G2391" s="45"/>
      <c r="L2391" s="8"/>
    </row>
    <row r="2392" spans="7:12" x14ac:dyDescent="0.2">
      <c r="G2392" s="45"/>
      <c r="L2392" s="8"/>
    </row>
    <row r="2393" spans="7:12" x14ac:dyDescent="0.2">
      <c r="G2393" s="45"/>
      <c r="L2393" s="8"/>
    </row>
    <row r="2394" spans="7:12" x14ac:dyDescent="0.2">
      <c r="G2394" s="45"/>
      <c r="L2394" s="8"/>
    </row>
    <row r="2395" spans="7:12" x14ac:dyDescent="0.2">
      <c r="G2395" s="45"/>
      <c r="L2395" s="8"/>
    </row>
    <row r="2396" spans="7:12" x14ac:dyDescent="0.2">
      <c r="G2396" s="45"/>
      <c r="L2396" s="8"/>
    </row>
    <row r="2397" spans="7:12" x14ac:dyDescent="0.2">
      <c r="G2397" s="45"/>
      <c r="L2397" s="8"/>
    </row>
    <row r="2398" spans="7:12" x14ac:dyDescent="0.2">
      <c r="G2398" s="45"/>
      <c r="L2398" s="8"/>
    </row>
    <row r="2399" spans="7:12" x14ac:dyDescent="0.2">
      <c r="G2399" s="45"/>
      <c r="L2399" s="8"/>
    </row>
    <row r="2400" spans="7:12" x14ac:dyDescent="0.2">
      <c r="G2400" s="45"/>
      <c r="L2400" s="8"/>
    </row>
    <row r="2401" spans="7:12" x14ac:dyDescent="0.2">
      <c r="G2401" s="45"/>
      <c r="L2401" s="8"/>
    </row>
    <row r="2402" spans="7:12" x14ac:dyDescent="0.2">
      <c r="G2402" s="45"/>
      <c r="L2402" s="8"/>
    </row>
    <row r="2403" spans="7:12" x14ac:dyDescent="0.2">
      <c r="G2403" s="45"/>
      <c r="L2403" s="8"/>
    </row>
    <row r="2404" spans="7:12" x14ac:dyDescent="0.2">
      <c r="G2404" s="45"/>
      <c r="L2404" s="8"/>
    </row>
    <row r="2405" spans="7:12" x14ac:dyDescent="0.2">
      <c r="G2405" s="45"/>
      <c r="L2405" s="8"/>
    </row>
    <row r="2406" spans="7:12" x14ac:dyDescent="0.2">
      <c r="G2406" s="45"/>
      <c r="L2406" s="8"/>
    </row>
    <row r="2407" spans="7:12" x14ac:dyDescent="0.2">
      <c r="G2407" s="45"/>
      <c r="L2407" s="8"/>
    </row>
    <row r="2408" spans="7:12" x14ac:dyDescent="0.2">
      <c r="G2408" s="45"/>
      <c r="L2408" s="8"/>
    </row>
    <row r="2409" spans="7:12" x14ac:dyDescent="0.2">
      <c r="G2409" s="45"/>
      <c r="L2409" s="8"/>
    </row>
    <row r="2410" spans="7:12" x14ac:dyDescent="0.2">
      <c r="G2410" s="45"/>
      <c r="L2410" s="8"/>
    </row>
    <row r="2411" spans="7:12" x14ac:dyDescent="0.2">
      <c r="G2411" s="45"/>
      <c r="L2411" s="8"/>
    </row>
    <row r="2412" spans="7:12" x14ac:dyDescent="0.2">
      <c r="G2412" s="45"/>
      <c r="L2412" s="8"/>
    </row>
    <row r="2413" spans="7:12" x14ac:dyDescent="0.2">
      <c r="G2413" s="45"/>
      <c r="L2413" s="8"/>
    </row>
    <row r="2414" spans="7:12" x14ac:dyDescent="0.2">
      <c r="G2414" s="45"/>
      <c r="L2414" s="8"/>
    </row>
    <row r="2415" spans="7:12" x14ac:dyDescent="0.2">
      <c r="G2415" s="45"/>
      <c r="L2415" s="8"/>
    </row>
    <row r="2416" spans="7:12" x14ac:dyDescent="0.2">
      <c r="G2416" s="45"/>
      <c r="L2416" s="8"/>
    </row>
    <row r="2417" spans="7:12" x14ac:dyDescent="0.2">
      <c r="G2417" s="45"/>
      <c r="L2417" s="8"/>
    </row>
    <row r="2418" spans="7:12" x14ac:dyDescent="0.2">
      <c r="G2418" s="45"/>
      <c r="L2418" s="8"/>
    </row>
    <row r="2419" spans="7:12" x14ac:dyDescent="0.2">
      <c r="G2419" s="45"/>
      <c r="L2419" s="8"/>
    </row>
    <row r="2420" spans="7:12" x14ac:dyDescent="0.2">
      <c r="G2420" s="45"/>
      <c r="L2420" s="8"/>
    </row>
    <row r="2421" spans="7:12" x14ac:dyDescent="0.2">
      <c r="G2421" s="45"/>
      <c r="L2421" s="8"/>
    </row>
    <row r="2422" spans="7:12" x14ac:dyDescent="0.2">
      <c r="G2422" s="45"/>
      <c r="L2422" s="8"/>
    </row>
    <row r="2423" spans="7:12" x14ac:dyDescent="0.2">
      <c r="G2423" s="45"/>
      <c r="L2423" s="8"/>
    </row>
    <row r="2424" spans="7:12" x14ac:dyDescent="0.2">
      <c r="G2424" s="45"/>
      <c r="L2424" s="8"/>
    </row>
    <row r="2425" spans="7:12" x14ac:dyDescent="0.2">
      <c r="G2425" s="45"/>
      <c r="L2425" s="8"/>
    </row>
    <row r="2426" spans="7:12" x14ac:dyDescent="0.2">
      <c r="G2426" s="45"/>
      <c r="L2426" s="8"/>
    </row>
    <row r="2427" spans="7:12" x14ac:dyDescent="0.2">
      <c r="G2427" s="45"/>
      <c r="L2427" s="8"/>
    </row>
    <row r="2428" spans="7:12" x14ac:dyDescent="0.2">
      <c r="G2428" s="45"/>
      <c r="L2428" s="8"/>
    </row>
    <row r="2429" spans="7:12" x14ac:dyDescent="0.2">
      <c r="G2429" s="45"/>
      <c r="L2429" s="8"/>
    </row>
    <row r="2430" spans="7:12" x14ac:dyDescent="0.2">
      <c r="G2430" s="45"/>
      <c r="L2430" s="8"/>
    </row>
    <row r="2431" spans="7:12" x14ac:dyDescent="0.2">
      <c r="G2431" s="45"/>
      <c r="L2431" s="8"/>
    </row>
    <row r="2432" spans="7:12" x14ac:dyDescent="0.2">
      <c r="G2432" s="45"/>
      <c r="L2432" s="8"/>
    </row>
    <row r="2433" spans="7:12" x14ac:dyDescent="0.2">
      <c r="G2433" s="45"/>
      <c r="L2433" s="8"/>
    </row>
    <row r="2434" spans="7:12" x14ac:dyDescent="0.2">
      <c r="G2434" s="45"/>
      <c r="L2434" s="8"/>
    </row>
    <row r="2435" spans="7:12" x14ac:dyDescent="0.2">
      <c r="G2435" s="45"/>
      <c r="L2435" s="8"/>
    </row>
    <row r="2436" spans="7:12" x14ac:dyDescent="0.2">
      <c r="G2436" s="45"/>
      <c r="L2436" s="8"/>
    </row>
    <row r="2437" spans="7:12" x14ac:dyDescent="0.2">
      <c r="G2437" s="45"/>
      <c r="L2437" s="8"/>
    </row>
    <row r="2438" spans="7:12" x14ac:dyDescent="0.2">
      <c r="G2438" s="45"/>
      <c r="L2438" s="8"/>
    </row>
    <row r="2439" spans="7:12" x14ac:dyDescent="0.2">
      <c r="G2439" s="45"/>
      <c r="L2439" s="8"/>
    </row>
    <row r="2440" spans="7:12" x14ac:dyDescent="0.2">
      <c r="G2440" s="45"/>
      <c r="L2440" s="8"/>
    </row>
    <row r="2441" spans="7:12" x14ac:dyDescent="0.2">
      <c r="G2441" s="45"/>
      <c r="L2441" s="8"/>
    </row>
    <row r="2442" spans="7:12" x14ac:dyDescent="0.2">
      <c r="G2442" s="45"/>
      <c r="L2442" s="8"/>
    </row>
    <row r="2443" spans="7:12" x14ac:dyDescent="0.2">
      <c r="G2443" s="45"/>
      <c r="L2443" s="8"/>
    </row>
    <row r="2444" spans="7:12" x14ac:dyDescent="0.2">
      <c r="G2444" s="45"/>
      <c r="L2444" s="8"/>
    </row>
    <row r="2445" spans="7:12" x14ac:dyDescent="0.2">
      <c r="G2445" s="45"/>
      <c r="L2445" s="8"/>
    </row>
    <row r="2446" spans="7:12" x14ac:dyDescent="0.2">
      <c r="G2446" s="45"/>
      <c r="L2446" s="8"/>
    </row>
    <row r="2447" spans="7:12" x14ac:dyDescent="0.2">
      <c r="G2447" s="45"/>
      <c r="L2447" s="8"/>
    </row>
    <row r="2448" spans="7:12" x14ac:dyDescent="0.2">
      <c r="G2448" s="45"/>
      <c r="L2448" s="8"/>
    </row>
    <row r="2449" spans="7:12" x14ac:dyDescent="0.2">
      <c r="G2449" s="45"/>
      <c r="L2449" s="8"/>
    </row>
    <row r="2450" spans="7:12" x14ac:dyDescent="0.2">
      <c r="G2450" s="45"/>
      <c r="L2450" s="8"/>
    </row>
    <row r="2451" spans="7:12" x14ac:dyDescent="0.2">
      <c r="G2451" s="45"/>
      <c r="L2451" s="8"/>
    </row>
    <row r="2452" spans="7:12" x14ac:dyDescent="0.2">
      <c r="G2452" s="45"/>
      <c r="L2452" s="8"/>
    </row>
    <row r="2453" spans="7:12" x14ac:dyDescent="0.2">
      <c r="G2453" s="45"/>
      <c r="L2453" s="8"/>
    </row>
    <row r="2454" spans="7:12" x14ac:dyDescent="0.2">
      <c r="G2454" s="45"/>
      <c r="L2454" s="8"/>
    </row>
    <row r="2455" spans="7:12" x14ac:dyDescent="0.2">
      <c r="G2455" s="45"/>
      <c r="L2455" s="8"/>
    </row>
    <row r="2456" spans="7:12" x14ac:dyDescent="0.2">
      <c r="G2456" s="45"/>
      <c r="L2456" s="8"/>
    </row>
    <row r="2457" spans="7:12" x14ac:dyDescent="0.2">
      <c r="G2457" s="45"/>
      <c r="L2457" s="8"/>
    </row>
    <row r="2458" spans="7:12" x14ac:dyDescent="0.2">
      <c r="G2458" s="45"/>
      <c r="L2458" s="8"/>
    </row>
    <row r="2459" spans="7:12" x14ac:dyDescent="0.2">
      <c r="G2459" s="45"/>
      <c r="L2459" s="8"/>
    </row>
    <row r="2460" spans="7:12" x14ac:dyDescent="0.2">
      <c r="G2460" s="45"/>
      <c r="L2460" s="8"/>
    </row>
    <row r="2461" spans="7:12" x14ac:dyDescent="0.2">
      <c r="G2461" s="45"/>
      <c r="L2461" s="8"/>
    </row>
    <row r="2462" spans="7:12" x14ac:dyDescent="0.2">
      <c r="G2462" s="45"/>
      <c r="L2462" s="8"/>
    </row>
    <row r="2463" spans="7:12" x14ac:dyDescent="0.2">
      <c r="G2463" s="45"/>
      <c r="L2463" s="8"/>
    </row>
    <row r="2464" spans="7:12" x14ac:dyDescent="0.2">
      <c r="G2464" s="45"/>
      <c r="L2464" s="8"/>
    </row>
    <row r="2465" spans="7:12" x14ac:dyDescent="0.2">
      <c r="G2465" s="45"/>
      <c r="L2465" s="8"/>
    </row>
    <row r="2466" spans="7:12" x14ac:dyDescent="0.2">
      <c r="G2466" s="45"/>
      <c r="L2466" s="8"/>
    </row>
    <row r="2467" spans="7:12" x14ac:dyDescent="0.2">
      <c r="G2467" s="45"/>
      <c r="L2467" s="8"/>
    </row>
    <row r="2468" spans="7:12" x14ac:dyDescent="0.2">
      <c r="G2468" s="45"/>
      <c r="L2468" s="8"/>
    </row>
    <row r="2469" spans="7:12" x14ac:dyDescent="0.2">
      <c r="G2469" s="45"/>
      <c r="L2469" s="8"/>
    </row>
    <row r="2470" spans="7:12" x14ac:dyDescent="0.2">
      <c r="G2470" s="45"/>
      <c r="L2470" s="8"/>
    </row>
    <row r="2471" spans="7:12" x14ac:dyDescent="0.2">
      <c r="G2471" s="45"/>
      <c r="L2471" s="8"/>
    </row>
    <row r="2472" spans="7:12" x14ac:dyDescent="0.2">
      <c r="G2472" s="45"/>
      <c r="L2472" s="8"/>
    </row>
    <row r="2473" spans="7:12" x14ac:dyDescent="0.2">
      <c r="G2473" s="45"/>
      <c r="L2473" s="8"/>
    </row>
    <row r="2474" spans="7:12" x14ac:dyDescent="0.2">
      <c r="G2474" s="45"/>
      <c r="L2474" s="8"/>
    </row>
    <row r="2475" spans="7:12" x14ac:dyDescent="0.2">
      <c r="G2475" s="45"/>
      <c r="L2475" s="8"/>
    </row>
    <row r="2476" spans="7:12" x14ac:dyDescent="0.2">
      <c r="G2476" s="45"/>
      <c r="L2476" s="8"/>
    </row>
    <row r="2477" spans="7:12" x14ac:dyDescent="0.2">
      <c r="G2477" s="45"/>
      <c r="L2477" s="8"/>
    </row>
    <row r="2478" spans="7:12" x14ac:dyDescent="0.2">
      <c r="G2478" s="45"/>
      <c r="L2478" s="8"/>
    </row>
    <row r="2479" spans="7:12" x14ac:dyDescent="0.2">
      <c r="G2479" s="45"/>
      <c r="L2479" s="8"/>
    </row>
    <row r="2480" spans="7:12" x14ac:dyDescent="0.2">
      <c r="G2480" s="45"/>
      <c r="L2480" s="8"/>
    </row>
    <row r="2481" spans="7:12" x14ac:dyDescent="0.2">
      <c r="G2481" s="45"/>
      <c r="L2481" s="8"/>
    </row>
    <row r="2482" spans="7:12" x14ac:dyDescent="0.2">
      <c r="G2482" s="45"/>
      <c r="L2482" s="8"/>
    </row>
    <row r="2483" spans="7:12" x14ac:dyDescent="0.2">
      <c r="G2483" s="45"/>
      <c r="L2483" s="8"/>
    </row>
    <row r="2484" spans="7:12" x14ac:dyDescent="0.2">
      <c r="G2484" s="45"/>
      <c r="L2484" s="8"/>
    </row>
    <row r="2485" spans="7:12" x14ac:dyDescent="0.2">
      <c r="G2485" s="45"/>
      <c r="L2485" s="8"/>
    </row>
    <row r="2486" spans="7:12" x14ac:dyDescent="0.2">
      <c r="G2486" s="45"/>
      <c r="L2486" s="8"/>
    </row>
    <row r="2487" spans="7:12" x14ac:dyDescent="0.2">
      <c r="G2487" s="45"/>
      <c r="L2487" s="8"/>
    </row>
    <row r="2488" spans="7:12" x14ac:dyDescent="0.2">
      <c r="G2488" s="45"/>
      <c r="L2488" s="8"/>
    </row>
    <row r="2489" spans="7:12" x14ac:dyDescent="0.2">
      <c r="G2489" s="45"/>
      <c r="L2489" s="8"/>
    </row>
    <row r="2490" spans="7:12" x14ac:dyDescent="0.2">
      <c r="G2490" s="45"/>
      <c r="L2490" s="8"/>
    </row>
    <row r="2491" spans="7:12" x14ac:dyDescent="0.2">
      <c r="G2491" s="45"/>
      <c r="L2491" s="8"/>
    </row>
    <row r="2492" spans="7:12" x14ac:dyDescent="0.2">
      <c r="G2492" s="45"/>
      <c r="L2492" s="8"/>
    </row>
    <row r="2493" spans="7:12" x14ac:dyDescent="0.2">
      <c r="G2493" s="45"/>
      <c r="L2493" s="8"/>
    </row>
    <row r="2494" spans="7:12" x14ac:dyDescent="0.2">
      <c r="G2494" s="45"/>
      <c r="L2494" s="8"/>
    </row>
    <row r="2495" spans="7:12" x14ac:dyDescent="0.2">
      <c r="G2495" s="45"/>
      <c r="L2495" s="8"/>
    </row>
    <row r="2496" spans="7:12" x14ac:dyDescent="0.2">
      <c r="G2496" s="45"/>
      <c r="L2496" s="8"/>
    </row>
    <row r="2497" spans="7:12" x14ac:dyDescent="0.2">
      <c r="G2497" s="45"/>
      <c r="L2497" s="8"/>
    </row>
    <row r="2498" spans="7:12" x14ac:dyDescent="0.2">
      <c r="G2498" s="45"/>
      <c r="L2498" s="8"/>
    </row>
    <row r="2499" spans="7:12" x14ac:dyDescent="0.2">
      <c r="G2499" s="45"/>
      <c r="L2499" s="8"/>
    </row>
    <row r="2500" spans="7:12" x14ac:dyDescent="0.2">
      <c r="G2500" s="45"/>
      <c r="L2500" s="8"/>
    </row>
    <row r="2501" spans="7:12" x14ac:dyDescent="0.2">
      <c r="G2501" s="45"/>
      <c r="L2501" s="8"/>
    </row>
    <row r="2502" spans="7:12" x14ac:dyDescent="0.2">
      <c r="G2502" s="45"/>
      <c r="L2502" s="8"/>
    </row>
    <row r="2503" spans="7:12" x14ac:dyDescent="0.2">
      <c r="G2503" s="45"/>
      <c r="L2503" s="8"/>
    </row>
    <row r="2504" spans="7:12" x14ac:dyDescent="0.2">
      <c r="G2504" s="45"/>
      <c r="L2504" s="8"/>
    </row>
    <row r="2505" spans="7:12" x14ac:dyDescent="0.2">
      <c r="G2505" s="45"/>
      <c r="L2505" s="8"/>
    </row>
    <row r="2506" spans="7:12" x14ac:dyDescent="0.2">
      <c r="G2506" s="45"/>
      <c r="L2506" s="8"/>
    </row>
    <row r="2507" spans="7:12" x14ac:dyDescent="0.2">
      <c r="G2507" s="45"/>
      <c r="L2507" s="8"/>
    </row>
    <row r="2508" spans="7:12" x14ac:dyDescent="0.2">
      <c r="G2508" s="45"/>
      <c r="L2508" s="8"/>
    </row>
    <row r="2509" spans="7:12" x14ac:dyDescent="0.2">
      <c r="G2509" s="45"/>
      <c r="L2509" s="8"/>
    </row>
    <row r="2510" spans="7:12" x14ac:dyDescent="0.2">
      <c r="G2510" s="45"/>
      <c r="L2510" s="8"/>
    </row>
    <row r="2511" spans="7:12" x14ac:dyDescent="0.2">
      <c r="G2511" s="45"/>
      <c r="L2511" s="8"/>
    </row>
    <row r="2512" spans="7:12" x14ac:dyDescent="0.2">
      <c r="G2512" s="45"/>
      <c r="L2512" s="8"/>
    </row>
    <row r="2513" spans="7:12" x14ac:dyDescent="0.2">
      <c r="G2513" s="45"/>
      <c r="L2513" s="8"/>
    </row>
    <row r="2514" spans="7:12" x14ac:dyDescent="0.2">
      <c r="G2514" s="45"/>
      <c r="L2514" s="8"/>
    </row>
    <row r="2515" spans="7:12" x14ac:dyDescent="0.2">
      <c r="G2515" s="45"/>
      <c r="L2515" s="8"/>
    </row>
    <row r="2516" spans="7:12" x14ac:dyDescent="0.2">
      <c r="G2516" s="45"/>
      <c r="L2516" s="8"/>
    </row>
    <row r="2517" spans="7:12" x14ac:dyDescent="0.2">
      <c r="G2517" s="45"/>
      <c r="L2517" s="8"/>
    </row>
    <row r="2518" spans="7:12" x14ac:dyDescent="0.2">
      <c r="G2518" s="45"/>
      <c r="L2518" s="8"/>
    </row>
    <row r="2519" spans="7:12" x14ac:dyDescent="0.2">
      <c r="G2519" s="45"/>
      <c r="L2519" s="8"/>
    </row>
    <row r="2520" spans="7:12" x14ac:dyDescent="0.2">
      <c r="G2520" s="45"/>
      <c r="L2520" s="8"/>
    </row>
    <row r="2521" spans="7:12" x14ac:dyDescent="0.2">
      <c r="G2521" s="45"/>
      <c r="L2521" s="8"/>
    </row>
    <row r="2522" spans="7:12" x14ac:dyDescent="0.2">
      <c r="G2522" s="45"/>
      <c r="L2522" s="8"/>
    </row>
    <row r="2523" spans="7:12" x14ac:dyDescent="0.2">
      <c r="G2523" s="45"/>
      <c r="L2523" s="8"/>
    </row>
    <row r="2524" spans="7:12" x14ac:dyDescent="0.2">
      <c r="G2524" s="45"/>
      <c r="L2524" s="8"/>
    </row>
    <row r="2525" spans="7:12" x14ac:dyDescent="0.2">
      <c r="G2525" s="45"/>
      <c r="L2525" s="8"/>
    </row>
    <row r="2526" spans="7:12" x14ac:dyDescent="0.2">
      <c r="G2526" s="45"/>
      <c r="L2526" s="8"/>
    </row>
    <row r="2527" spans="7:12" x14ac:dyDescent="0.2">
      <c r="G2527" s="45"/>
      <c r="L2527" s="8"/>
    </row>
    <row r="2528" spans="7:12" x14ac:dyDescent="0.2">
      <c r="G2528" s="45"/>
      <c r="L2528" s="8"/>
    </row>
    <row r="2529" spans="7:12" x14ac:dyDescent="0.2">
      <c r="G2529" s="45"/>
      <c r="L2529" s="8"/>
    </row>
    <row r="2530" spans="7:12" x14ac:dyDescent="0.2">
      <c r="G2530" s="45"/>
      <c r="L2530" s="8"/>
    </row>
    <row r="2531" spans="7:12" x14ac:dyDescent="0.2">
      <c r="G2531" s="45"/>
      <c r="L2531" s="8"/>
    </row>
    <row r="2532" spans="7:12" x14ac:dyDescent="0.2">
      <c r="G2532" s="45"/>
      <c r="L2532" s="8"/>
    </row>
    <row r="2533" spans="7:12" x14ac:dyDescent="0.2">
      <c r="G2533" s="45"/>
      <c r="L2533" s="8"/>
    </row>
    <row r="2534" spans="7:12" x14ac:dyDescent="0.2">
      <c r="G2534" s="45"/>
      <c r="L2534" s="8"/>
    </row>
    <row r="2535" spans="7:12" x14ac:dyDescent="0.2">
      <c r="G2535" s="45"/>
      <c r="L2535" s="8"/>
    </row>
    <row r="2536" spans="7:12" x14ac:dyDescent="0.2">
      <c r="G2536" s="45"/>
      <c r="L2536" s="8"/>
    </row>
    <row r="2537" spans="7:12" x14ac:dyDescent="0.2">
      <c r="G2537" s="45"/>
      <c r="L2537" s="8"/>
    </row>
    <row r="2538" spans="7:12" x14ac:dyDescent="0.2">
      <c r="G2538" s="45"/>
      <c r="L2538" s="8"/>
    </row>
    <row r="2539" spans="7:12" x14ac:dyDescent="0.2">
      <c r="G2539" s="45"/>
      <c r="L2539" s="8"/>
    </row>
    <row r="2540" spans="7:12" x14ac:dyDescent="0.2">
      <c r="G2540" s="45"/>
      <c r="L2540" s="8"/>
    </row>
    <row r="2541" spans="7:12" x14ac:dyDescent="0.2">
      <c r="G2541" s="45"/>
      <c r="L2541" s="8"/>
    </row>
    <row r="2542" spans="7:12" x14ac:dyDescent="0.2">
      <c r="G2542" s="45"/>
      <c r="L2542" s="8"/>
    </row>
    <row r="2543" spans="7:12" x14ac:dyDescent="0.2">
      <c r="G2543" s="45"/>
      <c r="L2543" s="8"/>
    </row>
    <row r="2544" spans="7:12" x14ac:dyDescent="0.2">
      <c r="G2544" s="45"/>
      <c r="L2544" s="8"/>
    </row>
    <row r="2545" spans="7:12" x14ac:dyDescent="0.2">
      <c r="G2545" s="45"/>
      <c r="L2545" s="8"/>
    </row>
    <row r="2546" spans="7:12" x14ac:dyDescent="0.2">
      <c r="G2546" s="45"/>
      <c r="L2546" s="8"/>
    </row>
    <row r="2547" spans="7:12" x14ac:dyDescent="0.2">
      <c r="G2547" s="45"/>
      <c r="L2547" s="8"/>
    </row>
    <row r="2548" spans="7:12" x14ac:dyDescent="0.2">
      <c r="G2548" s="45"/>
      <c r="L2548" s="8"/>
    </row>
    <row r="2549" spans="7:12" x14ac:dyDescent="0.2">
      <c r="G2549" s="45"/>
      <c r="L2549" s="8"/>
    </row>
    <row r="2550" spans="7:12" x14ac:dyDescent="0.2">
      <c r="G2550" s="45"/>
      <c r="L2550" s="8"/>
    </row>
    <row r="2551" spans="7:12" x14ac:dyDescent="0.2">
      <c r="G2551" s="45"/>
      <c r="L2551" s="8"/>
    </row>
    <row r="2552" spans="7:12" x14ac:dyDescent="0.2">
      <c r="G2552" s="45"/>
      <c r="L2552" s="8"/>
    </row>
    <row r="2553" spans="7:12" x14ac:dyDescent="0.2">
      <c r="G2553" s="45"/>
      <c r="L2553" s="8"/>
    </row>
    <row r="2554" spans="7:12" x14ac:dyDescent="0.2">
      <c r="G2554" s="45"/>
      <c r="L2554" s="8"/>
    </row>
    <row r="2555" spans="7:12" x14ac:dyDescent="0.2">
      <c r="G2555" s="45"/>
      <c r="L2555" s="8"/>
    </row>
    <row r="2556" spans="7:12" x14ac:dyDescent="0.2">
      <c r="G2556" s="45"/>
      <c r="L2556" s="8"/>
    </row>
    <row r="2557" spans="7:12" x14ac:dyDescent="0.2">
      <c r="G2557" s="45"/>
      <c r="L2557" s="8"/>
    </row>
    <row r="2558" spans="7:12" x14ac:dyDescent="0.2">
      <c r="G2558" s="45"/>
      <c r="L2558" s="8"/>
    </row>
    <row r="2559" spans="7:12" x14ac:dyDescent="0.2">
      <c r="G2559" s="45"/>
      <c r="L2559" s="8"/>
    </row>
    <row r="2560" spans="7:12" x14ac:dyDescent="0.2">
      <c r="G2560" s="45"/>
      <c r="L2560" s="8"/>
    </row>
    <row r="2561" spans="7:12" x14ac:dyDescent="0.2">
      <c r="G2561" s="45"/>
      <c r="L2561" s="8"/>
    </row>
    <row r="2562" spans="7:12" x14ac:dyDescent="0.2">
      <c r="G2562" s="45"/>
      <c r="L2562" s="8"/>
    </row>
    <row r="2563" spans="7:12" x14ac:dyDescent="0.2">
      <c r="G2563" s="45"/>
      <c r="L2563" s="8"/>
    </row>
    <row r="2564" spans="7:12" x14ac:dyDescent="0.2">
      <c r="G2564" s="45"/>
      <c r="L2564" s="8"/>
    </row>
    <row r="2565" spans="7:12" x14ac:dyDescent="0.2">
      <c r="G2565" s="45"/>
      <c r="L2565" s="8"/>
    </row>
    <row r="2566" spans="7:12" x14ac:dyDescent="0.2">
      <c r="G2566" s="45"/>
      <c r="L2566" s="8"/>
    </row>
    <row r="2567" spans="7:12" x14ac:dyDescent="0.2">
      <c r="G2567" s="45"/>
      <c r="L2567" s="8"/>
    </row>
    <row r="2568" spans="7:12" x14ac:dyDescent="0.2">
      <c r="G2568" s="45"/>
      <c r="L2568" s="8"/>
    </row>
    <row r="2569" spans="7:12" x14ac:dyDescent="0.2">
      <c r="G2569" s="45"/>
      <c r="L2569" s="8"/>
    </row>
    <row r="2570" spans="7:12" x14ac:dyDescent="0.2">
      <c r="G2570" s="45"/>
      <c r="L2570" s="8"/>
    </row>
    <row r="2571" spans="7:12" x14ac:dyDescent="0.2">
      <c r="G2571" s="45"/>
      <c r="L2571" s="8"/>
    </row>
    <row r="2572" spans="7:12" x14ac:dyDescent="0.2">
      <c r="G2572" s="45"/>
      <c r="L2572" s="8"/>
    </row>
    <row r="2573" spans="7:12" x14ac:dyDescent="0.2">
      <c r="G2573" s="45"/>
      <c r="L2573" s="8"/>
    </row>
    <row r="2574" spans="7:12" x14ac:dyDescent="0.2">
      <c r="G2574" s="45"/>
      <c r="L2574" s="8"/>
    </row>
    <row r="2575" spans="7:12" x14ac:dyDescent="0.2">
      <c r="G2575" s="45"/>
      <c r="L2575" s="8"/>
    </row>
    <row r="2576" spans="7:12" x14ac:dyDescent="0.2">
      <c r="G2576" s="45"/>
      <c r="L2576" s="8"/>
    </row>
    <row r="2577" spans="7:12" x14ac:dyDescent="0.2">
      <c r="G2577" s="45"/>
      <c r="L2577" s="8"/>
    </row>
    <row r="2578" spans="7:12" x14ac:dyDescent="0.2">
      <c r="G2578" s="45"/>
      <c r="L2578" s="8"/>
    </row>
    <row r="2579" spans="7:12" x14ac:dyDescent="0.2">
      <c r="G2579" s="45"/>
      <c r="L2579" s="8"/>
    </row>
    <row r="2580" spans="7:12" x14ac:dyDescent="0.2">
      <c r="G2580" s="45"/>
      <c r="L2580" s="8"/>
    </row>
    <row r="2581" spans="7:12" x14ac:dyDescent="0.2">
      <c r="G2581" s="45"/>
      <c r="L2581" s="8"/>
    </row>
    <row r="2582" spans="7:12" x14ac:dyDescent="0.2">
      <c r="G2582" s="45"/>
      <c r="L2582" s="8"/>
    </row>
    <row r="2583" spans="7:12" x14ac:dyDescent="0.2">
      <c r="G2583" s="45"/>
      <c r="L2583" s="8"/>
    </row>
    <row r="2584" spans="7:12" x14ac:dyDescent="0.2">
      <c r="G2584" s="45"/>
      <c r="L2584" s="8"/>
    </row>
    <row r="2585" spans="7:12" x14ac:dyDescent="0.2">
      <c r="G2585" s="45"/>
      <c r="L2585" s="8"/>
    </row>
    <row r="2586" spans="7:12" x14ac:dyDescent="0.2">
      <c r="G2586" s="45"/>
      <c r="L2586" s="8"/>
    </row>
    <row r="2587" spans="7:12" x14ac:dyDescent="0.2">
      <c r="G2587" s="45"/>
      <c r="L2587" s="8"/>
    </row>
    <row r="2588" spans="7:12" x14ac:dyDescent="0.2">
      <c r="G2588" s="45"/>
      <c r="L2588" s="8"/>
    </row>
    <row r="2589" spans="7:12" x14ac:dyDescent="0.2">
      <c r="G2589" s="45"/>
      <c r="L2589" s="8"/>
    </row>
    <row r="2590" spans="7:12" x14ac:dyDescent="0.2">
      <c r="G2590" s="45"/>
      <c r="L2590" s="8"/>
    </row>
    <row r="2591" spans="7:12" x14ac:dyDescent="0.2">
      <c r="G2591" s="45"/>
      <c r="L2591" s="8"/>
    </row>
    <row r="2592" spans="7:12" x14ac:dyDescent="0.2">
      <c r="G2592" s="45"/>
      <c r="L2592" s="8"/>
    </row>
    <row r="2593" spans="7:12" x14ac:dyDescent="0.2">
      <c r="G2593" s="45"/>
      <c r="L2593" s="8"/>
    </row>
    <row r="2594" spans="7:12" x14ac:dyDescent="0.2">
      <c r="G2594" s="45"/>
      <c r="L2594" s="8"/>
    </row>
    <row r="2595" spans="7:12" x14ac:dyDescent="0.2">
      <c r="G2595" s="45"/>
      <c r="L2595" s="8"/>
    </row>
    <row r="2596" spans="7:12" x14ac:dyDescent="0.2">
      <c r="G2596" s="45"/>
      <c r="L2596" s="8"/>
    </row>
    <row r="2597" spans="7:12" x14ac:dyDescent="0.2">
      <c r="G2597" s="45"/>
      <c r="L2597" s="8"/>
    </row>
    <row r="2598" spans="7:12" x14ac:dyDescent="0.2">
      <c r="G2598" s="45"/>
      <c r="L2598" s="8"/>
    </row>
    <row r="2599" spans="7:12" x14ac:dyDescent="0.2">
      <c r="G2599" s="45"/>
      <c r="L2599" s="8"/>
    </row>
    <row r="2600" spans="7:12" x14ac:dyDescent="0.2">
      <c r="G2600" s="45"/>
      <c r="L2600" s="8"/>
    </row>
    <row r="2601" spans="7:12" x14ac:dyDescent="0.2">
      <c r="G2601" s="45"/>
      <c r="L2601" s="8"/>
    </row>
    <row r="2602" spans="7:12" x14ac:dyDescent="0.2">
      <c r="G2602" s="45"/>
      <c r="L2602" s="8"/>
    </row>
    <row r="2603" spans="7:12" x14ac:dyDescent="0.2">
      <c r="G2603" s="45"/>
      <c r="L2603" s="8"/>
    </row>
    <row r="2604" spans="7:12" x14ac:dyDescent="0.2">
      <c r="G2604" s="45"/>
      <c r="L2604" s="8"/>
    </row>
    <row r="2605" spans="7:12" x14ac:dyDescent="0.2">
      <c r="G2605" s="45"/>
      <c r="L2605" s="8"/>
    </row>
    <row r="2606" spans="7:12" x14ac:dyDescent="0.2">
      <c r="G2606" s="45"/>
      <c r="L2606" s="8"/>
    </row>
    <row r="2607" spans="7:12" x14ac:dyDescent="0.2">
      <c r="G2607" s="45"/>
      <c r="L2607" s="8"/>
    </row>
    <row r="2608" spans="7:12" x14ac:dyDescent="0.2">
      <c r="G2608" s="45"/>
      <c r="L2608" s="8"/>
    </row>
    <row r="2609" spans="7:12" x14ac:dyDescent="0.2">
      <c r="G2609" s="45"/>
      <c r="L2609" s="8"/>
    </row>
    <row r="2610" spans="7:12" x14ac:dyDescent="0.2">
      <c r="G2610" s="45"/>
      <c r="L2610" s="8"/>
    </row>
    <row r="2611" spans="7:12" x14ac:dyDescent="0.2">
      <c r="G2611" s="45"/>
      <c r="L2611" s="8"/>
    </row>
    <row r="2612" spans="7:12" x14ac:dyDescent="0.2">
      <c r="G2612" s="45"/>
      <c r="L2612" s="8"/>
    </row>
    <row r="2613" spans="7:12" x14ac:dyDescent="0.2">
      <c r="G2613" s="45"/>
      <c r="L2613" s="8"/>
    </row>
    <row r="2614" spans="7:12" x14ac:dyDescent="0.2">
      <c r="G2614" s="45"/>
      <c r="L2614" s="8"/>
    </row>
    <row r="2615" spans="7:12" x14ac:dyDescent="0.2">
      <c r="G2615" s="45"/>
      <c r="L2615" s="8"/>
    </row>
    <row r="2616" spans="7:12" x14ac:dyDescent="0.2">
      <c r="G2616" s="45"/>
      <c r="L2616" s="8"/>
    </row>
    <row r="2617" spans="7:12" x14ac:dyDescent="0.2">
      <c r="G2617" s="45"/>
      <c r="L2617" s="8"/>
    </row>
    <row r="2618" spans="7:12" x14ac:dyDescent="0.2">
      <c r="G2618" s="45"/>
      <c r="L2618" s="8"/>
    </row>
    <row r="2619" spans="7:12" x14ac:dyDescent="0.2">
      <c r="G2619" s="45"/>
      <c r="L2619" s="8"/>
    </row>
    <row r="2620" spans="7:12" x14ac:dyDescent="0.2">
      <c r="G2620" s="45"/>
      <c r="L2620" s="8"/>
    </row>
    <row r="2621" spans="7:12" x14ac:dyDescent="0.2">
      <c r="G2621" s="45"/>
      <c r="L2621" s="8"/>
    </row>
    <row r="2622" spans="7:12" x14ac:dyDescent="0.2">
      <c r="G2622" s="45"/>
      <c r="L2622" s="8"/>
    </row>
    <row r="2623" spans="7:12" x14ac:dyDescent="0.2">
      <c r="G2623" s="45"/>
      <c r="L2623" s="8"/>
    </row>
    <row r="2624" spans="7:12" x14ac:dyDescent="0.2">
      <c r="G2624" s="45"/>
      <c r="L2624" s="8"/>
    </row>
    <row r="2625" spans="7:12" x14ac:dyDescent="0.2">
      <c r="G2625" s="45"/>
      <c r="L2625" s="8"/>
    </row>
    <row r="2626" spans="7:12" x14ac:dyDescent="0.2">
      <c r="G2626" s="45"/>
      <c r="L2626" s="8"/>
    </row>
    <row r="2627" spans="7:12" x14ac:dyDescent="0.2">
      <c r="G2627" s="45"/>
      <c r="L2627" s="8"/>
    </row>
    <row r="2628" spans="7:12" x14ac:dyDescent="0.2">
      <c r="G2628" s="45"/>
      <c r="L2628" s="8"/>
    </row>
    <row r="2629" spans="7:12" x14ac:dyDescent="0.2">
      <c r="G2629" s="45"/>
      <c r="L2629" s="8"/>
    </row>
    <row r="2630" spans="7:12" x14ac:dyDescent="0.2">
      <c r="G2630" s="45"/>
      <c r="L2630" s="8"/>
    </row>
    <row r="2631" spans="7:12" x14ac:dyDescent="0.2">
      <c r="G2631" s="45"/>
      <c r="L2631" s="8"/>
    </row>
    <row r="2632" spans="7:12" x14ac:dyDescent="0.2">
      <c r="G2632" s="45"/>
      <c r="L2632" s="8"/>
    </row>
    <row r="2633" spans="7:12" x14ac:dyDescent="0.2">
      <c r="G2633" s="45"/>
      <c r="L2633" s="8"/>
    </row>
    <row r="2634" spans="7:12" x14ac:dyDescent="0.2">
      <c r="G2634" s="45"/>
      <c r="L2634" s="8"/>
    </row>
    <row r="2635" spans="7:12" x14ac:dyDescent="0.2">
      <c r="G2635" s="45"/>
      <c r="L2635" s="8"/>
    </row>
    <row r="2636" spans="7:12" x14ac:dyDescent="0.2">
      <c r="G2636" s="45"/>
      <c r="L2636" s="8"/>
    </row>
    <row r="2637" spans="7:12" x14ac:dyDescent="0.2">
      <c r="G2637" s="45"/>
      <c r="L2637" s="8"/>
    </row>
    <row r="2638" spans="7:12" x14ac:dyDescent="0.2">
      <c r="G2638" s="45"/>
      <c r="L2638" s="8"/>
    </row>
    <row r="2639" spans="7:12" x14ac:dyDescent="0.2">
      <c r="G2639" s="45"/>
      <c r="L2639" s="8"/>
    </row>
    <row r="2640" spans="7:12" x14ac:dyDescent="0.2">
      <c r="G2640" s="45"/>
      <c r="L2640" s="8"/>
    </row>
    <row r="2641" spans="7:12" x14ac:dyDescent="0.2">
      <c r="G2641" s="45"/>
      <c r="L2641" s="8"/>
    </row>
    <row r="2642" spans="7:12" x14ac:dyDescent="0.2">
      <c r="G2642" s="45"/>
      <c r="L2642" s="8"/>
    </row>
    <row r="2643" spans="7:12" x14ac:dyDescent="0.2">
      <c r="G2643" s="45"/>
      <c r="L2643" s="8"/>
    </row>
    <row r="2644" spans="7:12" x14ac:dyDescent="0.2">
      <c r="G2644" s="45"/>
      <c r="L2644" s="8"/>
    </row>
    <row r="2645" spans="7:12" x14ac:dyDescent="0.2">
      <c r="G2645" s="45"/>
      <c r="L2645" s="8"/>
    </row>
    <row r="2646" spans="7:12" x14ac:dyDescent="0.2">
      <c r="G2646" s="45"/>
      <c r="L2646" s="8"/>
    </row>
    <row r="2647" spans="7:12" x14ac:dyDescent="0.2">
      <c r="G2647" s="45"/>
      <c r="L2647" s="8"/>
    </row>
    <row r="2648" spans="7:12" x14ac:dyDescent="0.2">
      <c r="G2648" s="45"/>
      <c r="L2648" s="8"/>
    </row>
    <row r="2649" spans="7:12" x14ac:dyDescent="0.2">
      <c r="G2649" s="45"/>
      <c r="L2649" s="8"/>
    </row>
    <row r="2650" spans="7:12" x14ac:dyDescent="0.2">
      <c r="G2650" s="45"/>
      <c r="L2650" s="8"/>
    </row>
    <row r="2651" spans="7:12" x14ac:dyDescent="0.2">
      <c r="G2651" s="45"/>
      <c r="L2651" s="8"/>
    </row>
    <row r="2652" spans="7:12" x14ac:dyDescent="0.2">
      <c r="G2652" s="45"/>
      <c r="L2652" s="8"/>
    </row>
    <row r="2653" spans="7:12" x14ac:dyDescent="0.2">
      <c r="G2653" s="45"/>
      <c r="L2653" s="8"/>
    </row>
    <row r="2654" spans="7:12" x14ac:dyDescent="0.2">
      <c r="G2654" s="45"/>
      <c r="L2654" s="8"/>
    </row>
    <row r="2655" spans="7:12" x14ac:dyDescent="0.2">
      <c r="G2655" s="45"/>
      <c r="L2655" s="8"/>
    </row>
    <row r="2656" spans="7:12" x14ac:dyDescent="0.2">
      <c r="G2656" s="45"/>
      <c r="L2656" s="8"/>
    </row>
    <row r="2657" spans="7:12" x14ac:dyDescent="0.2">
      <c r="G2657" s="45"/>
      <c r="L2657" s="8"/>
    </row>
    <row r="2658" spans="7:12" x14ac:dyDescent="0.2">
      <c r="G2658" s="45"/>
      <c r="L2658" s="8"/>
    </row>
    <row r="2659" spans="7:12" x14ac:dyDescent="0.2">
      <c r="G2659" s="45"/>
      <c r="L2659" s="8"/>
    </row>
    <row r="2660" spans="7:12" x14ac:dyDescent="0.2">
      <c r="G2660" s="45"/>
      <c r="L2660" s="8"/>
    </row>
    <row r="2661" spans="7:12" x14ac:dyDescent="0.2">
      <c r="G2661" s="45"/>
      <c r="L2661" s="8"/>
    </row>
    <row r="2662" spans="7:12" x14ac:dyDescent="0.2">
      <c r="G2662" s="45"/>
      <c r="L2662" s="8"/>
    </row>
    <row r="2663" spans="7:12" x14ac:dyDescent="0.2">
      <c r="G2663" s="45"/>
      <c r="L2663" s="8"/>
    </row>
    <row r="2664" spans="7:12" x14ac:dyDescent="0.2">
      <c r="G2664" s="45"/>
      <c r="L2664" s="8"/>
    </row>
    <row r="2665" spans="7:12" x14ac:dyDescent="0.2">
      <c r="G2665" s="45"/>
      <c r="L2665" s="8"/>
    </row>
    <row r="2666" spans="7:12" x14ac:dyDescent="0.2">
      <c r="G2666" s="45"/>
      <c r="L2666" s="8"/>
    </row>
    <row r="2667" spans="7:12" x14ac:dyDescent="0.2">
      <c r="G2667" s="45"/>
      <c r="L2667" s="8"/>
    </row>
    <row r="2668" spans="7:12" x14ac:dyDescent="0.2">
      <c r="G2668" s="45"/>
      <c r="L2668" s="8"/>
    </row>
    <row r="2669" spans="7:12" x14ac:dyDescent="0.2">
      <c r="G2669" s="45"/>
      <c r="L2669" s="8"/>
    </row>
    <row r="2670" spans="7:12" x14ac:dyDescent="0.2">
      <c r="G2670" s="45"/>
      <c r="L2670" s="8"/>
    </row>
    <row r="2671" spans="7:12" x14ac:dyDescent="0.2">
      <c r="G2671" s="45"/>
      <c r="L2671" s="8"/>
    </row>
    <row r="2672" spans="7:12" x14ac:dyDescent="0.2">
      <c r="G2672" s="45"/>
      <c r="L2672" s="8"/>
    </row>
    <row r="2673" spans="7:12" x14ac:dyDescent="0.2">
      <c r="G2673" s="45"/>
      <c r="L2673" s="8"/>
    </row>
    <row r="2674" spans="7:12" x14ac:dyDescent="0.2">
      <c r="G2674" s="45"/>
      <c r="L2674" s="8"/>
    </row>
    <row r="2675" spans="7:12" x14ac:dyDescent="0.2">
      <c r="G2675" s="45"/>
      <c r="L2675" s="8"/>
    </row>
    <row r="2676" spans="7:12" x14ac:dyDescent="0.2">
      <c r="G2676" s="45"/>
      <c r="L2676" s="8"/>
    </row>
    <row r="2677" spans="7:12" x14ac:dyDescent="0.2">
      <c r="G2677" s="45"/>
      <c r="L2677" s="8"/>
    </row>
    <row r="2678" spans="7:12" x14ac:dyDescent="0.2">
      <c r="G2678" s="45"/>
      <c r="L2678" s="8"/>
    </row>
    <row r="2679" spans="7:12" x14ac:dyDescent="0.2">
      <c r="G2679" s="45"/>
      <c r="L2679" s="8"/>
    </row>
    <row r="2680" spans="7:12" x14ac:dyDescent="0.2">
      <c r="G2680" s="45"/>
      <c r="L2680" s="8"/>
    </row>
    <row r="2681" spans="7:12" x14ac:dyDescent="0.2">
      <c r="G2681" s="45"/>
      <c r="L2681" s="8"/>
    </row>
    <row r="2682" spans="7:12" x14ac:dyDescent="0.2">
      <c r="G2682" s="45"/>
      <c r="L2682" s="8"/>
    </row>
    <row r="2683" spans="7:12" x14ac:dyDescent="0.2">
      <c r="G2683" s="45"/>
      <c r="L2683" s="8"/>
    </row>
    <row r="2684" spans="7:12" x14ac:dyDescent="0.2">
      <c r="G2684" s="45"/>
      <c r="L2684" s="8"/>
    </row>
    <row r="2685" spans="7:12" x14ac:dyDescent="0.2">
      <c r="G2685" s="45"/>
      <c r="L2685" s="8"/>
    </row>
    <row r="2686" spans="7:12" x14ac:dyDescent="0.2">
      <c r="G2686" s="45"/>
      <c r="L2686" s="8"/>
    </row>
    <row r="2687" spans="7:12" x14ac:dyDescent="0.2">
      <c r="G2687" s="45"/>
      <c r="L2687" s="8"/>
    </row>
    <row r="2688" spans="7:12" x14ac:dyDescent="0.2">
      <c r="G2688" s="45"/>
      <c r="L2688" s="8"/>
    </row>
    <row r="2689" spans="7:12" x14ac:dyDescent="0.2">
      <c r="G2689" s="45"/>
      <c r="L2689" s="8"/>
    </row>
    <row r="2690" spans="7:12" x14ac:dyDescent="0.2">
      <c r="G2690" s="45"/>
      <c r="L2690" s="8"/>
    </row>
    <row r="2691" spans="7:12" x14ac:dyDescent="0.2">
      <c r="G2691" s="45"/>
      <c r="L2691" s="8"/>
    </row>
    <row r="2692" spans="7:12" x14ac:dyDescent="0.2">
      <c r="G2692" s="45"/>
      <c r="L2692" s="8"/>
    </row>
    <row r="2693" spans="7:12" x14ac:dyDescent="0.2">
      <c r="G2693" s="45"/>
      <c r="L2693" s="8"/>
    </row>
    <row r="2694" spans="7:12" x14ac:dyDescent="0.2">
      <c r="G2694" s="45"/>
      <c r="L2694" s="8"/>
    </row>
    <row r="2695" spans="7:12" x14ac:dyDescent="0.2">
      <c r="G2695" s="45"/>
      <c r="L2695" s="8"/>
    </row>
    <row r="2696" spans="7:12" x14ac:dyDescent="0.2">
      <c r="G2696" s="45"/>
      <c r="L2696" s="8"/>
    </row>
    <row r="2697" spans="7:12" x14ac:dyDescent="0.2">
      <c r="G2697" s="45"/>
      <c r="L2697" s="8"/>
    </row>
    <row r="2698" spans="7:12" x14ac:dyDescent="0.2">
      <c r="G2698" s="45"/>
      <c r="L2698" s="8"/>
    </row>
    <row r="2699" spans="7:12" x14ac:dyDescent="0.2">
      <c r="G2699" s="45"/>
      <c r="L2699" s="8"/>
    </row>
    <row r="2700" spans="7:12" x14ac:dyDescent="0.2">
      <c r="G2700" s="45"/>
      <c r="L2700" s="8"/>
    </row>
    <row r="2701" spans="7:12" x14ac:dyDescent="0.2">
      <c r="G2701" s="45"/>
      <c r="L2701" s="8"/>
    </row>
    <row r="2702" spans="7:12" x14ac:dyDescent="0.2">
      <c r="G2702" s="45"/>
      <c r="L2702" s="8"/>
    </row>
    <row r="2703" spans="7:12" x14ac:dyDescent="0.2">
      <c r="G2703" s="45"/>
      <c r="L2703" s="8"/>
    </row>
    <row r="2704" spans="7:12" x14ac:dyDescent="0.2">
      <c r="G2704" s="45"/>
      <c r="L2704" s="8"/>
    </row>
    <row r="2705" spans="7:12" x14ac:dyDescent="0.2">
      <c r="G2705" s="45"/>
      <c r="L2705" s="8"/>
    </row>
    <row r="2706" spans="7:12" x14ac:dyDescent="0.2">
      <c r="G2706" s="45"/>
      <c r="L2706" s="8"/>
    </row>
    <row r="2707" spans="7:12" x14ac:dyDescent="0.2">
      <c r="G2707" s="45"/>
      <c r="L2707" s="8"/>
    </row>
    <row r="2708" spans="7:12" x14ac:dyDescent="0.2">
      <c r="G2708" s="45"/>
      <c r="L2708" s="8"/>
    </row>
    <row r="2709" spans="7:12" x14ac:dyDescent="0.2">
      <c r="G2709" s="45"/>
      <c r="L2709" s="8"/>
    </row>
    <row r="2710" spans="7:12" x14ac:dyDescent="0.2">
      <c r="G2710" s="45"/>
      <c r="L2710" s="8"/>
    </row>
    <row r="2711" spans="7:12" x14ac:dyDescent="0.2">
      <c r="G2711" s="45"/>
      <c r="L2711" s="8"/>
    </row>
    <row r="2712" spans="7:12" x14ac:dyDescent="0.2">
      <c r="G2712" s="45"/>
      <c r="L2712" s="8"/>
    </row>
    <row r="2713" spans="7:12" x14ac:dyDescent="0.2">
      <c r="G2713" s="45"/>
      <c r="L2713" s="8"/>
    </row>
    <row r="2714" spans="7:12" x14ac:dyDescent="0.2">
      <c r="G2714" s="45"/>
      <c r="L2714" s="8"/>
    </row>
    <row r="2715" spans="7:12" x14ac:dyDescent="0.2">
      <c r="G2715" s="45"/>
      <c r="L2715" s="8"/>
    </row>
    <row r="2716" spans="7:12" x14ac:dyDescent="0.2">
      <c r="G2716" s="45"/>
      <c r="L2716" s="8"/>
    </row>
    <row r="2717" spans="7:12" x14ac:dyDescent="0.2">
      <c r="G2717" s="45"/>
      <c r="L2717" s="8"/>
    </row>
    <row r="2718" spans="7:12" x14ac:dyDescent="0.2">
      <c r="G2718" s="45"/>
      <c r="L2718" s="8"/>
    </row>
    <row r="2719" spans="7:12" x14ac:dyDescent="0.2">
      <c r="G2719" s="45"/>
      <c r="L2719" s="8"/>
    </row>
    <row r="2720" spans="7:12" x14ac:dyDescent="0.2">
      <c r="G2720" s="45"/>
      <c r="L2720" s="8"/>
    </row>
    <row r="2721" spans="7:12" x14ac:dyDescent="0.2">
      <c r="G2721" s="45"/>
      <c r="L2721" s="8"/>
    </row>
    <row r="2722" spans="7:12" x14ac:dyDescent="0.2">
      <c r="G2722" s="45"/>
      <c r="L2722" s="8"/>
    </row>
    <row r="2723" spans="7:12" x14ac:dyDescent="0.2">
      <c r="G2723" s="45"/>
      <c r="L2723" s="8"/>
    </row>
    <row r="2724" spans="7:12" x14ac:dyDescent="0.2">
      <c r="G2724" s="45"/>
      <c r="L2724" s="8"/>
    </row>
    <row r="2725" spans="7:12" x14ac:dyDescent="0.2">
      <c r="G2725" s="45"/>
      <c r="L2725" s="8"/>
    </row>
    <row r="2726" spans="7:12" x14ac:dyDescent="0.2">
      <c r="G2726" s="45"/>
      <c r="L2726" s="8"/>
    </row>
    <row r="2727" spans="7:12" x14ac:dyDescent="0.2">
      <c r="G2727" s="45"/>
      <c r="L2727" s="8"/>
    </row>
    <row r="2728" spans="7:12" x14ac:dyDescent="0.2">
      <c r="G2728" s="45"/>
      <c r="L2728" s="8"/>
    </row>
    <row r="2729" spans="7:12" x14ac:dyDescent="0.2">
      <c r="G2729" s="45"/>
      <c r="L2729" s="8"/>
    </row>
    <row r="2730" spans="7:12" x14ac:dyDescent="0.2">
      <c r="G2730" s="45"/>
      <c r="L2730" s="8"/>
    </row>
    <row r="2731" spans="7:12" x14ac:dyDescent="0.2">
      <c r="G2731" s="45"/>
      <c r="L2731" s="8"/>
    </row>
    <row r="2732" spans="7:12" x14ac:dyDescent="0.2">
      <c r="G2732" s="45"/>
      <c r="L2732" s="8"/>
    </row>
    <row r="2733" spans="7:12" x14ac:dyDescent="0.2">
      <c r="G2733" s="45"/>
      <c r="L2733" s="8"/>
    </row>
    <row r="2734" spans="7:12" x14ac:dyDescent="0.2">
      <c r="G2734" s="45"/>
      <c r="L2734" s="8"/>
    </row>
    <row r="2735" spans="7:12" x14ac:dyDescent="0.2">
      <c r="G2735" s="45"/>
      <c r="L2735" s="8"/>
    </row>
    <row r="2736" spans="7:12" x14ac:dyDescent="0.2">
      <c r="G2736" s="45"/>
      <c r="L2736" s="8"/>
    </row>
    <row r="2737" spans="7:12" x14ac:dyDescent="0.2">
      <c r="G2737" s="45"/>
      <c r="L2737" s="8"/>
    </row>
    <row r="2738" spans="7:12" x14ac:dyDescent="0.2">
      <c r="G2738" s="45"/>
      <c r="L2738" s="8"/>
    </row>
    <row r="2739" spans="7:12" x14ac:dyDescent="0.2">
      <c r="G2739" s="45"/>
      <c r="L2739" s="8"/>
    </row>
    <row r="2740" spans="7:12" x14ac:dyDescent="0.2">
      <c r="G2740" s="45"/>
      <c r="L2740" s="8"/>
    </row>
    <row r="2741" spans="7:12" x14ac:dyDescent="0.2">
      <c r="G2741" s="45"/>
      <c r="L2741" s="8"/>
    </row>
    <row r="2742" spans="7:12" x14ac:dyDescent="0.2">
      <c r="G2742" s="45"/>
      <c r="L2742" s="8"/>
    </row>
    <row r="2743" spans="7:12" x14ac:dyDescent="0.2">
      <c r="G2743" s="45"/>
      <c r="L2743" s="8"/>
    </row>
    <row r="2744" spans="7:12" x14ac:dyDescent="0.2">
      <c r="G2744" s="45"/>
      <c r="L2744" s="8"/>
    </row>
    <row r="2745" spans="7:12" x14ac:dyDescent="0.2">
      <c r="G2745" s="45"/>
      <c r="L2745" s="8"/>
    </row>
    <row r="2746" spans="7:12" x14ac:dyDescent="0.2">
      <c r="G2746" s="45"/>
      <c r="L2746" s="8"/>
    </row>
    <row r="2747" spans="7:12" x14ac:dyDescent="0.2">
      <c r="G2747" s="45"/>
      <c r="L2747" s="8"/>
    </row>
    <row r="2748" spans="7:12" x14ac:dyDescent="0.2">
      <c r="G2748" s="45"/>
      <c r="L2748" s="8"/>
    </row>
    <row r="2749" spans="7:12" x14ac:dyDescent="0.2">
      <c r="G2749" s="45"/>
      <c r="L2749" s="8"/>
    </row>
    <row r="2750" spans="7:12" x14ac:dyDescent="0.2">
      <c r="G2750" s="45"/>
      <c r="L2750" s="8"/>
    </row>
    <row r="2751" spans="7:12" x14ac:dyDescent="0.2">
      <c r="G2751" s="45"/>
      <c r="L2751" s="8"/>
    </row>
    <row r="2752" spans="7:12" x14ac:dyDescent="0.2">
      <c r="G2752" s="45"/>
      <c r="L2752" s="8"/>
    </row>
    <row r="2753" spans="7:12" x14ac:dyDescent="0.2">
      <c r="G2753" s="45"/>
      <c r="L2753" s="8"/>
    </row>
    <row r="2754" spans="7:12" x14ac:dyDescent="0.2">
      <c r="G2754" s="45"/>
      <c r="L2754" s="8"/>
    </row>
    <row r="2755" spans="7:12" x14ac:dyDescent="0.2">
      <c r="G2755" s="45"/>
      <c r="L2755" s="8"/>
    </row>
    <row r="2756" spans="7:12" x14ac:dyDescent="0.2">
      <c r="G2756" s="45"/>
      <c r="L2756" s="8"/>
    </row>
    <row r="2757" spans="7:12" x14ac:dyDescent="0.2">
      <c r="G2757" s="45"/>
      <c r="L2757" s="8"/>
    </row>
    <row r="2758" spans="7:12" x14ac:dyDescent="0.2">
      <c r="G2758" s="45"/>
      <c r="L2758" s="8"/>
    </row>
    <row r="2759" spans="7:12" x14ac:dyDescent="0.2">
      <c r="G2759" s="45"/>
      <c r="L2759" s="8"/>
    </row>
    <row r="2760" spans="7:12" x14ac:dyDescent="0.2">
      <c r="G2760" s="45"/>
      <c r="L2760" s="8"/>
    </row>
    <row r="2761" spans="7:12" x14ac:dyDescent="0.2">
      <c r="G2761" s="45"/>
      <c r="L2761" s="8"/>
    </row>
    <row r="2762" spans="7:12" x14ac:dyDescent="0.2">
      <c r="G2762" s="45"/>
      <c r="L2762" s="8"/>
    </row>
    <row r="2763" spans="7:12" x14ac:dyDescent="0.2">
      <c r="G2763" s="45"/>
      <c r="L2763" s="8"/>
    </row>
    <row r="2764" spans="7:12" x14ac:dyDescent="0.2">
      <c r="G2764" s="45"/>
      <c r="L2764" s="8"/>
    </row>
    <row r="2765" spans="7:12" x14ac:dyDescent="0.2">
      <c r="G2765" s="45"/>
      <c r="L2765" s="8"/>
    </row>
    <row r="2766" spans="7:12" x14ac:dyDescent="0.2">
      <c r="G2766" s="45"/>
      <c r="L2766" s="8"/>
    </row>
    <row r="2767" spans="7:12" x14ac:dyDescent="0.2">
      <c r="G2767" s="45"/>
      <c r="L2767" s="8"/>
    </row>
    <row r="2768" spans="7:12" x14ac:dyDescent="0.2">
      <c r="G2768" s="45"/>
      <c r="L2768" s="8"/>
    </row>
    <row r="2769" spans="7:12" x14ac:dyDescent="0.2">
      <c r="G2769" s="45"/>
      <c r="L2769" s="8"/>
    </row>
    <row r="2770" spans="7:12" x14ac:dyDescent="0.2">
      <c r="G2770" s="45"/>
      <c r="L2770" s="8"/>
    </row>
    <row r="2771" spans="7:12" x14ac:dyDescent="0.2">
      <c r="G2771" s="45"/>
      <c r="L2771" s="8"/>
    </row>
    <row r="2772" spans="7:12" x14ac:dyDescent="0.2">
      <c r="G2772" s="45"/>
      <c r="L2772" s="8"/>
    </row>
    <row r="2773" spans="7:12" x14ac:dyDescent="0.2">
      <c r="G2773" s="45"/>
      <c r="L2773" s="8"/>
    </row>
    <row r="2774" spans="7:12" x14ac:dyDescent="0.2">
      <c r="G2774" s="45"/>
      <c r="L2774" s="8"/>
    </row>
    <row r="2775" spans="7:12" x14ac:dyDescent="0.2">
      <c r="G2775" s="45"/>
      <c r="L2775" s="8"/>
    </row>
    <row r="2776" spans="7:12" x14ac:dyDescent="0.2">
      <c r="G2776" s="45"/>
      <c r="L2776" s="8"/>
    </row>
    <row r="2777" spans="7:12" x14ac:dyDescent="0.2">
      <c r="G2777" s="45"/>
      <c r="L2777" s="8"/>
    </row>
    <row r="2778" spans="7:12" x14ac:dyDescent="0.2">
      <c r="G2778" s="45"/>
      <c r="L2778" s="8"/>
    </row>
    <row r="2779" spans="7:12" x14ac:dyDescent="0.2">
      <c r="G2779" s="45"/>
      <c r="L2779" s="8"/>
    </row>
    <row r="2780" spans="7:12" x14ac:dyDescent="0.2">
      <c r="G2780" s="45"/>
      <c r="L2780" s="8"/>
    </row>
    <row r="2781" spans="7:12" x14ac:dyDescent="0.2">
      <c r="G2781" s="45"/>
      <c r="L2781" s="8"/>
    </row>
    <row r="2782" spans="7:12" x14ac:dyDescent="0.2">
      <c r="G2782" s="45"/>
      <c r="L2782" s="8"/>
    </row>
    <row r="2783" spans="7:12" x14ac:dyDescent="0.2">
      <c r="G2783" s="45"/>
      <c r="L2783" s="8"/>
    </row>
    <row r="2784" spans="7:12" x14ac:dyDescent="0.2">
      <c r="G2784" s="45"/>
      <c r="L2784" s="8"/>
    </row>
    <row r="2785" spans="7:12" x14ac:dyDescent="0.2">
      <c r="G2785" s="45"/>
      <c r="L2785" s="8"/>
    </row>
    <row r="2786" spans="7:12" x14ac:dyDescent="0.2">
      <c r="G2786" s="45"/>
      <c r="L2786" s="8"/>
    </row>
    <row r="2787" spans="7:12" x14ac:dyDescent="0.2">
      <c r="G2787" s="45"/>
      <c r="L2787" s="8"/>
    </row>
    <row r="2788" spans="7:12" x14ac:dyDescent="0.2">
      <c r="G2788" s="45"/>
      <c r="L2788" s="8"/>
    </row>
    <row r="2789" spans="7:12" x14ac:dyDescent="0.2">
      <c r="G2789" s="45"/>
      <c r="L2789" s="8"/>
    </row>
    <row r="2790" spans="7:12" x14ac:dyDescent="0.2">
      <c r="G2790" s="45"/>
      <c r="L2790" s="8"/>
    </row>
    <row r="2791" spans="7:12" x14ac:dyDescent="0.2">
      <c r="G2791" s="45"/>
      <c r="L2791" s="8"/>
    </row>
    <row r="2792" spans="7:12" x14ac:dyDescent="0.2">
      <c r="G2792" s="45"/>
      <c r="L2792" s="8"/>
    </row>
    <row r="2793" spans="7:12" x14ac:dyDescent="0.2">
      <c r="G2793" s="45"/>
      <c r="L2793" s="8"/>
    </row>
    <row r="2794" spans="7:12" x14ac:dyDescent="0.2">
      <c r="G2794" s="45"/>
      <c r="L2794" s="8"/>
    </row>
    <row r="2795" spans="7:12" x14ac:dyDescent="0.2">
      <c r="G2795" s="45"/>
      <c r="L2795" s="8"/>
    </row>
    <row r="2796" spans="7:12" x14ac:dyDescent="0.2">
      <c r="G2796" s="45"/>
      <c r="L2796" s="8"/>
    </row>
    <row r="2797" spans="7:12" x14ac:dyDescent="0.2">
      <c r="G2797" s="45"/>
      <c r="L2797" s="8"/>
    </row>
    <row r="2798" spans="7:12" x14ac:dyDescent="0.2">
      <c r="G2798" s="45"/>
      <c r="L2798" s="8"/>
    </row>
    <row r="2799" spans="7:12" x14ac:dyDescent="0.2">
      <c r="G2799" s="45"/>
      <c r="L2799" s="8"/>
    </row>
    <row r="2800" spans="7:12" x14ac:dyDescent="0.2">
      <c r="G2800" s="45"/>
      <c r="L2800" s="8"/>
    </row>
    <row r="2801" spans="7:12" x14ac:dyDescent="0.2">
      <c r="G2801" s="45"/>
      <c r="L2801" s="8"/>
    </row>
    <row r="2802" spans="7:12" x14ac:dyDescent="0.2">
      <c r="G2802" s="45"/>
      <c r="L2802" s="8"/>
    </row>
    <row r="2803" spans="7:12" x14ac:dyDescent="0.2">
      <c r="G2803" s="45"/>
      <c r="L2803" s="8"/>
    </row>
    <row r="2804" spans="7:12" x14ac:dyDescent="0.2">
      <c r="G2804" s="45"/>
      <c r="L2804" s="8"/>
    </row>
    <row r="2805" spans="7:12" x14ac:dyDescent="0.2">
      <c r="G2805" s="45"/>
      <c r="L2805" s="8"/>
    </row>
    <row r="2806" spans="7:12" x14ac:dyDescent="0.2">
      <c r="G2806" s="45"/>
      <c r="L2806" s="8"/>
    </row>
    <row r="2807" spans="7:12" x14ac:dyDescent="0.2">
      <c r="G2807" s="45"/>
      <c r="L2807" s="8"/>
    </row>
    <row r="2808" spans="7:12" x14ac:dyDescent="0.2">
      <c r="G2808" s="45"/>
      <c r="L2808" s="8"/>
    </row>
    <row r="2809" spans="7:12" x14ac:dyDescent="0.2">
      <c r="G2809" s="45"/>
      <c r="L2809" s="8"/>
    </row>
    <row r="2810" spans="7:12" x14ac:dyDescent="0.2">
      <c r="G2810" s="45"/>
      <c r="L2810" s="8"/>
    </row>
    <row r="2811" spans="7:12" x14ac:dyDescent="0.2">
      <c r="G2811" s="45"/>
      <c r="L2811" s="8"/>
    </row>
    <row r="2812" spans="7:12" x14ac:dyDescent="0.2">
      <c r="G2812" s="45"/>
      <c r="L2812" s="8"/>
    </row>
    <row r="2813" spans="7:12" x14ac:dyDescent="0.2">
      <c r="G2813" s="45"/>
      <c r="L2813" s="8"/>
    </row>
    <row r="2814" spans="7:12" x14ac:dyDescent="0.2">
      <c r="G2814" s="45"/>
      <c r="L2814" s="8"/>
    </row>
    <row r="2815" spans="7:12" x14ac:dyDescent="0.2">
      <c r="G2815" s="45"/>
      <c r="L2815" s="8"/>
    </row>
    <row r="2816" spans="7:12" x14ac:dyDescent="0.2">
      <c r="G2816" s="45"/>
      <c r="L2816" s="8"/>
    </row>
    <row r="2817" spans="7:12" x14ac:dyDescent="0.2">
      <c r="G2817" s="45"/>
      <c r="L2817" s="8"/>
    </row>
    <row r="2818" spans="7:12" x14ac:dyDescent="0.2">
      <c r="G2818" s="45"/>
      <c r="L2818" s="8"/>
    </row>
    <row r="2819" spans="7:12" x14ac:dyDescent="0.2">
      <c r="G2819" s="45"/>
      <c r="L2819" s="8"/>
    </row>
    <row r="2820" spans="7:12" x14ac:dyDescent="0.2">
      <c r="G2820" s="45"/>
      <c r="L2820" s="8"/>
    </row>
    <row r="2821" spans="7:12" x14ac:dyDescent="0.2">
      <c r="G2821" s="45"/>
      <c r="L2821" s="8"/>
    </row>
    <row r="2822" spans="7:12" x14ac:dyDescent="0.2">
      <c r="G2822" s="45"/>
      <c r="L2822" s="8"/>
    </row>
    <row r="2823" spans="7:12" x14ac:dyDescent="0.2">
      <c r="G2823" s="45"/>
      <c r="L2823" s="8"/>
    </row>
    <row r="2824" spans="7:12" x14ac:dyDescent="0.2">
      <c r="G2824" s="45"/>
      <c r="L2824" s="8"/>
    </row>
    <row r="2825" spans="7:12" x14ac:dyDescent="0.2">
      <c r="G2825" s="45"/>
      <c r="L2825" s="8"/>
    </row>
    <row r="2826" spans="7:12" x14ac:dyDescent="0.2">
      <c r="G2826" s="45"/>
      <c r="L2826" s="8"/>
    </row>
    <row r="2827" spans="7:12" x14ac:dyDescent="0.2">
      <c r="G2827" s="45"/>
      <c r="L2827" s="8"/>
    </row>
    <row r="2828" spans="7:12" x14ac:dyDescent="0.2">
      <c r="G2828" s="45"/>
      <c r="L2828" s="8"/>
    </row>
    <row r="2829" spans="7:12" x14ac:dyDescent="0.2">
      <c r="G2829" s="45"/>
      <c r="L2829" s="8"/>
    </row>
    <row r="2830" spans="7:12" x14ac:dyDescent="0.2">
      <c r="G2830" s="45"/>
      <c r="L2830" s="8"/>
    </row>
    <row r="2831" spans="7:12" x14ac:dyDescent="0.2">
      <c r="G2831" s="45"/>
      <c r="L2831" s="8"/>
    </row>
    <row r="2832" spans="7:12" x14ac:dyDescent="0.2">
      <c r="G2832" s="45"/>
      <c r="L2832" s="8"/>
    </row>
    <row r="2833" spans="7:12" x14ac:dyDescent="0.2">
      <c r="G2833" s="45"/>
      <c r="L2833" s="8"/>
    </row>
    <row r="2834" spans="7:12" x14ac:dyDescent="0.2">
      <c r="G2834" s="45"/>
      <c r="L2834" s="8"/>
    </row>
    <row r="2835" spans="7:12" x14ac:dyDescent="0.2">
      <c r="G2835" s="45"/>
      <c r="L2835" s="8"/>
    </row>
    <row r="2836" spans="7:12" x14ac:dyDescent="0.2">
      <c r="G2836" s="45"/>
      <c r="L2836" s="8"/>
    </row>
    <row r="2837" spans="7:12" x14ac:dyDescent="0.2">
      <c r="G2837" s="45"/>
      <c r="L2837" s="8"/>
    </row>
    <row r="2838" spans="7:12" x14ac:dyDescent="0.2">
      <c r="G2838" s="45"/>
      <c r="L2838" s="8"/>
    </row>
    <row r="2839" spans="7:12" x14ac:dyDescent="0.2">
      <c r="G2839" s="45"/>
      <c r="L2839" s="8"/>
    </row>
    <row r="2840" spans="7:12" x14ac:dyDescent="0.2">
      <c r="G2840" s="45"/>
      <c r="L2840" s="8"/>
    </row>
    <row r="2841" spans="7:12" x14ac:dyDescent="0.2">
      <c r="G2841" s="45"/>
      <c r="L2841" s="8"/>
    </row>
    <row r="2842" spans="7:12" x14ac:dyDescent="0.2">
      <c r="G2842" s="45"/>
      <c r="L2842" s="8"/>
    </row>
    <row r="2843" spans="7:12" x14ac:dyDescent="0.2">
      <c r="G2843" s="45"/>
      <c r="L2843" s="8"/>
    </row>
    <row r="2844" spans="7:12" x14ac:dyDescent="0.2">
      <c r="G2844" s="45"/>
      <c r="L2844" s="8"/>
    </row>
    <row r="2845" spans="7:12" x14ac:dyDescent="0.2">
      <c r="G2845" s="45"/>
      <c r="L2845" s="8"/>
    </row>
    <row r="2846" spans="7:12" x14ac:dyDescent="0.2">
      <c r="G2846" s="45"/>
      <c r="L2846" s="8"/>
    </row>
    <row r="2847" spans="7:12" x14ac:dyDescent="0.2">
      <c r="G2847" s="45"/>
      <c r="L2847" s="8"/>
    </row>
    <row r="2848" spans="7:12" x14ac:dyDescent="0.2">
      <c r="G2848" s="45"/>
      <c r="L2848" s="8"/>
    </row>
    <row r="2849" spans="7:12" x14ac:dyDescent="0.2">
      <c r="G2849" s="45"/>
      <c r="L2849" s="8"/>
    </row>
    <row r="2850" spans="7:12" x14ac:dyDescent="0.2">
      <c r="G2850" s="45"/>
      <c r="L2850" s="8"/>
    </row>
    <row r="2851" spans="7:12" x14ac:dyDescent="0.2">
      <c r="G2851" s="45"/>
      <c r="L2851" s="8"/>
    </row>
    <row r="2852" spans="7:12" x14ac:dyDescent="0.2">
      <c r="G2852" s="45"/>
      <c r="L2852" s="8"/>
    </row>
    <row r="2853" spans="7:12" x14ac:dyDescent="0.2">
      <c r="G2853" s="45"/>
      <c r="L2853" s="8"/>
    </row>
    <row r="2854" spans="7:12" x14ac:dyDescent="0.2">
      <c r="G2854" s="45"/>
      <c r="L2854" s="8"/>
    </row>
    <row r="2855" spans="7:12" x14ac:dyDescent="0.2">
      <c r="G2855" s="45"/>
      <c r="L2855" s="8"/>
    </row>
    <row r="2856" spans="7:12" x14ac:dyDescent="0.2">
      <c r="G2856" s="45"/>
      <c r="L2856" s="8"/>
    </row>
    <row r="2857" spans="7:12" x14ac:dyDescent="0.2">
      <c r="G2857" s="45"/>
      <c r="L2857" s="8"/>
    </row>
    <row r="2858" spans="7:12" x14ac:dyDescent="0.2">
      <c r="G2858" s="45"/>
      <c r="L2858" s="8"/>
    </row>
    <row r="2859" spans="7:12" x14ac:dyDescent="0.2">
      <c r="G2859" s="45"/>
      <c r="L2859" s="8"/>
    </row>
    <row r="2860" spans="7:12" x14ac:dyDescent="0.2">
      <c r="G2860" s="45"/>
      <c r="L2860" s="8"/>
    </row>
    <row r="2861" spans="7:12" x14ac:dyDescent="0.2">
      <c r="G2861" s="45"/>
      <c r="L2861" s="8"/>
    </row>
    <row r="2862" spans="7:12" x14ac:dyDescent="0.2">
      <c r="G2862" s="45"/>
      <c r="L2862" s="8"/>
    </row>
    <row r="2863" spans="7:12" x14ac:dyDescent="0.2">
      <c r="G2863" s="45"/>
      <c r="L2863" s="8"/>
    </row>
    <row r="2864" spans="7:12" x14ac:dyDescent="0.2">
      <c r="G2864" s="45"/>
      <c r="L2864" s="8"/>
    </row>
    <row r="2865" spans="7:12" x14ac:dyDescent="0.2">
      <c r="G2865" s="45"/>
      <c r="L2865" s="8"/>
    </row>
    <row r="2866" spans="7:12" x14ac:dyDescent="0.2">
      <c r="G2866" s="45"/>
      <c r="L2866" s="8"/>
    </row>
    <row r="2867" spans="7:12" x14ac:dyDescent="0.2">
      <c r="G2867" s="45"/>
      <c r="L2867" s="8"/>
    </row>
    <row r="2868" spans="7:12" x14ac:dyDescent="0.2">
      <c r="G2868" s="45"/>
      <c r="L2868" s="8"/>
    </row>
    <row r="2869" spans="7:12" x14ac:dyDescent="0.2">
      <c r="G2869" s="45"/>
      <c r="L2869" s="8"/>
    </row>
    <row r="2870" spans="7:12" x14ac:dyDescent="0.2">
      <c r="G2870" s="45"/>
      <c r="L2870" s="8"/>
    </row>
    <row r="2871" spans="7:12" x14ac:dyDescent="0.2">
      <c r="G2871" s="45"/>
      <c r="L2871" s="8"/>
    </row>
    <row r="2872" spans="7:12" x14ac:dyDescent="0.2">
      <c r="G2872" s="45"/>
      <c r="L2872" s="8"/>
    </row>
    <row r="2873" spans="7:12" x14ac:dyDescent="0.2">
      <c r="G2873" s="45"/>
      <c r="L2873" s="8"/>
    </row>
    <row r="2874" spans="7:12" x14ac:dyDescent="0.2">
      <c r="G2874" s="45"/>
      <c r="L2874" s="8"/>
    </row>
    <row r="2875" spans="7:12" x14ac:dyDescent="0.2">
      <c r="G2875" s="45"/>
      <c r="L2875" s="8"/>
    </row>
    <row r="2876" spans="7:12" x14ac:dyDescent="0.2">
      <c r="G2876" s="45"/>
      <c r="L2876" s="8"/>
    </row>
    <row r="2877" spans="7:12" x14ac:dyDescent="0.2">
      <c r="G2877" s="45"/>
      <c r="L2877" s="8"/>
    </row>
    <row r="2878" spans="7:12" x14ac:dyDescent="0.2">
      <c r="G2878" s="45"/>
      <c r="L2878" s="8"/>
    </row>
    <row r="2879" spans="7:12" x14ac:dyDescent="0.2">
      <c r="G2879" s="45"/>
      <c r="L2879" s="8"/>
    </row>
    <row r="2880" spans="7:12" x14ac:dyDescent="0.2">
      <c r="G2880" s="45"/>
      <c r="L2880" s="8"/>
    </row>
    <row r="2881" spans="7:12" x14ac:dyDescent="0.2">
      <c r="G2881" s="45"/>
      <c r="L2881" s="8"/>
    </row>
    <row r="2882" spans="7:12" x14ac:dyDescent="0.2">
      <c r="G2882" s="45"/>
      <c r="L2882" s="8"/>
    </row>
    <row r="2883" spans="7:12" x14ac:dyDescent="0.2">
      <c r="G2883" s="45"/>
      <c r="L2883" s="8"/>
    </row>
    <row r="2884" spans="7:12" x14ac:dyDescent="0.2">
      <c r="G2884" s="45"/>
      <c r="L2884" s="8"/>
    </row>
    <row r="2885" spans="7:12" x14ac:dyDescent="0.2">
      <c r="G2885" s="45"/>
      <c r="L2885" s="8"/>
    </row>
    <row r="2886" spans="7:12" x14ac:dyDescent="0.2">
      <c r="G2886" s="45"/>
      <c r="L2886" s="8"/>
    </row>
    <row r="2887" spans="7:12" x14ac:dyDescent="0.2">
      <c r="G2887" s="45"/>
      <c r="L2887" s="8"/>
    </row>
    <row r="2888" spans="7:12" x14ac:dyDescent="0.2">
      <c r="G2888" s="45"/>
      <c r="L2888" s="8"/>
    </row>
    <row r="2889" spans="7:12" x14ac:dyDescent="0.2">
      <c r="G2889" s="45"/>
      <c r="L2889" s="8"/>
    </row>
    <row r="2890" spans="7:12" x14ac:dyDescent="0.2">
      <c r="G2890" s="45"/>
      <c r="L2890" s="8"/>
    </row>
    <row r="2891" spans="7:12" x14ac:dyDescent="0.2">
      <c r="G2891" s="45"/>
      <c r="L2891" s="8"/>
    </row>
    <row r="2892" spans="7:12" x14ac:dyDescent="0.2">
      <c r="G2892" s="45"/>
      <c r="L2892" s="8"/>
    </row>
    <row r="2893" spans="7:12" x14ac:dyDescent="0.2">
      <c r="G2893" s="45"/>
      <c r="L2893" s="8"/>
    </row>
    <row r="2894" spans="7:12" x14ac:dyDescent="0.2">
      <c r="G2894" s="45"/>
      <c r="L2894" s="8"/>
    </row>
    <row r="2895" spans="7:12" x14ac:dyDescent="0.2">
      <c r="G2895" s="45"/>
      <c r="L2895" s="8"/>
    </row>
    <row r="2896" spans="7:12" x14ac:dyDescent="0.2">
      <c r="G2896" s="45"/>
      <c r="L2896" s="8"/>
    </row>
    <row r="2897" spans="7:12" x14ac:dyDescent="0.2">
      <c r="G2897" s="45"/>
      <c r="L2897" s="8"/>
    </row>
    <row r="2898" spans="7:12" x14ac:dyDescent="0.2">
      <c r="G2898" s="45"/>
      <c r="L2898" s="8"/>
    </row>
    <row r="2899" spans="7:12" x14ac:dyDescent="0.2">
      <c r="G2899" s="45"/>
      <c r="L2899" s="8"/>
    </row>
    <row r="2900" spans="7:12" x14ac:dyDescent="0.2">
      <c r="G2900" s="45"/>
      <c r="L2900" s="8"/>
    </row>
    <row r="2901" spans="7:12" x14ac:dyDescent="0.2">
      <c r="G2901" s="45"/>
      <c r="L2901" s="8"/>
    </row>
    <row r="2902" spans="7:12" x14ac:dyDescent="0.2">
      <c r="G2902" s="45"/>
      <c r="L2902" s="8"/>
    </row>
    <row r="2903" spans="7:12" x14ac:dyDescent="0.2">
      <c r="G2903" s="45"/>
      <c r="L2903" s="8"/>
    </row>
    <row r="2904" spans="7:12" x14ac:dyDescent="0.2">
      <c r="G2904" s="45"/>
      <c r="L2904" s="8"/>
    </row>
    <row r="2905" spans="7:12" x14ac:dyDescent="0.2">
      <c r="G2905" s="45"/>
      <c r="L2905" s="8"/>
    </row>
    <row r="2906" spans="7:12" x14ac:dyDescent="0.2">
      <c r="G2906" s="45"/>
      <c r="L2906" s="8"/>
    </row>
    <row r="2907" spans="7:12" x14ac:dyDescent="0.2">
      <c r="G2907" s="45"/>
      <c r="L2907" s="8"/>
    </row>
    <row r="2908" spans="7:12" x14ac:dyDescent="0.2">
      <c r="G2908" s="45"/>
      <c r="L2908" s="8"/>
    </row>
    <row r="2909" spans="7:12" x14ac:dyDescent="0.2">
      <c r="G2909" s="45"/>
      <c r="L2909" s="8"/>
    </row>
    <row r="2910" spans="7:12" x14ac:dyDescent="0.2">
      <c r="G2910" s="45"/>
      <c r="L2910" s="8"/>
    </row>
    <row r="2911" spans="7:12" x14ac:dyDescent="0.2">
      <c r="G2911" s="45"/>
      <c r="L2911" s="8"/>
    </row>
    <row r="2912" spans="7:12" x14ac:dyDescent="0.2">
      <c r="G2912" s="45"/>
      <c r="L2912" s="8"/>
    </row>
    <row r="2913" spans="7:12" x14ac:dyDescent="0.2">
      <c r="G2913" s="45"/>
      <c r="L2913" s="8"/>
    </row>
    <row r="2914" spans="7:12" x14ac:dyDescent="0.2">
      <c r="G2914" s="45"/>
      <c r="L2914" s="8"/>
    </row>
    <row r="2915" spans="7:12" x14ac:dyDescent="0.2">
      <c r="G2915" s="45"/>
      <c r="L2915" s="8"/>
    </row>
    <row r="2916" spans="7:12" x14ac:dyDescent="0.2">
      <c r="G2916" s="45"/>
      <c r="L2916" s="8"/>
    </row>
    <row r="2917" spans="7:12" x14ac:dyDescent="0.2">
      <c r="G2917" s="45"/>
      <c r="L2917" s="8"/>
    </row>
    <row r="2918" spans="7:12" x14ac:dyDescent="0.2">
      <c r="G2918" s="45"/>
      <c r="L2918" s="8"/>
    </row>
    <row r="2919" spans="7:12" x14ac:dyDescent="0.2">
      <c r="G2919" s="45"/>
      <c r="L2919" s="8"/>
    </row>
    <row r="2920" spans="7:12" x14ac:dyDescent="0.2">
      <c r="G2920" s="45"/>
      <c r="L2920" s="8"/>
    </row>
    <row r="2921" spans="7:12" x14ac:dyDescent="0.2">
      <c r="G2921" s="45"/>
      <c r="L2921" s="8"/>
    </row>
    <row r="2922" spans="7:12" x14ac:dyDescent="0.2">
      <c r="G2922" s="45"/>
      <c r="L2922" s="8"/>
    </row>
    <row r="2923" spans="7:12" x14ac:dyDescent="0.2">
      <c r="G2923" s="45"/>
      <c r="L2923" s="8"/>
    </row>
    <row r="2924" spans="7:12" x14ac:dyDescent="0.2">
      <c r="G2924" s="45"/>
      <c r="L2924" s="8"/>
    </row>
    <row r="2925" spans="7:12" x14ac:dyDescent="0.2">
      <c r="G2925" s="45"/>
      <c r="L2925" s="8"/>
    </row>
    <row r="2926" spans="7:12" x14ac:dyDescent="0.2">
      <c r="G2926" s="45"/>
      <c r="L2926" s="8"/>
    </row>
    <row r="2927" spans="7:12" x14ac:dyDescent="0.2">
      <c r="G2927" s="45"/>
      <c r="L2927" s="8"/>
    </row>
    <row r="2928" spans="7:12" x14ac:dyDescent="0.2">
      <c r="G2928" s="45"/>
      <c r="L2928" s="8"/>
    </row>
    <row r="2929" spans="7:12" x14ac:dyDescent="0.2">
      <c r="G2929" s="45"/>
      <c r="L2929" s="8"/>
    </row>
    <row r="2930" spans="7:12" x14ac:dyDescent="0.2">
      <c r="G2930" s="45"/>
      <c r="L2930" s="8"/>
    </row>
    <row r="2931" spans="7:12" x14ac:dyDescent="0.2">
      <c r="G2931" s="45"/>
      <c r="L2931" s="8"/>
    </row>
    <row r="2932" spans="7:12" x14ac:dyDescent="0.2">
      <c r="G2932" s="45"/>
      <c r="L2932" s="8"/>
    </row>
    <row r="2933" spans="7:12" x14ac:dyDescent="0.2">
      <c r="G2933" s="45"/>
      <c r="L2933" s="8"/>
    </row>
    <row r="2934" spans="7:12" x14ac:dyDescent="0.2">
      <c r="G2934" s="45"/>
      <c r="L2934" s="8"/>
    </row>
    <row r="2935" spans="7:12" x14ac:dyDescent="0.2">
      <c r="G2935" s="45"/>
      <c r="L2935" s="8"/>
    </row>
    <row r="2936" spans="7:12" x14ac:dyDescent="0.2">
      <c r="G2936" s="45"/>
      <c r="L2936" s="8"/>
    </row>
    <row r="2937" spans="7:12" x14ac:dyDescent="0.2">
      <c r="G2937" s="45"/>
      <c r="L2937" s="8"/>
    </row>
    <row r="2938" spans="7:12" x14ac:dyDescent="0.2">
      <c r="G2938" s="45"/>
      <c r="L2938" s="8"/>
    </row>
    <row r="2939" spans="7:12" x14ac:dyDescent="0.2">
      <c r="G2939" s="45"/>
      <c r="L2939" s="8"/>
    </row>
    <row r="2940" spans="7:12" x14ac:dyDescent="0.2">
      <c r="G2940" s="45"/>
      <c r="L2940" s="8"/>
    </row>
    <row r="2941" spans="7:12" x14ac:dyDescent="0.2">
      <c r="G2941" s="45"/>
      <c r="L2941" s="8"/>
    </row>
    <row r="2942" spans="7:12" x14ac:dyDescent="0.2">
      <c r="G2942" s="45"/>
      <c r="L2942" s="8"/>
    </row>
    <row r="2943" spans="7:12" x14ac:dyDescent="0.2">
      <c r="G2943" s="45"/>
      <c r="L2943" s="8"/>
    </row>
    <row r="2944" spans="7:12" x14ac:dyDescent="0.2">
      <c r="G2944" s="45"/>
      <c r="L2944" s="8"/>
    </row>
    <row r="2945" spans="7:12" x14ac:dyDescent="0.2">
      <c r="G2945" s="45"/>
      <c r="L2945" s="8"/>
    </row>
    <row r="2946" spans="7:12" x14ac:dyDescent="0.2">
      <c r="G2946" s="45"/>
      <c r="L2946" s="8"/>
    </row>
    <row r="2947" spans="7:12" x14ac:dyDescent="0.2">
      <c r="G2947" s="45"/>
      <c r="L2947" s="8"/>
    </row>
    <row r="2948" spans="7:12" x14ac:dyDescent="0.2">
      <c r="G2948" s="45"/>
      <c r="L2948" s="8"/>
    </row>
    <row r="2949" spans="7:12" x14ac:dyDescent="0.2">
      <c r="G2949" s="45"/>
      <c r="L2949" s="8"/>
    </row>
    <row r="2950" spans="7:12" x14ac:dyDescent="0.2">
      <c r="G2950" s="45"/>
      <c r="L2950" s="8"/>
    </row>
    <row r="2951" spans="7:12" x14ac:dyDescent="0.2">
      <c r="G2951" s="45"/>
      <c r="L2951" s="8"/>
    </row>
    <row r="2952" spans="7:12" x14ac:dyDescent="0.2">
      <c r="G2952" s="45"/>
      <c r="L2952" s="8"/>
    </row>
    <row r="2953" spans="7:12" x14ac:dyDescent="0.2">
      <c r="G2953" s="45"/>
      <c r="L2953" s="8"/>
    </row>
    <row r="2954" spans="7:12" x14ac:dyDescent="0.2">
      <c r="G2954" s="45"/>
      <c r="L2954" s="8"/>
    </row>
    <row r="2955" spans="7:12" x14ac:dyDescent="0.2">
      <c r="G2955" s="45"/>
      <c r="L2955" s="8"/>
    </row>
    <row r="2956" spans="7:12" x14ac:dyDescent="0.2">
      <c r="G2956" s="45"/>
      <c r="L2956" s="8"/>
    </row>
    <row r="2957" spans="7:12" x14ac:dyDescent="0.2">
      <c r="G2957" s="45"/>
      <c r="L2957" s="8"/>
    </row>
    <row r="2958" spans="7:12" x14ac:dyDescent="0.2">
      <c r="G2958" s="45"/>
      <c r="L2958" s="8"/>
    </row>
    <row r="2959" spans="7:12" x14ac:dyDescent="0.2">
      <c r="G2959" s="45"/>
      <c r="L2959" s="8"/>
    </row>
    <row r="2960" spans="7:12" x14ac:dyDescent="0.2">
      <c r="G2960" s="45"/>
      <c r="L2960" s="8"/>
    </row>
    <row r="2961" spans="7:12" x14ac:dyDescent="0.2">
      <c r="G2961" s="45"/>
      <c r="L2961" s="8"/>
    </row>
    <row r="2962" spans="7:12" x14ac:dyDescent="0.2">
      <c r="G2962" s="45"/>
      <c r="L2962" s="8"/>
    </row>
    <row r="2963" spans="7:12" x14ac:dyDescent="0.2">
      <c r="G2963" s="45"/>
      <c r="L2963" s="8"/>
    </row>
    <row r="2964" spans="7:12" x14ac:dyDescent="0.2">
      <c r="G2964" s="45"/>
      <c r="L2964" s="8"/>
    </row>
    <row r="2965" spans="7:12" x14ac:dyDescent="0.2">
      <c r="G2965" s="45"/>
      <c r="L2965" s="8"/>
    </row>
    <row r="2966" spans="7:12" x14ac:dyDescent="0.2">
      <c r="G2966" s="45"/>
      <c r="L2966" s="8"/>
    </row>
    <row r="2967" spans="7:12" x14ac:dyDescent="0.2">
      <c r="G2967" s="45"/>
      <c r="L2967" s="8"/>
    </row>
    <row r="2968" spans="7:12" x14ac:dyDescent="0.2">
      <c r="G2968" s="45"/>
      <c r="L2968" s="8"/>
    </row>
    <row r="2969" spans="7:12" x14ac:dyDescent="0.2">
      <c r="G2969" s="45"/>
      <c r="L2969" s="8"/>
    </row>
    <row r="2970" spans="7:12" x14ac:dyDescent="0.2">
      <c r="G2970" s="45"/>
      <c r="L2970" s="8"/>
    </row>
    <row r="2971" spans="7:12" x14ac:dyDescent="0.2">
      <c r="G2971" s="45"/>
      <c r="L2971" s="8"/>
    </row>
    <row r="2972" spans="7:12" x14ac:dyDescent="0.2">
      <c r="G2972" s="45"/>
      <c r="L2972" s="8"/>
    </row>
    <row r="2973" spans="7:12" x14ac:dyDescent="0.2">
      <c r="G2973" s="45"/>
      <c r="L2973" s="8"/>
    </row>
    <row r="2974" spans="7:12" x14ac:dyDescent="0.2">
      <c r="G2974" s="45"/>
      <c r="L2974" s="8"/>
    </row>
    <row r="2975" spans="7:12" x14ac:dyDescent="0.2">
      <c r="G2975" s="45"/>
      <c r="L2975" s="8"/>
    </row>
    <row r="2976" spans="7:12" x14ac:dyDescent="0.2">
      <c r="G2976" s="45"/>
      <c r="L2976" s="8"/>
    </row>
    <row r="2977" spans="7:12" x14ac:dyDescent="0.2">
      <c r="G2977" s="45"/>
      <c r="L2977" s="8"/>
    </row>
    <row r="2978" spans="7:12" x14ac:dyDescent="0.2">
      <c r="G2978" s="45"/>
      <c r="L2978" s="8"/>
    </row>
    <row r="2979" spans="7:12" x14ac:dyDescent="0.2">
      <c r="G2979" s="45"/>
      <c r="L2979" s="8"/>
    </row>
    <row r="2980" spans="7:12" x14ac:dyDescent="0.2">
      <c r="G2980" s="45"/>
      <c r="L2980" s="8"/>
    </row>
    <row r="2981" spans="7:12" x14ac:dyDescent="0.2">
      <c r="G2981" s="45"/>
      <c r="L2981" s="8"/>
    </row>
    <row r="2982" spans="7:12" x14ac:dyDescent="0.2">
      <c r="G2982" s="45"/>
      <c r="L2982" s="8"/>
    </row>
    <row r="2983" spans="7:12" x14ac:dyDescent="0.2">
      <c r="G2983" s="45"/>
      <c r="L2983" s="8"/>
    </row>
    <row r="2984" spans="7:12" x14ac:dyDescent="0.2">
      <c r="G2984" s="45"/>
      <c r="L2984" s="8"/>
    </row>
    <row r="2985" spans="7:12" x14ac:dyDescent="0.2">
      <c r="G2985" s="45"/>
      <c r="L2985" s="8"/>
    </row>
    <row r="2986" spans="7:12" x14ac:dyDescent="0.2">
      <c r="G2986" s="45"/>
      <c r="L2986" s="8"/>
    </row>
    <row r="2987" spans="7:12" x14ac:dyDescent="0.2">
      <c r="G2987" s="45"/>
      <c r="L2987" s="8"/>
    </row>
    <row r="2988" spans="7:12" x14ac:dyDescent="0.2">
      <c r="G2988" s="45"/>
      <c r="L2988" s="8"/>
    </row>
    <row r="2989" spans="7:12" x14ac:dyDescent="0.2">
      <c r="G2989" s="45"/>
      <c r="L2989" s="8"/>
    </row>
    <row r="2990" spans="7:12" x14ac:dyDescent="0.2">
      <c r="G2990" s="45"/>
      <c r="L2990" s="8"/>
    </row>
    <row r="2991" spans="7:12" x14ac:dyDescent="0.2">
      <c r="G2991" s="45"/>
      <c r="L2991" s="8"/>
    </row>
    <row r="2992" spans="7:12" x14ac:dyDescent="0.2">
      <c r="G2992" s="45"/>
      <c r="L2992" s="8"/>
    </row>
    <row r="2993" spans="7:12" x14ac:dyDescent="0.2">
      <c r="G2993" s="45"/>
      <c r="L2993" s="8"/>
    </row>
    <row r="2994" spans="7:12" x14ac:dyDescent="0.2">
      <c r="G2994" s="45"/>
      <c r="L2994" s="8"/>
    </row>
    <row r="2995" spans="7:12" x14ac:dyDescent="0.2">
      <c r="G2995" s="45"/>
      <c r="L2995" s="8"/>
    </row>
    <row r="2996" spans="7:12" x14ac:dyDescent="0.2">
      <c r="G2996" s="45"/>
      <c r="L2996" s="8"/>
    </row>
    <row r="2997" spans="7:12" x14ac:dyDescent="0.2">
      <c r="G2997" s="45"/>
      <c r="L2997" s="8"/>
    </row>
    <row r="2998" spans="7:12" x14ac:dyDescent="0.2">
      <c r="G2998" s="45"/>
      <c r="L2998" s="8"/>
    </row>
    <row r="2999" spans="7:12" x14ac:dyDescent="0.2">
      <c r="G2999" s="45"/>
      <c r="L2999" s="8"/>
    </row>
    <row r="3000" spans="7:12" x14ac:dyDescent="0.2">
      <c r="G3000" s="45"/>
      <c r="L3000" s="8"/>
    </row>
    <row r="3001" spans="7:12" x14ac:dyDescent="0.2">
      <c r="G3001" s="45"/>
      <c r="L3001" s="8"/>
    </row>
    <row r="3002" spans="7:12" x14ac:dyDescent="0.2">
      <c r="G3002" s="45"/>
      <c r="L3002" s="8"/>
    </row>
    <row r="3003" spans="7:12" x14ac:dyDescent="0.2">
      <c r="G3003" s="45"/>
      <c r="L3003" s="8"/>
    </row>
    <row r="3004" spans="7:12" x14ac:dyDescent="0.2">
      <c r="G3004" s="45"/>
      <c r="L3004" s="8"/>
    </row>
    <row r="3005" spans="7:12" x14ac:dyDescent="0.2">
      <c r="G3005" s="45"/>
      <c r="L3005" s="8"/>
    </row>
    <row r="3006" spans="7:12" x14ac:dyDescent="0.2">
      <c r="G3006" s="45"/>
      <c r="L3006" s="8"/>
    </row>
    <row r="3007" spans="7:12" x14ac:dyDescent="0.2">
      <c r="G3007" s="45"/>
      <c r="L3007" s="8"/>
    </row>
    <row r="3008" spans="7:12" x14ac:dyDescent="0.2">
      <c r="G3008" s="45"/>
      <c r="L3008" s="8"/>
    </row>
    <row r="3009" spans="7:12" x14ac:dyDescent="0.2">
      <c r="G3009" s="45"/>
      <c r="L3009" s="8"/>
    </row>
    <row r="3010" spans="7:12" x14ac:dyDescent="0.2">
      <c r="G3010" s="45"/>
      <c r="L3010" s="8"/>
    </row>
    <row r="3011" spans="7:12" x14ac:dyDescent="0.2">
      <c r="G3011" s="45"/>
      <c r="L3011" s="8"/>
    </row>
    <row r="3012" spans="7:12" x14ac:dyDescent="0.2">
      <c r="G3012" s="45"/>
      <c r="L3012" s="8"/>
    </row>
    <row r="3013" spans="7:12" x14ac:dyDescent="0.2">
      <c r="G3013" s="45"/>
      <c r="L3013" s="8"/>
    </row>
    <row r="3014" spans="7:12" x14ac:dyDescent="0.2">
      <c r="G3014" s="45"/>
      <c r="L3014" s="8"/>
    </row>
    <row r="3015" spans="7:12" x14ac:dyDescent="0.2">
      <c r="G3015" s="45"/>
      <c r="L3015" s="8"/>
    </row>
    <row r="3016" spans="7:12" x14ac:dyDescent="0.2">
      <c r="G3016" s="45"/>
      <c r="L3016" s="8"/>
    </row>
    <row r="3017" spans="7:12" x14ac:dyDescent="0.2">
      <c r="G3017" s="45"/>
      <c r="L3017" s="8"/>
    </row>
    <row r="3018" spans="7:12" x14ac:dyDescent="0.2">
      <c r="G3018" s="45"/>
      <c r="L3018" s="8"/>
    </row>
    <row r="3019" spans="7:12" x14ac:dyDescent="0.2">
      <c r="G3019" s="45"/>
      <c r="L3019" s="8"/>
    </row>
    <row r="3020" spans="7:12" x14ac:dyDescent="0.2">
      <c r="G3020" s="45"/>
      <c r="L3020" s="8"/>
    </row>
    <row r="3021" spans="7:12" x14ac:dyDescent="0.2">
      <c r="G3021" s="45"/>
      <c r="L3021" s="8"/>
    </row>
    <row r="3022" spans="7:12" x14ac:dyDescent="0.2">
      <c r="G3022" s="45"/>
      <c r="L3022" s="8"/>
    </row>
    <row r="3023" spans="7:12" x14ac:dyDescent="0.2">
      <c r="G3023" s="45"/>
      <c r="L3023" s="8"/>
    </row>
    <row r="3024" spans="7:12" x14ac:dyDescent="0.2">
      <c r="G3024" s="45"/>
      <c r="L3024" s="8"/>
    </row>
    <row r="3025" spans="7:12" x14ac:dyDescent="0.2">
      <c r="G3025" s="45"/>
      <c r="L3025" s="8"/>
    </row>
    <row r="3026" spans="7:12" x14ac:dyDescent="0.2">
      <c r="G3026" s="45"/>
      <c r="L3026" s="8"/>
    </row>
    <row r="3027" spans="7:12" x14ac:dyDescent="0.2">
      <c r="G3027" s="45"/>
      <c r="L3027" s="8"/>
    </row>
    <row r="3028" spans="7:12" x14ac:dyDescent="0.2">
      <c r="G3028" s="45"/>
      <c r="L3028" s="8"/>
    </row>
    <row r="3029" spans="7:12" x14ac:dyDescent="0.2">
      <c r="G3029" s="45"/>
      <c r="L3029" s="8"/>
    </row>
    <row r="3030" spans="7:12" x14ac:dyDescent="0.2">
      <c r="G3030" s="45"/>
      <c r="L3030" s="8"/>
    </row>
    <row r="3031" spans="7:12" x14ac:dyDescent="0.2">
      <c r="G3031" s="45"/>
      <c r="L3031" s="8"/>
    </row>
    <row r="3032" spans="7:12" x14ac:dyDescent="0.2">
      <c r="G3032" s="45"/>
      <c r="L3032" s="8"/>
    </row>
    <row r="3033" spans="7:12" x14ac:dyDescent="0.2">
      <c r="G3033" s="45"/>
      <c r="L3033" s="8"/>
    </row>
    <row r="3034" spans="7:12" x14ac:dyDescent="0.2">
      <c r="G3034" s="45"/>
      <c r="L3034" s="8"/>
    </row>
    <row r="3035" spans="7:12" x14ac:dyDescent="0.2">
      <c r="G3035" s="45"/>
      <c r="L3035" s="8"/>
    </row>
    <row r="3036" spans="7:12" x14ac:dyDescent="0.2">
      <c r="G3036" s="45"/>
      <c r="L3036" s="8"/>
    </row>
    <row r="3037" spans="7:12" x14ac:dyDescent="0.2">
      <c r="G3037" s="45"/>
      <c r="L3037" s="8"/>
    </row>
    <row r="3038" spans="7:12" x14ac:dyDescent="0.2">
      <c r="G3038" s="45"/>
      <c r="L3038" s="8"/>
    </row>
    <row r="3039" spans="7:12" x14ac:dyDescent="0.2">
      <c r="G3039" s="45"/>
      <c r="L3039" s="8"/>
    </row>
    <row r="3040" spans="7:12" x14ac:dyDescent="0.2">
      <c r="G3040" s="45"/>
      <c r="L3040" s="8"/>
    </row>
    <row r="3041" spans="7:12" x14ac:dyDescent="0.2">
      <c r="G3041" s="45"/>
      <c r="L3041" s="8"/>
    </row>
    <row r="3042" spans="7:12" x14ac:dyDescent="0.2">
      <c r="G3042" s="45"/>
      <c r="L3042" s="8"/>
    </row>
    <row r="3043" spans="7:12" x14ac:dyDescent="0.2">
      <c r="G3043" s="45"/>
      <c r="L3043" s="8"/>
    </row>
    <row r="3044" spans="7:12" x14ac:dyDescent="0.2">
      <c r="G3044" s="45"/>
      <c r="L3044" s="8"/>
    </row>
    <row r="3045" spans="7:12" x14ac:dyDescent="0.2">
      <c r="G3045" s="45"/>
      <c r="L3045" s="8"/>
    </row>
    <row r="3046" spans="7:12" x14ac:dyDescent="0.2">
      <c r="G3046" s="45"/>
      <c r="L3046" s="8"/>
    </row>
    <row r="3047" spans="7:12" x14ac:dyDescent="0.2">
      <c r="G3047" s="45"/>
      <c r="L3047" s="8"/>
    </row>
    <row r="3048" spans="7:12" x14ac:dyDescent="0.2">
      <c r="G3048" s="45"/>
      <c r="L3048" s="8"/>
    </row>
    <row r="3049" spans="7:12" x14ac:dyDescent="0.2">
      <c r="G3049" s="45"/>
      <c r="L3049" s="8"/>
    </row>
    <row r="3050" spans="7:12" x14ac:dyDescent="0.2">
      <c r="G3050" s="45"/>
      <c r="L3050" s="8"/>
    </row>
    <row r="3051" spans="7:12" x14ac:dyDescent="0.2">
      <c r="G3051" s="45"/>
      <c r="L3051" s="8"/>
    </row>
    <row r="3052" spans="7:12" x14ac:dyDescent="0.2">
      <c r="G3052" s="45"/>
      <c r="L3052" s="8"/>
    </row>
    <row r="3053" spans="7:12" x14ac:dyDescent="0.2">
      <c r="G3053" s="45"/>
      <c r="L3053" s="8"/>
    </row>
    <row r="3054" spans="7:12" x14ac:dyDescent="0.2">
      <c r="G3054" s="45"/>
      <c r="L3054" s="8"/>
    </row>
    <row r="3055" spans="7:12" x14ac:dyDescent="0.2">
      <c r="G3055" s="45"/>
      <c r="L3055" s="8"/>
    </row>
    <row r="3056" spans="7:12" x14ac:dyDescent="0.2">
      <c r="G3056" s="45"/>
      <c r="L3056" s="8"/>
    </row>
    <row r="3057" spans="7:12" x14ac:dyDescent="0.2">
      <c r="G3057" s="45"/>
      <c r="L3057" s="8"/>
    </row>
    <row r="3058" spans="7:12" x14ac:dyDescent="0.2">
      <c r="G3058" s="45"/>
      <c r="L3058" s="8"/>
    </row>
    <row r="3059" spans="7:12" x14ac:dyDescent="0.2">
      <c r="G3059" s="45"/>
      <c r="L3059" s="8"/>
    </row>
    <row r="3060" spans="7:12" x14ac:dyDescent="0.2">
      <c r="G3060" s="45"/>
      <c r="L3060" s="8"/>
    </row>
    <row r="3061" spans="7:12" x14ac:dyDescent="0.2">
      <c r="G3061" s="45"/>
      <c r="L3061" s="8"/>
    </row>
    <row r="3062" spans="7:12" x14ac:dyDescent="0.2">
      <c r="G3062" s="45"/>
      <c r="L3062" s="8"/>
    </row>
    <row r="3063" spans="7:12" x14ac:dyDescent="0.2">
      <c r="G3063" s="45"/>
      <c r="L3063" s="8"/>
    </row>
    <row r="3064" spans="7:12" x14ac:dyDescent="0.2">
      <c r="G3064" s="45"/>
      <c r="L3064" s="8"/>
    </row>
    <row r="3065" spans="7:12" x14ac:dyDescent="0.2">
      <c r="G3065" s="45"/>
      <c r="L3065" s="8"/>
    </row>
    <row r="3066" spans="7:12" x14ac:dyDescent="0.2">
      <c r="G3066" s="45"/>
      <c r="L3066" s="8"/>
    </row>
    <row r="3067" spans="7:12" x14ac:dyDescent="0.2">
      <c r="G3067" s="45"/>
      <c r="L3067" s="8"/>
    </row>
    <row r="3068" spans="7:12" x14ac:dyDescent="0.2">
      <c r="G3068" s="45"/>
      <c r="L3068" s="8"/>
    </row>
    <row r="3069" spans="7:12" x14ac:dyDescent="0.2">
      <c r="G3069" s="45"/>
      <c r="L3069" s="8"/>
    </row>
    <row r="3070" spans="7:12" x14ac:dyDescent="0.2">
      <c r="G3070" s="45"/>
      <c r="L3070" s="8"/>
    </row>
    <row r="3071" spans="7:12" x14ac:dyDescent="0.2">
      <c r="G3071" s="45"/>
      <c r="L3071" s="8"/>
    </row>
    <row r="3072" spans="7:12" x14ac:dyDescent="0.2">
      <c r="G3072" s="45"/>
      <c r="L3072" s="8"/>
    </row>
    <row r="3073" spans="7:12" x14ac:dyDescent="0.2">
      <c r="G3073" s="45"/>
      <c r="L3073" s="8"/>
    </row>
    <row r="3074" spans="7:12" x14ac:dyDescent="0.2">
      <c r="G3074" s="45"/>
      <c r="L3074" s="8"/>
    </row>
    <row r="3075" spans="7:12" x14ac:dyDescent="0.2">
      <c r="G3075" s="45"/>
      <c r="L3075" s="8"/>
    </row>
    <row r="3076" spans="7:12" x14ac:dyDescent="0.2">
      <c r="G3076" s="45"/>
      <c r="L3076" s="8"/>
    </row>
    <row r="3077" spans="7:12" x14ac:dyDescent="0.2">
      <c r="G3077" s="45"/>
      <c r="L3077" s="8"/>
    </row>
    <row r="3078" spans="7:12" x14ac:dyDescent="0.2">
      <c r="G3078" s="45"/>
      <c r="L3078" s="8"/>
    </row>
    <row r="3079" spans="7:12" x14ac:dyDescent="0.2">
      <c r="G3079" s="45"/>
      <c r="L3079" s="8"/>
    </row>
    <row r="3080" spans="7:12" x14ac:dyDescent="0.2">
      <c r="G3080" s="45"/>
      <c r="L3080" s="8"/>
    </row>
    <row r="3081" spans="7:12" x14ac:dyDescent="0.2">
      <c r="G3081" s="45"/>
      <c r="L3081" s="8"/>
    </row>
    <row r="3082" spans="7:12" x14ac:dyDescent="0.2">
      <c r="G3082" s="45"/>
      <c r="L3082" s="8"/>
    </row>
    <row r="3083" spans="7:12" x14ac:dyDescent="0.2">
      <c r="G3083" s="45"/>
      <c r="L3083" s="8"/>
    </row>
    <row r="3084" spans="7:12" x14ac:dyDescent="0.2">
      <c r="G3084" s="45"/>
      <c r="L3084" s="8"/>
    </row>
    <row r="3085" spans="7:12" x14ac:dyDescent="0.2">
      <c r="G3085" s="45"/>
      <c r="L3085" s="8"/>
    </row>
    <row r="3086" spans="7:12" x14ac:dyDescent="0.2">
      <c r="G3086" s="45"/>
      <c r="L3086" s="8"/>
    </row>
    <row r="3087" spans="7:12" x14ac:dyDescent="0.2">
      <c r="G3087" s="45"/>
      <c r="L3087" s="8"/>
    </row>
    <row r="3088" spans="7:12" x14ac:dyDescent="0.2">
      <c r="G3088" s="45"/>
      <c r="L3088" s="8"/>
    </row>
    <row r="3089" spans="7:12" x14ac:dyDescent="0.2">
      <c r="G3089" s="45"/>
      <c r="L3089" s="8"/>
    </row>
    <row r="3090" spans="7:12" x14ac:dyDescent="0.2">
      <c r="G3090" s="45"/>
      <c r="L3090" s="8"/>
    </row>
    <row r="3091" spans="7:12" x14ac:dyDescent="0.2">
      <c r="G3091" s="45"/>
      <c r="L3091" s="8"/>
    </row>
    <row r="3092" spans="7:12" x14ac:dyDescent="0.2">
      <c r="G3092" s="45"/>
      <c r="L3092" s="8"/>
    </row>
    <row r="3093" spans="7:12" x14ac:dyDescent="0.2">
      <c r="G3093" s="45"/>
      <c r="L3093" s="8"/>
    </row>
    <row r="3094" spans="7:12" x14ac:dyDescent="0.2">
      <c r="G3094" s="45"/>
      <c r="L3094" s="8"/>
    </row>
    <row r="3095" spans="7:12" x14ac:dyDescent="0.2">
      <c r="G3095" s="45"/>
      <c r="L3095" s="8"/>
    </row>
    <row r="3096" spans="7:12" x14ac:dyDescent="0.2">
      <c r="G3096" s="45"/>
      <c r="L3096" s="8"/>
    </row>
    <row r="3097" spans="7:12" x14ac:dyDescent="0.2">
      <c r="G3097" s="45"/>
      <c r="L3097" s="8"/>
    </row>
    <row r="3098" spans="7:12" x14ac:dyDescent="0.2">
      <c r="G3098" s="45"/>
      <c r="L3098" s="8"/>
    </row>
    <row r="3099" spans="7:12" x14ac:dyDescent="0.2">
      <c r="G3099" s="45"/>
      <c r="L3099" s="8"/>
    </row>
    <row r="3100" spans="7:12" x14ac:dyDescent="0.2">
      <c r="G3100" s="45"/>
      <c r="L3100" s="8"/>
    </row>
    <row r="3101" spans="7:12" x14ac:dyDescent="0.2">
      <c r="G3101" s="45"/>
      <c r="L3101" s="8"/>
    </row>
    <row r="3102" spans="7:12" x14ac:dyDescent="0.2">
      <c r="G3102" s="45"/>
      <c r="L3102" s="8"/>
    </row>
    <row r="3103" spans="7:12" x14ac:dyDescent="0.2">
      <c r="G3103" s="45"/>
      <c r="L3103" s="8"/>
    </row>
    <row r="3104" spans="7:12" x14ac:dyDescent="0.2">
      <c r="G3104" s="45"/>
      <c r="L3104" s="8"/>
    </row>
    <row r="3105" spans="7:12" x14ac:dyDescent="0.2">
      <c r="G3105" s="45"/>
      <c r="L3105" s="8"/>
    </row>
    <row r="3106" spans="7:12" x14ac:dyDescent="0.2">
      <c r="G3106" s="45"/>
      <c r="L3106" s="8"/>
    </row>
    <row r="3107" spans="7:12" x14ac:dyDescent="0.2">
      <c r="G3107" s="45"/>
      <c r="L3107" s="8"/>
    </row>
    <row r="3108" spans="7:12" x14ac:dyDescent="0.2">
      <c r="G3108" s="45"/>
      <c r="L3108" s="8"/>
    </row>
    <row r="3109" spans="7:12" x14ac:dyDescent="0.2">
      <c r="G3109" s="45"/>
      <c r="L3109" s="8"/>
    </row>
    <row r="3110" spans="7:12" x14ac:dyDescent="0.2">
      <c r="G3110" s="45"/>
      <c r="L3110" s="8"/>
    </row>
    <row r="3111" spans="7:12" x14ac:dyDescent="0.2">
      <c r="G3111" s="45"/>
      <c r="L3111" s="8"/>
    </row>
    <row r="3112" spans="7:12" x14ac:dyDescent="0.2">
      <c r="G3112" s="45"/>
      <c r="L3112" s="8"/>
    </row>
    <row r="3113" spans="7:12" x14ac:dyDescent="0.2">
      <c r="G3113" s="45"/>
      <c r="L3113" s="8"/>
    </row>
    <row r="3114" spans="7:12" x14ac:dyDescent="0.2">
      <c r="G3114" s="45"/>
      <c r="L3114" s="8"/>
    </row>
    <row r="3115" spans="7:12" x14ac:dyDescent="0.2">
      <c r="G3115" s="45"/>
      <c r="L3115" s="8"/>
    </row>
    <row r="3116" spans="7:12" x14ac:dyDescent="0.2">
      <c r="G3116" s="45"/>
      <c r="L3116" s="8"/>
    </row>
    <row r="3117" spans="7:12" x14ac:dyDescent="0.2">
      <c r="G3117" s="45"/>
      <c r="L3117" s="8"/>
    </row>
    <row r="3118" spans="7:12" x14ac:dyDescent="0.2">
      <c r="G3118" s="45"/>
      <c r="L3118" s="8"/>
    </row>
    <row r="3119" spans="7:12" x14ac:dyDescent="0.2">
      <c r="G3119" s="45"/>
      <c r="L3119" s="8"/>
    </row>
    <row r="3120" spans="7:12" x14ac:dyDescent="0.2">
      <c r="G3120" s="45"/>
      <c r="L3120" s="8"/>
    </row>
    <row r="3121" spans="7:12" x14ac:dyDescent="0.2">
      <c r="G3121" s="45"/>
      <c r="L3121" s="8"/>
    </row>
    <row r="3122" spans="7:12" x14ac:dyDescent="0.2">
      <c r="G3122" s="45"/>
      <c r="L3122" s="8"/>
    </row>
    <row r="3123" spans="7:12" x14ac:dyDescent="0.2">
      <c r="G3123" s="45"/>
      <c r="L3123" s="8"/>
    </row>
    <row r="3124" spans="7:12" x14ac:dyDescent="0.2">
      <c r="G3124" s="45"/>
      <c r="L3124" s="8"/>
    </row>
    <row r="3125" spans="7:12" x14ac:dyDescent="0.2">
      <c r="G3125" s="45"/>
      <c r="L3125" s="8"/>
    </row>
    <row r="3126" spans="7:12" x14ac:dyDescent="0.2">
      <c r="G3126" s="45"/>
      <c r="L3126" s="8"/>
    </row>
    <row r="3127" spans="7:12" x14ac:dyDescent="0.2">
      <c r="G3127" s="45"/>
      <c r="L3127" s="8"/>
    </row>
    <row r="3128" spans="7:12" x14ac:dyDescent="0.2">
      <c r="G3128" s="45"/>
      <c r="L3128" s="8"/>
    </row>
    <row r="3129" spans="7:12" x14ac:dyDescent="0.2">
      <c r="G3129" s="45"/>
      <c r="L3129" s="8"/>
    </row>
    <row r="3130" spans="7:12" x14ac:dyDescent="0.2">
      <c r="G3130" s="45"/>
      <c r="L3130" s="8"/>
    </row>
    <row r="3131" spans="7:12" x14ac:dyDescent="0.2">
      <c r="G3131" s="45"/>
      <c r="L3131" s="8"/>
    </row>
    <row r="3132" spans="7:12" x14ac:dyDescent="0.2">
      <c r="G3132" s="45"/>
      <c r="L3132" s="8"/>
    </row>
    <row r="3133" spans="7:12" x14ac:dyDescent="0.2">
      <c r="G3133" s="45"/>
      <c r="L3133" s="8"/>
    </row>
    <row r="3134" spans="7:12" x14ac:dyDescent="0.2">
      <c r="G3134" s="45"/>
      <c r="L3134" s="8"/>
    </row>
    <row r="3135" spans="7:12" x14ac:dyDescent="0.2">
      <c r="G3135" s="45"/>
      <c r="L3135" s="8"/>
    </row>
    <row r="3136" spans="7:12" x14ac:dyDescent="0.2">
      <c r="G3136" s="45"/>
      <c r="L3136" s="8"/>
    </row>
    <row r="3137" spans="7:12" x14ac:dyDescent="0.2">
      <c r="G3137" s="45"/>
      <c r="L3137" s="8"/>
    </row>
    <row r="3138" spans="7:12" x14ac:dyDescent="0.2">
      <c r="G3138" s="45"/>
      <c r="L3138" s="8"/>
    </row>
    <row r="3139" spans="7:12" x14ac:dyDescent="0.2">
      <c r="G3139" s="45"/>
      <c r="L3139" s="8"/>
    </row>
    <row r="3140" spans="7:12" x14ac:dyDescent="0.2">
      <c r="G3140" s="45"/>
      <c r="L3140" s="8"/>
    </row>
    <row r="3141" spans="7:12" x14ac:dyDescent="0.2">
      <c r="G3141" s="45"/>
      <c r="L3141" s="8"/>
    </row>
    <row r="3142" spans="7:12" x14ac:dyDescent="0.2">
      <c r="G3142" s="45"/>
      <c r="L3142" s="8"/>
    </row>
    <row r="3143" spans="7:12" x14ac:dyDescent="0.2">
      <c r="G3143" s="45"/>
      <c r="L3143" s="8"/>
    </row>
    <row r="3144" spans="7:12" x14ac:dyDescent="0.2">
      <c r="G3144" s="45"/>
      <c r="L3144" s="8"/>
    </row>
    <row r="3145" spans="7:12" x14ac:dyDescent="0.2">
      <c r="G3145" s="45"/>
      <c r="L3145" s="8"/>
    </row>
    <row r="3146" spans="7:12" x14ac:dyDescent="0.2">
      <c r="G3146" s="45"/>
      <c r="L3146" s="8"/>
    </row>
    <row r="3147" spans="7:12" x14ac:dyDescent="0.2">
      <c r="G3147" s="45"/>
      <c r="L3147" s="8"/>
    </row>
    <row r="3148" spans="7:12" x14ac:dyDescent="0.2">
      <c r="G3148" s="45"/>
      <c r="L3148" s="8"/>
    </row>
    <row r="3149" spans="7:12" x14ac:dyDescent="0.2">
      <c r="G3149" s="45"/>
      <c r="L3149" s="8"/>
    </row>
    <row r="3150" spans="7:12" x14ac:dyDescent="0.2">
      <c r="G3150" s="45"/>
      <c r="L3150" s="8"/>
    </row>
    <row r="3151" spans="7:12" x14ac:dyDescent="0.2">
      <c r="G3151" s="45"/>
      <c r="L3151" s="8"/>
    </row>
    <row r="3152" spans="7:12" x14ac:dyDescent="0.2">
      <c r="G3152" s="45"/>
      <c r="L3152" s="8"/>
    </row>
    <row r="3153" spans="7:12" x14ac:dyDescent="0.2">
      <c r="G3153" s="45"/>
      <c r="L3153" s="8"/>
    </row>
    <row r="3154" spans="7:12" x14ac:dyDescent="0.2">
      <c r="G3154" s="45"/>
      <c r="L3154" s="8"/>
    </row>
    <row r="3155" spans="7:12" x14ac:dyDescent="0.2">
      <c r="G3155" s="45"/>
      <c r="L3155" s="8"/>
    </row>
    <row r="3156" spans="7:12" x14ac:dyDescent="0.2">
      <c r="G3156" s="45"/>
      <c r="L3156" s="8"/>
    </row>
    <row r="3157" spans="7:12" x14ac:dyDescent="0.2">
      <c r="G3157" s="45"/>
      <c r="L3157" s="8"/>
    </row>
    <row r="3158" spans="7:12" x14ac:dyDescent="0.2">
      <c r="G3158" s="45"/>
      <c r="L3158" s="8"/>
    </row>
    <row r="3159" spans="7:12" x14ac:dyDescent="0.2">
      <c r="G3159" s="45"/>
      <c r="L3159" s="8"/>
    </row>
    <row r="3160" spans="7:12" x14ac:dyDescent="0.2">
      <c r="G3160" s="45"/>
      <c r="L3160" s="8"/>
    </row>
    <row r="3161" spans="7:12" x14ac:dyDescent="0.2">
      <c r="G3161" s="45"/>
      <c r="L3161" s="8"/>
    </row>
    <row r="3162" spans="7:12" x14ac:dyDescent="0.2">
      <c r="G3162" s="45"/>
      <c r="L3162" s="8"/>
    </row>
    <row r="3163" spans="7:12" x14ac:dyDescent="0.2">
      <c r="G3163" s="45"/>
      <c r="L3163" s="8"/>
    </row>
    <row r="3164" spans="7:12" x14ac:dyDescent="0.2">
      <c r="G3164" s="45"/>
      <c r="L3164" s="8"/>
    </row>
    <row r="3165" spans="7:12" x14ac:dyDescent="0.2">
      <c r="G3165" s="45"/>
      <c r="L3165" s="8"/>
    </row>
    <row r="3166" spans="7:12" x14ac:dyDescent="0.2">
      <c r="G3166" s="45"/>
      <c r="L3166" s="8"/>
    </row>
    <row r="3167" spans="7:12" x14ac:dyDescent="0.2">
      <c r="G3167" s="45"/>
      <c r="L3167" s="8"/>
    </row>
    <row r="3168" spans="7:12" x14ac:dyDescent="0.2">
      <c r="G3168" s="45"/>
      <c r="L3168" s="8"/>
    </row>
    <row r="3169" spans="7:12" x14ac:dyDescent="0.2">
      <c r="G3169" s="45"/>
      <c r="L3169" s="8"/>
    </row>
    <row r="3170" spans="7:12" x14ac:dyDescent="0.2">
      <c r="G3170" s="45"/>
      <c r="L3170" s="8"/>
    </row>
    <row r="3171" spans="7:12" x14ac:dyDescent="0.2">
      <c r="G3171" s="45"/>
      <c r="L3171" s="8"/>
    </row>
    <row r="3172" spans="7:12" x14ac:dyDescent="0.2">
      <c r="G3172" s="45"/>
      <c r="L3172" s="8"/>
    </row>
    <row r="3173" spans="7:12" x14ac:dyDescent="0.2">
      <c r="G3173" s="45"/>
      <c r="L3173" s="8"/>
    </row>
    <row r="3174" spans="7:12" x14ac:dyDescent="0.2">
      <c r="G3174" s="45"/>
      <c r="L3174" s="8"/>
    </row>
    <row r="3175" spans="7:12" x14ac:dyDescent="0.2">
      <c r="G3175" s="45"/>
      <c r="L3175" s="8"/>
    </row>
    <row r="3176" spans="7:12" x14ac:dyDescent="0.2">
      <c r="G3176" s="45"/>
      <c r="L3176" s="8"/>
    </row>
    <row r="3177" spans="7:12" x14ac:dyDescent="0.2">
      <c r="G3177" s="45"/>
      <c r="L3177" s="8"/>
    </row>
    <row r="3178" spans="7:12" x14ac:dyDescent="0.2">
      <c r="G3178" s="45"/>
      <c r="L3178" s="8"/>
    </row>
    <row r="3179" spans="7:12" x14ac:dyDescent="0.2">
      <c r="G3179" s="45"/>
      <c r="L3179" s="8"/>
    </row>
    <row r="3180" spans="7:12" x14ac:dyDescent="0.2">
      <c r="G3180" s="45"/>
      <c r="L3180" s="8"/>
    </row>
    <row r="3181" spans="7:12" x14ac:dyDescent="0.2">
      <c r="G3181" s="45"/>
      <c r="L3181" s="8"/>
    </row>
    <row r="3182" spans="7:12" x14ac:dyDescent="0.2">
      <c r="G3182" s="45"/>
      <c r="L3182" s="8"/>
    </row>
    <row r="3183" spans="7:12" x14ac:dyDescent="0.2">
      <c r="G3183" s="45"/>
      <c r="L3183" s="8"/>
    </row>
    <row r="3184" spans="7:12" x14ac:dyDescent="0.2">
      <c r="G3184" s="45"/>
      <c r="L3184" s="8"/>
    </row>
    <row r="3185" spans="7:12" x14ac:dyDescent="0.2">
      <c r="G3185" s="45"/>
      <c r="L3185" s="8"/>
    </row>
    <row r="3186" spans="7:12" x14ac:dyDescent="0.2">
      <c r="G3186" s="45"/>
      <c r="L3186" s="8"/>
    </row>
    <row r="3187" spans="7:12" x14ac:dyDescent="0.2">
      <c r="G3187" s="45"/>
      <c r="L3187" s="8"/>
    </row>
    <row r="3188" spans="7:12" x14ac:dyDescent="0.2">
      <c r="G3188" s="45"/>
      <c r="L3188" s="8"/>
    </row>
    <row r="3189" spans="7:12" x14ac:dyDescent="0.2">
      <c r="G3189" s="45"/>
      <c r="L3189" s="8"/>
    </row>
    <row r="3190" spans="7:12" x14ac:dyDescent="0.2">
      <c r="G3190" s="45"/>
      <c r="L3190" s="8"/>
    </row>
    <row r="3191" spans="7:12" x14ac:dyDescent="0.2">
      <c r="G3191" s="45"/>
      <c r="L3191" s="8"/>
    </row>
    <row r="3192" spans="7:12" x14ac:dyDescent="0.2">
      <c r="G3192" s="45"/>
      <c r="L3192" s="8"/>
    </row>
    <row r="3193" spans="7:12" x14ac:dyDescent="0.2">
      <c r="G3193" s="45"/>
      <c r="L3193" s="8"/>
    </row>
    <row r="3194" spans="7:12" x14ac:dyDescent="0.2">
      <c r="G3194" s="45"/>
      <c r="L3194" s="8"/>
    </row>
    <row r="3195" spans="7:12" x14ac:dyDescent="0.2">
      <c r="G3195" s="45"/>
      <c r="L3195" s="8"/>
    </row>
    <row r="3196" spans="7:12" x14ac:dyDescent="0.2">
      <c r="G3196" s="45"/>
      <c r="L3196" s="8"/>
    </row>
    <row r="3197" spans="7:12" x14ac:dyDescent="0.2">
      <c r="G3197" s="45"/>
      <c r="L3197" s="8"/>
    </row>
    <row r="3198" spans="7:12" x14ac:dyDescent="0.2">
      <c r="G3198" s="45"/>
      <c r="L3198" s="8"/>
    </row>
    <row r="3199" spans="7:12" x14ac:dyDescent="0.2">
      <c r="G3199" s="45"/>
      <c r="L3199" s="8"/>
    </row>
    <row r="3200" spans="7:12" x14ac:dyDescent="0.2">
      <c r="G3200" s="45"/>
      <c r="L3200" s="8"/>
    </row>
    <row r="3201" spans="7:12" x14ac:dyDescent="0.2">
      <c r="G3201" s="45"/>
      <c r="L3201" s="8"/>
    </row>
    <row r="3202" spans="7:12" x14ac:dyDescent="0.2">
      <c r="G3202" s="45"/>
      <c r="L3202" s="8"/>
    </row>
    <row r="3203" spans="7:12" x14ac:dyDescent="0.2">
      <c r="G3203" s="45"/>
      <c r="L3203" s="8"/>
    </row>
    <row r="3204" spans="7:12" x14ac:dyDescent="0.2">
      <c r="G3204" s="45"/>
      <c r="L3204" s="8"/>
    </row>
    <row r="3205" spans="7:12" x14ac:dyDescent="0.2">
      <c r="G3205" s="45"/>
      <c r="L3205" s="8"/>
    </row>
    <row r="3206" spans="7:12" x14ac:dyDescent="0.2">
      <c r="G3206" s="45"/>
      <c r="L3206" s="8"/>
    </row>
    <row r="3207" spans="7:12" x14ac:dyDescent="0.2">
      <c r="G3207" s="45"/>
      <c r="L3207" s="8"/>
    </row>
    <row r="3208" spans="7:12" x14ac:dyDescent="0.2">
      <c r="G3208" s="45"/>
      <c r="L3208" s="8"/>
    </row>
    <row r="3209" spans="7:12" x14ac:dyDescent="0.2">
      <c r="G3209" s="45"/>
      <c r="L3209" s="8"/>
    </row>
    <row r="3210" spans="7:12" x14ac:dyDescent="0.2">
      <c r="G3210" s="45"/>
      <c r="L3210" s="8"/>
    </row>
    <row r="3211" spans="7:12" x14ac:dyDescent="0.2">
      <c r="G3211" s="45"/>
      <c r="L3211" s="8"/>
    </row>
    <row r="3212" spans="7:12" x14ac:dyDescent="0.2">
      <c r="G3212" s="45"/>
      <c r="L3212" s="8"/>
    </row>
    <row r="3213" spans="7:12" x14ac:dyDescent="0.2">
      <c r="G3213" s="45"/>
      <c r="L3213" s="8"/>
    </row>
    <row r="3214" spans="7:12" x14ac:dyDescent="0.2">
      <c r="G3214" s="45"/>
      <c r="L3214" s="8"/>
    </row>
    <row r="3215" spans="7:12" x14ac:dyDescent="0.2">
      <c r="G3215" s="45"/>
      <c r="L3215" s="8"/>
    </row>
    <row r="3216" spans="7:12" x14ac:dyDescent="0.2">
      <c r="G3216" s="45"/>
      <c r="L3216" s="8"/>
    </row>
    <row r="3217" spans="7:12" x14ac:dyDescent="0.2">
      <c r="G3217" s="45"/>
      <c r="L3217" s="8"/>
    </row>
    <row r="3218" spans="7:12" x14ac:dyDescent="0.2">
      <c r="G3218" s="45"/>
      <c r="L3218" s="8"/>
    </row>
    <row r="3219" spans="7:12" x14ac:dyDescent="0.2">
      <c r="G3219" s="45"/>
      <c r="L3219" s="8"/>
    </row>
    <row r="3220" spans="7:12" x14ac:dyDescent="0.2">
      <c r="G3220" s="45"/>
      <c r="L3220" s="8"/>
    </row>
    <row r="3221" spans="7:12" x14ac:dyDescent="0.2">
      <c r="G3221" s="45"/>
      <c r="L3221" s="8"/>
    </row>
    <row r="3222" spans="7:12" x14ac:dyDescent="0.2">
      <c r="G3222" s="45"/>
      <c r="L3222" s="8"/>
    </row>
    <row r="3223" spans="7:12" x14ac:dyDescent="0.2">
      <c r="G3223" s="45"/>
      <c r="L3223" s="8"/>
    </row>
    <row r="3224" spans="7:12" x14ac:dyDescent="0.2">
      <c r="G3224" s="45"/>
      <c r="L3224" s="8"/>
    </row>
    <row r="3225" spans="7:12" x14ac:dyDescent="0.2">
      <c r="G3225" s="45"/>
      <c r="L3225" s="8"/>
    </row>
    <row r="3226" spans="7:12" x14ac:dyDescent="0.2">
      <c r="G3226" s="45"/>
      <c r="L3226" s="8"/>
    </row>
    <row r="3227" spans="7:12" x14ac:dyDescent="0.2">
      <c r="G3227" s="45"/>
      <c r="L3227" s="8"/>
    </row>
    <row r="3228" spans="7:12" x14ac:dyDescent="0.2">
      <c r="G3228" s="45"/>
      <c r="L3228" s="8"/>
    </row>
    <row r="3229" spans="7:12" x14ac:dyDescent="0.2">
      <c r="G3229" s="45"/>
      <c r="L3229" s="8"/>
    </row>
    <row r="3230" spans="7:12" x14ac:dyDescent="0.2">
      <c r="G3230" s="45"/>
      <c r="L3230" s="8"/>
    </row>
    <row r="3231" spans="7:12" x14ac:dyDescent="0.2">
      <c r="G3231" s="45"/>
      <c r="L3231" s="8"/>
    </row>
    <row r="3232" spans="7:12" x14ac:dyDescent="0.2">
      <c r="G3232" s="45"/>
      <c r="L3232" s="8"/>
    </row>
    <row r="3233" spans="7:12" x14ac:dyDescent="0.2">
      <c r="G3233" s="45"/>
      <c r="L3233" s="8"/>
    </row>
    <row r="3234" spans="7:12" x14ac:dyDescent="0.2">
      <c r="G3234" s="45"/>
      <c r="L3234" s="8"/>
    </row>
    <row r="3235" spans="7:12" x14ac:dyDescent="0.2">
      <c r="G3235" s="45"/>
      <c r="L3235" s="8"/>
    </row>
    <row r="3236" spans="7:12" x14ac:dyDescent="0.2">
      <c r="G3236" s="45"/>
      <c r="L3236" s="8"/>
    </row>
    <row r="3237" spans="7:12" x14ac:dyDescent="0.2">
      <c r="G3237" s="45"/>
      <c r="L3237" s="8"/>
    </row>
    <row r="3238" spans="7:12" x14ac:dyDescent="0.2">
      <c r="G3238" s="45"/>
      <c r="L3238" s="8"/>
    </row>
    <row r="3239" spans="7:12" x14ac:dyDescent="0.2">
      <c r="G3239" s="45"/>
      <c r="L3239" s="8"/>
    </row>
    <row r="3240" spans="7:12" x14ac:dyDescent="0.2">
      <c r="G3240" s="45"/>
      <c r="L3240" s="8"/>
    </row>
    <row r="3241" spans="7:12" x14ac:dyDescent="0.2">
      <c r="G3241" s="45"/>
      <c r="L3241" s="8"/>
    </row>
    <row r="3242" spans="7:12" x14ac:dyDescent="0.2">
      <c r="G3242" s="45"/>
      <c r="L3242" s="8"/>
    </row>
    <row r="3243" spans="7:12" x14ac:dyDescent="0.2">
      <c r="G3243" s="45"/>
      <c r="L3243" s="8"/>
    </row>
    <row r="3244" spans="7:12" x14ac:dyDescent="0.2">
      <c r="G3244" s="45"/>
      <c r="L3244" s="8"/>
    </row>
    <row r="3245" spans="7:12" x14ac:dyDescent="0.2">
      <c r="G3245" s="45"/>
      <c r="L3245" s="8"/>
    </row>
    <row r="3246" spans="7:12" x14ac:dyDescent="0.2">
      <c r="G3246" s="45"/>
      <c r="L3246" s="8"/>
    </row>
    <row r="3247" spans="7:12" x14ac:dyDescent="0.2">
      <c r="G3247" s="45"/>
      <c r="L3247" s="8"/>
    </row>
    <row r="3248" spans="7:12" x14ac:dyDescent="0.2">
      <c r="G3248" s="45"/>
      <c r="L3248" s="8"/>
    </row>
    <row r="3249" spans="7:12" x14ac:dyDescent="0.2">
      <c r="G3249" s="45"/>
      <c r="L3249" s="8"/>
    </row>
    <row r="3250" spans="7:12" x14ac:dyDescent="0.2">
      <c r="G3250" s="45"/>
      <c r="L3250" s="8"/>
    </row>
    <row r="3251" spans="7:12" x14ac:dyDescent="0.2">
      <c r="G3251" s="45"/>
      <c r="L3251" s="8"/>
    </row>
    <row r="3252" spans="7:12" x14ac:dyDescent="0.2">
      <c r="G3252" s="45"/>
      <c r="L3252" s="8"/>
    </row>
    <row r="3253" spans="7:12" x14ac:dyDescent="0.2">
      <c r="G3253" s="45"/>
      <c r="L3253" s="8"/>
    </row>
    <row r="3254" spans="7:12" x14ac:dyDescent="0.2">
      <c r="G3254" s="45"/>
      <c r="L3254" s="8"/>
    </row>
    <row r="3255" spans="7:12" x14ac:dyDescent="0.2">
      <c r="G3255" s="45"/>
      <c r="L3255" s="8"/>
    </row>
    <row r="3256" spans="7:12" x14ac:dyDescent="0.2">
      <c r="G3256" s="45"/>
      <c r="L3256" s="8"/>
    </row>
    <row r="3257" spans="7:12" x14ac:dyDescent="0.2">
      <c r="G3257" s="45"/>
      <c r="L3257" s="8"/>
    </row>
    <row r="3258" spans="7:12" x14ac:dyDescent="0.2">
      <c r="G3258" s="45"/>
      <c r="L3258" s="8"/>
    </row>
    <row r="3259" spans="7:12" x14ac:dyDescent="0.2">
      <c r="G3259" s="45"/>
      <c r="L3259" s="8"/>
    </row>
    <row r="3260" spans="7:12" x14ac:dyDescent="0.2">
      <c r="G3260" s="45"/>
      <c r="L3260" s="8"/>
    </row>
    <row r="3261" spans="7:12" x14ac:dyDescent="0.2">
      <c r="G3261" s="45"/>
      <c r="L3261" s="8"/>
    </row>
    <row r="3262" spans="7:12" x14ac:dyDescent="0.2">
      <c r="G3262" s="45"/>
      <c r="L3262" s="8"/>
    </row>
    <row r="3263" spans="7:12" x14ac:dyDescent="0.2">
      <c r="G3263" s="45"/>
      <c r="L3263" s="8"/>
    </row>
    <row r="3264" spans="7:12" x14ac:dyDescent="0.2">
      <c r="G3264" s="45"/>
      <c r="L3264" s="8"/>
    </row>
    <row r="3265" spans="7:12" x14ac:dyDescent="0.2">
      <c r="G3265" s="45"/>
      <c r="L3265" s="8"/>
    </row>
    <row r="3266" spans="7:12" x14ac:dyDescent="0.2">
      <c r="G3266" s="45"/>
      <c r="L3266" s="8"/>
    </row>
    <row r="3267" spans="7:12" x14ac:dyDescent="0.2">
      <c r="G3267" s="45"/>
      <c r="L3267" s="8"/>
    </row>
    <row r="3268" spans="7:12" x14ac:dyDescent="0.2">
      <c r="G3268" s="45"/>
      <c r="L3268" s="8"/>
    </row>
    <row r="3269" spans="7:12" x14ac:dyDescent="0.2">
      <c r="G3269" s="45"/>
      <c r="L3269" s="8"/>
    </row>
    <row r="3270" spans="7:12" x14ac:dyDescent="0.2">
      <c r="G3270" s="45"/>
      <c r="L3270" s="8"/>
    </row>
    <row r="3271" spans="7:12" x14ac:dyDescent="0.2">
      <c r="G3271" s="45"/>
      <c r="L3271" s="8"/>
    </row>
    <row r="3272" spans="7:12" x14ac:dyDescent="0.2">
      <c r="G3272" s="45"/>
      <c r="L3272" s="8"/>
    </row>
    <row r="3273" spans="7:12" x14ac:dyDescent="0.2">
      <c r="G3273" s="45"/>
      <c r="L3273" s="8"/>
    </row>
    <row r="3274" spans="7:12" x14ac:dyDescent="0.2">
      <c r="G3274" s="45"/>
      <c r="L3274" s="8"/>
    </row>
    <row r="3275" spans="7:12" x14ac:dyDescent="0.2">
      <c r="G3275" s="45"/>
      <c r="L3275" s="8"/>
    </row>
    <row r="3276" spans="7:12" x14ac:dyDescent="0.2">
      <c r="G3276" s="45"/>
      <c r="L3276" s="8"/>
    </row>
    <row r="3277" spans="7:12" x14ac:dyDescent="0.2">
      <c r="G3277" s="45"/>
      <c r="L3277" s="8"/>
    </row>
    <row r="3278" spans="7:12" x14ac:dyDescent="0.2">
      <c r="G3278" s="45"/>
      <c r="L3278" s="8"/>
    </row>
    <row r="3279" spans="7:12" x14ac:dyDescent="0.2">
      <c r="G3279" s="45"/>
      <c r="L3279" s="8"/>
    </row>
    <row r="3280" spans="7:12" x14ac:dyDescent="0.2">
      <c r="G3280" s="45"/>
      <c r="L3280" s="8"/>
    </row>
    <row r="3281" spans="7:12" x14ac:dyDescent="0.2">
      <c r="G3281" s="45"/>
      <c r="L3281" s="8"/>
    </row>
    <row r="3282" spans="7:12" x14ac:dyDescent="0.2">
      <c r="G3282" s="45"/>
      <c r="L3282" s="8"/>
    </row>
    <row r="3283" spans="7:12" x14ac:dyDescent="0.2">
      <c r="G3283" s="45"/>
      <c r="L3283" s="8"/>
    </row>
    <row r="3284" spans="7:12" x14ac:dyDescent="0.2">
      <c r="G3284" s="45"/>
      <c r="L3284" s="8"/>
    </row>
    <row r="3285" spans="7:12" x14ac:dyDescent="0.2">
      <c r="G3285" s="45"/>
      <c r="L3285" s="8"/>
    </row>
    <row r="3286" spans="7:12" x14ac:dyDescent="0.2">
      <c r="G3286" s="45"/>
      <c r="L3286" s="8"/>
    </row>
    <row r="3287" spans="7:12" x14ac:dyDescent="0.2">
      <c r="G3287" s="45"/>
      <c r="L3287" s="8"/>
    </row>
    <row r="3288" spans="7:12" x14ac:dyDescent="0.2">
      <c r="G3288" s="45"/>
      <c r="L3288" s="8"/>
    </row>
    <row r="3289" spans="7:12" x14ac:dyDescent="0.2">
      <c r="G3289" s="45"/>
      <c r="L3289" s="8"/>
    </row>
    <row r="3290" spans="7:12" x14ac:dyDescent="0.2">
      <c r="G3290" s="45"/>
      <c r="L3290" s="8"/>
    </row>
    <row r="3291" spans="7:12" x14ac:dyDescent="0.2">
      <c r="G3291" s="45"/>
      <c r="L3291" s="8"/>
    </row>
    <row r="3292" spans="7:12" x14ac:dyDescent="0.2">
      <c r="G3292" s="45"/>
      <c r="L3292" s="8"/>
    </row>
    <row r="3293" spans="7:12" x14ac:dyDescent="0.2">
      <c r="G3293" s="45"/>
      <c r="L3293" s="8"/>
    </row>
    <row r="3294" spans="7:12" x14ac:dyDescent="0.2">
      <c r="G3294" s="45"/>
      <c r="L3294" s="8"/>
    </row>
    <row r="3295" spans="7:12" x14ac:dyDescent="0.2">
      <c r="G3295" s="45"/>
      <c r="L3295" s="8"/>
    </row>
    <row r="3296" spans="7:12" x14ac:dyDescent="0.2">
      <c r="G3296" s="45"/>
      <c r="L3296" s="8"/>
    </row>
    <row r="3297" spans="7:12" x14ac:dyDescent="0.2">
      <c r="G3297" s="45"/>
      <c r="L3297" s="8"/>
    </row>
    <row r="3298" spans="7:12" x14ac:dyDescent="0.2">
      <c r="G3298" s="45"/>
      <c r="L3298" s="8"/>
    </row>
    <row r="3299" spans="7:12" x14ac:dyDescent="0.2">
      <c r="G3299" s="45"/>
      <c r="L3299" s="8"/>
    </row>
    <row r="3300" spans="7:12" x14ac:dyDescent="0.2">
      <c r="G3300" s="45"/>
      <c r="L3300" s="8"/>
    </row>
    <row r="3301" spans="7:12" x14ac:dyDescent="0.2">
      <c r="G3301" s="45"/>
      <c r="L3301" s="8"/>
    </row>
    <row r="3302" spans="7:12" x14ac:dyDescent="0.2">
      <c r="G3302" s="45"/>
      <c r="L3302" s="8"/>
    </row>
    <row r="3303" spans="7:12" x14ac:dyDescent="0.2">
      <c r="G3303" s="45"/>
      <c r="L3303" s="8"/>
    </row>
    <row r="3304" spans="7:12" x14ac:dyDescent="0.2">
      <c r="G3304" s="45"/>
      <c r="L3304" s="8"/>
    </row>
    <row r="3305" spans="7:12" x14ac:dyDescent="0.2">
      <c r="G3305" s="45"/>
      <c r="L3305" s="8"/>
    </row>
    <row r="3306" spans="7:12" x14ac:dyDescent="0.2">
      <c r="G3306" s="45"/>
      <c r="L3306" s="8"/>
    </row>
    <row r="3307" spans="7:12" x14ac:dyDescent="0.2">
      <c r="G3307" s="45"/>
      <c r="L3307" s="8"/>
    </row>
    <row r="3308" spans="7:12" x14ac:dyDescent="0.2">
      <c r="G3308" s="45"/>
      <c r="L3308" s="8"/>
    </row>
    <row r="3309" spans="7:12" x14ac:dyDescent="0.2">
      <c r="G3309" s="45"/>
      <c r="L3309" s="8"/>
    </row>
    <row r="3310" spans="7:12" x14ac:dyDescent="0.2">
      <c r="G3310" s="45"/>
      <c r="L3310" s="8"/>
    </row>
    <row r="3311" spans="7:12" x14ac:dyDescent="0.2">
      <c r="G3311" s="45"/>
      <c r="L3311" s="8"/>
    </row>
    <row r="3312" spans="7:12" x14ac:dyDescent="0.2">
      <c r="G3312" s="45"/>
      <c r="L3312" s="8"/>
    </row>
    <row r="3313" spans="7:12" x14ac:dyDescent="0.2">
      <c r="G3313" s="45"/>
      <c r="L3313" s="8"/>
    </row>
    <row r="3314" spans="7:12" x14ac:dyDescent="0.2">
      <c r="G3314" s="45"/>
      <c r="L3314" s="8"/>
    </row>
    <row r="3315" spans="7:12" x14ac:dyDescent="0.2">
      <c r="G3315" s="45"/>
      <c r="L3315" s="8"/>
    </row>
    <row r="3316" spans="7:12" x14ac:dyDescent="0.2">
      <c r="G3316" s="45"/>
      <c r="L3316" s="8"/>
    </row>
    <row r="3317" spans="7:12" x14ac:dyDescent="0.2">
      <c r="G3317" s="45"/>
      <c r="L3317" s="8"/>
    </row>
    <row r="3318" spans="7:12" x14ac:dyDescent="0.2">
      <c r="G3318" s="45"/>
      <c r="L3318" s="8"/>
    </row>
    <row r="3319" spans="7:12" x14ac:dyDescent="0.2">
      <c r="G3319" s="45"/>
      <c r="L3319" s="8"/>
    </row>
    <row r="3320" spans="7:12" x14ac:dyDescent="0.2">
      <c r="G3320" s="45"/>
      <c r="L3320" s="8"/>
    </row>
    <row r="3321" spans="7:12" x14ac:dyDescent="0.2">
      <c r="G3321" s="45"/>
      <c r="L3321" s="8"/>
    </row>
    <row r="3322" spans="7:12" x14ac:dyDescent="0.2">
      <c r="G3322" s="45"/>
      <c r="L3322" s="8"/>
    </row>
    <row r="3323" spans="7:12" x14ac:dyDescent="0.2">
      <c r="G3323" s="45"/>
      <c r="L3323" s="8"/>
    </row>
    <row r="3324" spans="7:12" x14ac:dyDescent="0.2">
      <c r="G3324" s="45"/>
      <c r="L3324" s="8"/>
    </row>
    <row r="3325" spans="7:12" x14ac:dyDescent="0.2">
      <c r="G3325" s="45"/>
      <c r="L3325" s="8"/>
    </row>
    <row r="3326" spans="7:12" x14ac:dyDescent="0.2">
      <c r="G3326" s="45"/>
      <c r="L3326" s="8"/>
    </row>
    <row r="3327" spans="7:12" x14ac:dyDescent="0.2">
      <c r="G3327" s="45"/>
      <c r="L3327" s="8"/>
    </row>
    <row r="3328" spans="7:12" x14ac:dyDescent="0.2">
      <c r="G3328" s="45"/>
      <c r="L3328" s="8"/>
    </row>
    <row r="3329" spans="7:12" x14ac:dyDescent="0.2">
      <c r="G3329" s="45"/>
      <c r="L3329" s="8"/>
    </row>
    <row r="3330" spans="7:12" x14ac:dyDescent="0.2">
      <c r="G3330" s="45"/>
      <c r="L3330" s="8"/>
    </row>
    <row r="3331" spans="7:12" x14ac:dyDescent="0.2">
      <c r="G3331" s="45"/>
      <c r="L3331" s="8"/>
    </row>
    <row r="3332" spans="7:12" x14ac:dyDescent="0.2">
      <c r="G3332" s="45"/>
      <c r="L3332" s="8"/>
    </row>
    <row r="3333" spans="7:12" x14ac:dyDescent="0.2">
      <c r="G3333" s="45"/>
      <c r="L3333" s="8"/>
    </row>
    <row r="3334" spans="7:12" x14ac:dyDescent="0.2">
      <c r="G3334" s="45"/>
      <c r="L3334" s="8"/>
    </row>
    <row r="3335" spans="7:12" x14ac:dyDescent="0.2">
      <c r="G3335" s="45"/>
      <c r="L3335" s="8"/>
    </row>
    <row r="3336" spans="7:12" x14ac:dyDescent="0.2">
      <c r="G3336" s="45"/>
      <c r="L3336" s="8"/>
    </row>
    <row r="3337" spans="7:12" x14ac:dyDescent="0.2">
      <c r="G3337" s="45"/>
      <c r="L3337" s="8"/>
    </row>
    <row r="3338" spans="7:12" x14ac:dyDescent="0.2">
      <c r="G3338" s="45"/>
      <c r="L3338" s="8"/>
    </row>
    <row r="3339" spans="7:12" x14ac:dyDescent="0.2">
      <c r="G3339" s="45"/>
      <c r="L3339" s="8"/>
    </row>
    <row r="3340" spans="7:12" x14ac:dyDescent="0.2">
      <c r="G3340" s="45"/>
      <c r="L3340" s="8"/>
    </row>
    <row r="3341" spans="7:12" x14ac:dyDescent="0.2">
      <c r="G3341" s="45"/>
      <c r="L3341" s="8"/>
    </row>
    <row r="3342" spans="7:12" x14ac:dyDescent="0.2">
      <c r="G3342" s="45"/>
      <c r="L3342" s="8"/>
    </row>
    <row r="3343" spans="7:12" x14ac:dyDescent="0.2">
      <c r="G3343" s="45"/>
      <c r="L3343" s="8"/>
    </row>
    <row r="3344" spans="7:12" x14ac:dyDescent="0.2">
      <c r="G3344" s="45"/>
      <c r="L3344" s="8"/>
    </row>
    <row r="3345" spans="7:12" x14ac:dyDescent="0.2">
      <c r="G3345" s="45"/>
      <c r="L3345" s="8"/>
    </row>
    <row r="3346" spans="7:12" x14ac:dyDescent="0.2">
      <c r="G3346" s="45"/>
      <c r="L3346" s="8"/>
    </row>
    <row r="3347" spans="7:12" x14ac:dyDescent="0.2">
      <c r="G3347" s="45"/>
      <c r="L3347" s="8"/>
    </row>
    <row r="3348" spans="7:12" x14ac:dyDescent="0.2">
      <c r="G3348" s="45"/>
      <c r="L3348" s="8"/>
    </row>
    <row r="3349" spans="7:12" x14ac:dyDescent="0.2">
      <c r="G3349" s="45"/>
      <c r="L3349" s="8"/>
    </row>
    <row r="3350" spans="7:12" x14ac:dyDescent="0.2">
      <c r="G3350" s="45"/>
      <c r="L3350" s="8"/>
    </row>
    <row r="3351" spans="7:12" x14ac:dyDescent="0.2">
      <c r="G3351" s="45"/>
      <c r="L3351" s="8"/>
    </row>
    <row r="3352" spans="7:12" x14ac:dyDescent="0.2">
      <c r="G3352" s="45"/>
      <c r="L3352" s="8"/>
    </row>
    <row r="3353" spans="7:12" x14ac:dyDescent="0.2">
      <c r="G3353" s="45"/>
      <c r="L3353" s="8"/>
    </row>
    <row r="3354" spans="7:12" x14ac:dyDescent="0.2">
      <c r="G3354" s="45"/>
      <c r="L3354" s="8"/>
    </row>
    <row r="3355" spans="7:12" x14ac:dyDescent="0.2">
      <c r="G3355" s="45"/>
      <c r="L3355" s="8"/>
    </row>
    <row r="3356" spans="7:12" x14ac:dyDescent="0.2">
      <c r="G3356" s="45"/>
      <c r="L3356" s="8"/>
    </row>
    <row r="3357" spans="7:12" x14ac:dyDescent="0.2">
      <c r="G3357" s="45"/>
      <c r="L3357" s="8"/>
    </row>
    <row r="3358" spans="7:12" x14ac:dyDescent="0.2">
      <c r="G3358" s="45"/>
      <c r="L3358" s="8"/>
    </row>
    <row r="3359" spans="7:12" x14ac:dyDescent="0.2">
      <c r="G3359" s="45"/>
      <c r="L3359" s="8"/>
    </row>
    <row r="3360" spans="7:12" x14ac:dyDescent="0.2">
      <c r="G3360" s="45"/>
      <c r="L3360" s="8"/>
    </row>
    <row r="3361" spans="7:12" x14ac:dyDescent="0.2">
      <c r="G3361" s="45"/>
      <c r="L3361" s="8"/>
    </row>
    <row r="3362" spans="7:12" x14ac:dyDescent="0.2">
      <c r="G3362" s="45"/>
      <c r="L3362" s="8"/>
    </row>
    <row r="3363" spans="7:12" x14ac:dyDescent="0.2">
      <c r="G3363" s="45"/>
      <c r="L3363" s="8"/>
    </row>
    <row r="3364" spans="7:12" x14ac:dyDescent="0.2">
      <c r="G3364" s="45"/>
      <c r="L3364" s="8"/>
    </row>
    <row r="3365" spans="7:12" x14ac:dyDescent="0.2">
      <c r="G3365" s="45"/>
      <c r="L3365" s="8"/>
    </row>
    <row r="3366" spans="7:12" x14ac:dyDescent="0.2">
      <c r="G3366" s="45"/>
      <c r="L3366" s="8"/>
    </row>
    <row r="3367" spans="7:12" x14ac:dyDescent="0.2">
      <c r="G3367" s="45"/>
      <c r="L3367" s="8"/>
    </row>
    <row r="3368" spans="7:12" x14ac:dyDescent="0.2">
      <c r="G3368" s="45"/>
      <c r="L3368" s="8"/>
    </row>
    <row r="3369" spans="7:12" x14ac:dyDescent="0.2">
      <c r="G3369" s="45"/>
      <c r="L3369" s="8"/>
    </row>
    <row r="3370" spans="7:12" x14ac:dyDescent="0.2">
      <c r="G3370" s="45"/>
      <c r="L3370" s="8"/>
    </row>
    <row r="3371" spans="7:12" x14ac:dyDescent="0.2">
      <c r="G3371" s="45"/>
      <c r="L3371" s="8"/>
    </row>
    <row r="3372" spans="7:12" x14ac:dyDescent="0.2">
      <c r="G3372" s="45"/>
      <c r="L3372" s="8"/>
    </row>
    <row r="3373" spans="7:12" x14ac:dyDescent="0.2">
      <c r="G3373" s="45"/>
      <c r="L3373" s="8"/>
    </row>
    <row r="3374" spans="7:12" x14ac:dyDescent="0.2">
      <c r="G3374" s="45"/>
      <c r="L3374" s="8"/>
    </row>
    <row r="3375" spans="7:12" x14ac:dyDescent="0.2">
      <c r="G3375" s="45"/>
      <c r="L3375" s="8"/>
    </row>
    <row r="3376" spans="7:12" x14ac:dyDescent="0.2">
      <c r="G3376" s="45"/>
      <c r="L3376" s="8"/>
    </row>
    <row r="3377" spans="7:12" x14ac:dyDescent="0.2">
      <c r="G3377" s="45"/>
      <c r="L3377" s="8"/>
    </row>
    <row r="3378" spans="7:12" x14ac:dyDescent="0.2">
      <c r="G3378" s="45"/>
      <c r="L3378" s="8"/>
    </row>
    <row r="3379" spans="7:12" x14ac:dyDescent="0.2">
      <c r="G3379" s="45"/>
      <c r="L3379" s="8"/>
    </row>
    <row r="3380" spans="7:12" x14ac:dyDescent="0.2">
      <c r="G3380" s="45"/>
      <c r="L3380" s="8"/>
    </row>
    <row r="3381" spans="7:12" x14ac:dyDescent="0.2">
      <c r="G3381" s="45"/>
      <c r="L3381" s="8"/>
    </row>
    <row r="3382" spans="7:12" x14ac:dyDescent="0.2">
      <c r="G3382" s="45"/>
      <c r="L3382" s="8"/>
    </row>
    <row r="3383" spans="7:12" x14ac:dyDescent="0.2">
      <c r="G3383" s="45"/>
      <c r="L3383" s="8"/>
    </row>
    <row r="3384" spans="7:12" x14ac:dyDescent="0.2">
      <c r="G3384" s="45"/>
      <c r="L3384" s="8"/>
    </row>
    <row r="3385" spans="7:12" x14ac:dyDescent="0.2">
      <c r="G3385" s="45"/>
      <c r="L3385" s="8"/>
    </row>
    <row r="3386" spans="7:12" x14ac:dyDescent="0.2">
      <c r="G3386" s="45"/>
      <c r="L3386" s="8"/>
    </row>
    <row r="3387" spans="7:12" x14ac:dyDescent="0.2">
      <c r="G3387" s="45"/>
      <c r="L3387" s="8"/>
    </row>
    <row r="3388" spans="7:12" x14ac:dyDescent="0.2">
      <c r="G3388" s="45"/>
      <c r="L3388" s="8"/>
    </row>
    <row r="3389" spans="7:12" x14ac:dyDescent="0.2">
      <c r="G3389" s="45"/>
      <c r="L3389" s="8"/>
    </row>
    <row r="3390" spans="7:12" x14ac:dyDescent="0.2">
      <c r="G3390" s="45"/>
      <c r="L3390" s="8"/>
    </row>
    <row r="3391" spans="7:12" x14ac:dyDescent="0.2">
      <c r="G3391" s="45"/>
      <c r="L3391" s="8"/>
    </row>
    <row r="3392" spans="7:12" x14ac:dyDescent="0.2">
      <c r="G3392" s="45"/>
      <c r="L3392" s="8"/>
    </row>
    <row r="3393" spans="7:12" x14ac:dyDescent="0.2">
      <c r="G3393" s="45"/>
      <c r="L3393" s="8"/>
    </row>
    <row r="3394" spans="7:12" x14ac:dyDescent="0.2">
      <c r="G3394" s="45"/>
      <c r="L3394" s="8"/>
    </row>
    <row r="3395" spans="7:12" x14ac:dyDescent="0.2">
      <c r="G3395" s="45"/>
      <c r="L3395" s="8"/>
    </row>
    <row r="3396" spans="7:12" x14ac:dyDescent="0.2">
      <c r="G3396" s="45"/>
      <c r="L3396" s="8"/>
    </row>
    <row r="3397" spans="7:12" x14ac:dyDescent="0.2">
      <c r="G3397" s="45"/>
      <c r="L3397" s="8"/>
    </row>
    <row r="3398" spans="7:12" x14ac:dyDescent="0.2">
      <c r="G3398" s="45"/>
      <c r="L3398" s="8"/>
    </row>
    <row r="3399" spans="7:12" x14ac:dyDescent="0.2">
      <c r="G3399" s="45"/>
      <c r="L3399" s="8"/>
    </row>
    <row r="3400" spans="7:12" x14ac:dyDescent="0.2">
      <c r="G3400" s="45"/>
      <c r="L3400" s="8"/>
    </row>
    <row r="3401" spans="7:12" x14ac:dyDescent="0.2">
      <c r="G3401" s="45"/>
      <c r="L3401" s="8"/>
    </row>
    <row r="3402" spans="7:12" x14ac:dyDescent="0.2">
      <c r="G3402" s="45"/>
      <c r="L3402" s="8"/>
    </row>
    <row r="3403" spans="7:12" x14ac:dyDescent="0.2">
      <c r="G3403" s="45"/>
      <c r="L3403" s="8"/>
    </row>
    <row r="3404" spans="7:12" x14ac:dyDescent="0.2">
      <c r="G3404" s="45"/>
      <c r="L3404" s="8"/>
    </row>
    <row r="3405" spans="7:12" x14ac:dyDescent="0.2">
      <c r="G3405" s="45"/>
      <c r="L3405" s="8"/>
    </row>
    <row r="3406" spans="7:12" x14ac:dyDescent="0.2">
      <c r="G3406" s="45"/>
      <c r="L3406" s="8"/>
    </row>
    <row r="3407" spans="7:12" x14ac:dyDescent="0.2">
      <c r="G3407" s="45"/>
      <c r="L3407" s="8"/>
    </row>
    <row r="3408" spans="7:12" x14ac:dyDescent="0.2">
      <c r="G3408" s="45"/>
      <c r="L3408" s="8"/>
    </row>
    <row r="3409" spans="7:12" x14ac:dyDescent="0.2">
      <c r="G3409" s="45"/>
      <c r="L3409" s="8"/>
    </row>
    <row r="3410" spans="7:12" x14ac:dyDescent="0.2">
      <c r="G3410" s="45"/>
      <c r="L3410" s="8"/>
    </row>
    <row r="3411" spans="7:12" x14ac:dyDescent="0.2">
      <c r="G3411" s="45"/>
      <c r="L3411" s="8"/>
    </row>
    <row r="3412" spans="7:12" x14ac:dyDescent="0.2">
      <c r="G3412" s="45"/>
      <c r="L3412" s="8"/>
    </row>
    <row r="3413" spans="7:12" x14ac:dyDescent="0.2">
      <c r="G3413" s="45"/>
      <c r="L3413" s="8"/>
    </row>
    <row r="3414" spans="7:12" x14ac:dyDescent="0.2">
      <c r="G3414" s="45"/>
      <c r="L3414" s="8"/>
    </row>
    <row r="3415" spans="7:12" x14ac:dyDescent="0.2">
      <c r="G3415" s="45"/>
      <c r="L3415" s="8"/>
    </row>
    <row r="3416" spans="7:12" x14ac:dyDescent="0.2">
      <c r="G3416" s="45"/>
      <c r="L3416" s="8"/>
    </row>
    <row r="3417" spans="7:12" x14ac:dyDescent="0.2">
      <c r="G3417" s="45"/>
      <c r="L3417" s="8"/>
    </row>
    <row r="3418" spans="7:12" x14ac:dyDescent="0.2">
      <c r="G3418" s="45"/>
      <c r="L3418" s="8"/>
    </row>
    <row r="3419" spans="7:12" x14ac:dyDescent="0.2">
      <c r="G3419" s="45"/>
      <c r="L3419" s="8"/>
    </row>
    <row r="3420" spans="7:12" x14ac:dyDescent="0.2">
      <c r="G3420" s="45"/>
      <c r="L3420" s="8"/>
    </row>
    <row r="3421" spans="7:12" x14ac:dyDescent="0.2">
      <c r="G3421" s="45"/>
      <c r="L3421" s="8"/>
    </row>
    <row r="3422" spans="7:12" x14ac:dyDescent="0.2">
      <c r="G3422" s="45"/>
      <c r="L3422" s="8"/>
    </row>
    <row r="3423" spans="7:12" x14ac:dyDescent="0.2">
      <c r="G3423" s="45"/>
      <c r="L3423" s="8"/>
    </row>
    <row r="3424" spans="7:12" x14ac:dyDescent="0.2">
      <c r="G3424" s="45"/>
      <c r="L3424" s="8"/>
    </row>
    <row r="3425" spans="7:12" x14ac:dyDescent="0.2">
      <c r="G3425" s="45"/>
      <c r="L3425" s="8"/>
    </row>
    <row r="3426" spans="7:12" x14ac:dyDescent="0.2">
      <c r="G3426" s="45"/>
      <c r="L3426" s="8"/>
    </row>
    <row r="3427" spans="7:12" x14ac:dyDescent="0.2">
      <c r="G3427" s="45"/>
      <c r="L3427" s="8"/>
    </row>
    <row r="3428" spans="7:12" x14ac:dyDescent="0.2">
      <c r="G3428" s="45"/>
      <c r="L3428" s="8"/>
    </row>
    <row r="3429" spans="7:12" x14ac:dyDescent="0.2">
      <c r="G3429" s="45"/>
      <c r="L3429" s="8"/>
    </row>
    <row r="3430" spans="7:12" x14ac:dyDescent="0.2">
      <c r="G3430" s="45"/>
      <c r="L3430" s="8"/>
    </row>
    <row r="3431" spans="7:12" x14ac:dyDescent="0.2">
      <c r="G3431" s="45"/>
      <c r="L3431" s="8"/>
    </row>
    <row r="3432" spans="7:12" x14ac:dyDescent="0.2">
      <c r="G3432" s="45"/>
      <c r="L3432" s="8"/>
    </row>
    <row r="3433" spans="7:12" x14ac:dyDescent="0.2">
      <c r="G3433" s="45"/>
      <c r="L3433" s="8"/>
    </row>
    <row r="3434" spans="7:12" x14ac:dyDescent="0.2">
      <c r="G3434" s="45"/>
      <c r="L3434" s="8"/>
    </row>
    <row r="3435" spans="7:12" x14ac:dyDescent="0.2">
      <c r="G3435" s="45"/>
      <c r="L3435" s="8"/>
    </row>
    <row r="3436" spans="7:12" x14ac:dyDescent="0.2">
      <c r="G3436" s="45"/>
      <c r="L3436" s="8"/>
    </row>
    <row r="3437" spans="7:12" x14ac:dyDescent="0.2">
      <c r="G3437" s="45"/>
      <c r="L3437" s="8"/>
    </row>
    <row r="3438" spans="7:12" x14ac:dyDescent="0.2">
      <c r="G3438" s="45"/>
      <c r="L3438" s="8"/>
    </row>
    <row r="3439" spans="7:12" x14ac:dyDescent="0.2">
      <c r="G3439" s="45"/>
      <c r="L3439" s="8"/>
    </row>
    <row r="3440" spans="7:12" x14ac:dyDescent="0.2">
      <c r="G3440" s="45"/>
      <c r="L3440" s="8"/>
    </row>
    <row r="3441" spans="7:12" x14ac:dyDescent="0.2">
      <c r="G3441" s="45"/>
      <c r="L3441" s="8"/>
    </row>
    <row r="3442" spans="7:12" x14ac:dyDescent="0.2">
      <c r="G3442" s="45"/>
      <c r="L3442" s="8"/>
    </row>
    <row r="3443" spans="7:12" x14ac:dyDescent="0.2">
      <c r="G3443" s="45"/>
      <c r="L3443" s="8"/>
    </row>
    <row r="3444" spans="7:12" x14ac:dyDescent="0.2">
      <c r="G3444" s="45"/>
      <c r="L3444" s="8"/>
    </row>
    <row r="3445" spans="7:12" x14ac:dyDescent="0.2">
      <c r="G3445" s="45"/>
      <c r="L3445" s="8"/>
    </row>
    <row r="3446" spans="7:12" x14ac:dyDescent="0.2">
      <c r="G3446" s="45"/>
      <c r="L3446" s="8"/>
    </row>
    <row r="3447" spans="7:12" x14ac:dyDescent="0.2">
      <c r="G3447" s="45"/>
      <c r="L3447" s="8"/>
    </row>
    <row r="3448" spans="7:12" x14ac:dyDescent="0.2">
      <c r="G3448" s="45"/>
      <c r="L3448" s="8"/>
    </row>
    <row r="3449" spans="7:12" x14ac:dyDescent="0.2">
      <c r="G3449" s="45"/>
      <c r="L3449" s="8"/>
    </row>
    <row r="3450" spans="7:12" x14ac:dyDescent="0.2">
      <c r="G3450" s="45"/>
      <c r="L3450" s="8"/>
    </row>
    <row r="3451" spans="7:12" x14ac:dyDescent="0.2">
      <c r="G3451" s="45"/>
      <c r="L3451" s="8"/>
    </row>
    <row r="3452" spans="7:12" x14ac:dyDescent="0.2">
      <c r="G3452" s="45"/>
      <c r="L3452" s="8"/>
    </row>
    <row r="3453" spans="7:12" x14ac:dyDescent="0.2">
      <c r="G3453" s="45"/>
      <c r="L3453" s="8"/>
    </row>
    <row r="3454" spans="7:12" x14ac:dyDescent="0.2">
      <c r="G3454" s="45"/>
      <c r="L3454" s="8"/>
    </row>
    <row r="3455" spans="7:12" x14ac:dyDescent="0.2">
      <c r="G3455" s="45"/>
      <c r="L3455" s="8"/>
    </row>
    <row r="3456" spans="7:12" x14ac:dyDescent="0.2">
      <c r="G3456" s="45"/>
      <c r="L3456" s="8"/>
    </row>
    <row r="3457" spans="7:12" x14ac:dyDescent="0.2">
      <c r="G3457" s="45"/>
      <c r="L3457" s="8"/>
    </row>
    <row r="3458" spans="7:12" x14ac:dyDescent="0.2">
      <c r="G3458" s="45"/>
      <c r="L3458" s="8"/>
    </row>
    <row r="3459" spans="7:12" x14ac:dyDescent="0.2">
      <c r="G3459" s="45"/>
      <c r="L3459" s="8"/>
    </row>
    <row r="3460" spans="7:12" x14ac:dyDescent="0.2">
      <c r="G3460" s="45"/>
      <c r="L3460" s="8"/>
    </row>
    <row r="3461" spans="7:12" x14ac:dyDescent="0.2">
      <c r="G3461" s="45"/>
      <c r="L3461" s="8"/>
    </row>
    <row r="3462" spans="7:12" x14ac:dyDescent="0.2">
      <c r="G3462" s="45"/>
      <c r="L3462" s="8"/>
    </row>
    <row r="3463" spans="7:12" x14ac:dyDescent="0.2">
      <c r="G3463" s="45"/>
      <c r="L3463" s="8"/>
    </row>
    <row r="3464" spans="7:12" x14ac:dyDescent="0.2">
      <c r="G3464" s="45"/>
      <c r="L3464" s="8"/>
    </row>
    <row r="3465" spans="7:12" x14ac:dyDescent="0.2">
      <c r="G3465" s="45"/>
      <c r="L3465" s="8"/>
    </row>
    <row r="3466" spans="7:12" x14ac:dyDescent="0.2">
      <c r="G3466" s="45"/>
      <c r="L3466" s="8"/>
    </row>
    <row r="3467" spans="7:12" x14ac:dyDescent="0.2">
      <c r="G3467" s="45"/>
      <c r="L3467" s="8"/>
    </row>
    <row r="3468" spans="7:12" x14ac:dyDescent="0.2">
      <c r="G3468" s="45"/>
      <c r="L3468" s="8"/>
    </row>
    <row r="3469" spans="7:12" x14ac:dyDescent="0.2">
      <c r="G3469" s="45"/>
      <c r="L3469" s="8"/>
    </row>
    <row r="3470" spans="7:12" x14ac:dyDescent="0.2">
      <c r="G3470" s="45"/>
      <c r="L3470" s="8"/>
    </row>
    <row r="3471" spans="7:12" x14ac:dyDescent="0.2">
      <c r="G3471" s="45"/>
      <c r="L3471" s="8"/>
    </row>
    <row r="3472" spans="7:12" x14ac:dyDescent="0.2">
      <c r="G3472" s="45"/>
      <c r="L3472" s="8"/>
    </row>
    <row r="3473" spans="7:12" x14ac:dyDescent="0.2">
      <c r="G3473" s="45"/>
      <c r="L3473" s="8"/>
    </row>
    <row r="3474" spans="7:12" x14ac:dyDescent="0.2">
      <c r="G3474" s="45"/>
      <c r="L3474" s="8"/>
    </row>
    <row r="3475" spans="7:12" x14ac:dyDescent="0.2">
      <c r="G3475" s="45"/>
      <c r="L3475" s="8"/>
    </row>
    <row r="3476" spans="7:12" x14ac:dyDescent="0.2">
      <c r="G3476" s="45"/>
      <c r="L3476" s="8"/>
    </row>
    <row r="3477" spans="7:12" x14ac:dyDescent="0.2">
      <c r="G3477" s="45"/>
      <c r="L3477" s="8"/>
    </row>
    <row r="3478" spans="7:12" x14ac:dyDescent="0.2">
      <c r="G3478" s="45"/>
      <c r="L3478" s="8"/>
    </row>
    <row r="3479" spans="7:12" x14ac:dyDescent="0.2">
      <c r="G3479" s="45"/>
      <c r="L3479" s="8"/>
    </row>
    <row r="3480" spans="7:12" x14ac:dyDescent="0.2">
      <c r="G3480" s="45"/>
      <c r="L3480" s="8"/>
    </row>
    <row r="3481" spans="7:12" x14ac:dyDescent="0.2">
      <c r="G3481" s="45"/>
      <c r="L3481" s="8"/>
    </row>
    <row r="3482" spans="7:12" x14ac:dyDescent="0.2">
      <c r="G3482" s="45"/>
      <c r="L3482" s="8"/>
    </row>
    <row r="3483" spans="7:12" x14ac:dyDescent="0.2">
      <c r="G3483" s="45"/>
      <c r="L3483" s="8"/>
    </row>
    <row r="3484" spans="7:12" x14ac:dyDescent="0.2">
      <c r="G3484" s="45"/>
      <c r="L3484" s="8"/>
    </row>
    <row r="3485" spans="7:12" x14ac:dyDescent="0.2">
      <c r="G3485" s="45"/>
      <c r="L3485" s="8"/>
    </row>
    <row r="3486" spans="7:12" x14ac:dyDescent="0.2">
      <c r="G3486" s="45"/>
      <c r="L3486" s="8"/>
    </row>
    <row r="3487" spans="7:12" x14ac:dyDescent="0.2">
      <c r="G3487" s="45"/>
      <c r="L3487" s="8"/>
    </row>
    <row r="3488" spans="7:12" x14ac:dyDescent="0.2">
      <c r="G3488" s="45"/>
      <c r="L3488" s="8"/>
    </row>
    <row r="3489" spans="7:12" x14ac:dyDescent="0.2">
      <c r="G3489" s="45"/>
      <c r="L3489" s="8"/>
    </row>
    <row r="3490" spans="7:12" x14ac:dyDescent="0.2">
      <c r="G3490" s="45"/>
      <c r="L3490" s="8"/>
    </row>
    <row r="3491" spans="7:12" x14ac:dyDescent="0.2">
      <c r="G3491" s="45"/>
      <c r="L3491" s="8"/>
    </row>
    <row r="3492" spans="7:12" x14ac:dyDescent="0.2">
      <c r="G3492" s="45"/>
      <c r="L3492" s="8"/>
    </row>
    <row r="3493" spans="7:12" x14ac:dyDescent="0.2">
      <c r="G3493" s="45"/>
      <c r="L3493" s="8"/>
    </row>
    <row r="3494" spans="7:12" x14ac:dyDescent="0.2">
      <c r="G3494" s="45"/>
      <c r="L3494" s="8"/>
    </row>
    <row r="3495" spans="7:12" x14ac:dyDescent="0.2">
      <c r="G3495" s="45"/>
      <c r="L3495" s="8"/>
    </row>
    <row r="3496" spans="7:12" x14ac:dyDescent="0.2">
      <c r="G3496" s="45"/>
      <c r="L3496" s="8"/>
    </row>
    <row r="3497" spans="7:12" x14ac:dyDescent="0.2">
      <c r="G3497" s="45"/>
      <c r="L3497" s="8"/>
    </row>
    <row r="3498" spans="7:12" x14ac:dyDescent="0.2">
      <c r="G3498" s="45"/>
      <c r="L3498" s="8"/>
    </row>
    <row r="3499" spans="7:12" x14ac:dyDescent="0.2">
      <c r="G3499" s="45"/>
      <c r="L3499" s="8"/>
    </row>
    <row r="3500" spans="7:12" x14ac:dyDescent="0.2">
      <c r="G3500" s="45"/>
      <c r="L3500" s="8"/>
    </row>
    <row r="3501" spans="7:12" x14ac:dyDescent="0.2">
      <c r="G3501" s="45"/>
      <c r="L3501" s="8"/>
    </row>
    <row r="3502" spans="7:12" x14ac:dyDescent="0.2">
      <c r="G3502" s="45"/>
      <c r="L3502" s="8"/>
    </row>
    <row r="3503" spans="7:12" x14ac:dyDescent="0.2">
      <c r="G3503" s="45"/>
      <c r="L3503" s="8"/>
    </row>
    <row r="3504" spans="7:12" x14ac:dyDescent="0.2">
      <c r="G3504" s="45"/>
      <c r="L3504" s="8"/>
    </row>
    <row r="3505" spans="7:12" x14ac:dyDescent="0.2">
      <c r="G3505" s="45"/>
      <c r="L3505" s="8"/>
    </row>
    <row r="3506" spans="7:12" x14ac:dyDescent="0.2">
      <c r="G3506" s="45"/>
      <c r="L3506" s="8"/>
    </row>
    <row r="3507" spans="7:12" x14ac:dyDescent="0.2">
      <c r="G3507" s="45"/>
      <c r="L3507" s="8"/>
    </row>
    <row r="3508" spans="7:12" x14ac:dyDescent="0.2">
      <c r="G3508" s="45"/>
      <c r="L3508" s="8"/>
    </row>
    <row r="3509" spans="7:12" x14ac:dyDescent="0.2">
      <c r="G3509" s="45"/>
      <c r="L3509" s="8"/>
    </row>
    <row r="3510" spans="7:12" x14ac:dyDescent="0.2">
      <c r="G3510" s="45"/>
      <c r="L3510" s="8"/>
    </row>
    <row r="3511" spans="7:12" x14ac:dyDescent="0.2">
      <c r="G3511" s="45"/>
      <c r="L3511" s="8"/>
    </row>
    <row r="3512" spans="7:12" x14ac:dyDescent="0.2">
      <c r="G3512" s="45"/>
      <c r="L3512" s="8"/>
    </row>
    <row r="3513" spans="7:12" x14ac:dyDescent="0.2">
      <c r="G3513" s="45"/>
      <c r="L3513" s="8"/>
    </row>
    <row r="3514" spans="7:12" x14ac:dyDescent="0.2">
      <c r="G3514" s="45"/>
      <c r="L3514" s="8"/>
    </row>
    <row r="3515" spans="7:12" x14ac:dyDescent="0.2">
      <c r="G3515" s="45"/>
      <c r="L3515" s="8"/>
    </row>
    <row r="3516" spans="7:12" x14ac:dyDescent="0.2">
      <c r="G3516" s="45"/>
      <c r="L3516" s="8"/>
    </row>
    <row r="3517" spans="7:12" x14ac:dyDescent="0.2">
      <c r="G3517" s="45"/>
      <c r="L3517" s="8"/>
    </row>
    <row r="3518" spans="7:12" x14ac:dyDescent="0.2">
      <c r="G3518" s="45"/>
      <c r="L3518" s="8"/>
    </row>
    <row r="3519" spans="7:12" x14ac:dyDescent="0.2">
      <c r="G3519" s="45"/>
      <c r="L3519" s="8"/>
    </row>
    <row r="3520" spans="7:12" x14ac:dyDescent="0.2">
      <c r="G3520" s="45"/>
      <c r="L3520" s="8"/>
    </row>
    <row r="3521" spans="7:12" x14ac:dyDescent="0.2">
      <c r="G3521" s="45"/>
      <c r="L3521" s="8"/>
    </row>
    <row r="3522" spans="7:12" x14ac:dyDescent="0.2">
      <c r="G3522" s="45"/>
      <c r="L3522" s="8"/>
    </row>
    <row r="3523" spans="7:12" x14ac:dyDescent="0.2">
      <c r="G3523" s="45"/>
      <c r="L3523" s="8"/>
    </row>
    <row r="3524" spans="7:12" x14ac:dyDescent="0.2">
      <c r="G3524" s="45"/>
      <c r="L3524" s="8"/>
    </row>
    <row r="3525" spans="7:12" x14ac:dyDescent="0.2">
      <c r="G3525" s="45"/>
      <c r="L3525" s="8"/>
    </row>
    <row r="3526" spans="7:12" x14ac:dyDescent="0.2">
      <c r="G3526" s="45"/>
      <c r="L3526" s="8"/>
    </row>
    <row r="3527" spans="7:12" x14ac:dyDescent="0.2">
      <c r="G3527" s="45"/>
      <c r="L3527" s="8"/>
    </row>
    <row r="3528" spans="7:12" x14ac:dyDescent="0.2">
      <c r="G3528" s="45"/>
      <c r="L3528" s="8"/>
    </row>
    <row r="3529" spans="7:12" x14ac:dyDescent="0.2">
      <c r="G3529" s="45"/>
      <c r="L3529" s="8"/>
    </row>
    <row r="3530" spans="7:12" x14ac:dyDescent="0.2">
      <c r="G3530" s="45"/>
      <c r="L3530" s="8"/>
    </row>
    <row r="3531" spans="7:12" x14ac:dyDescent="0.2">
      <c r="G3531" s="45"/>
      <c r="L3531" s="8"/>
    </row>
    <row r="3532" spans="7:12" x14ac:dyDescent="0.2">
      <c r="G3532" s="45"/>
      <c r="L3532" s="8"/>
    </row>
    <row r="3533" spans="7:12" x14ac:dyDescent="0.2">
      <c r="G3533" s="45"/>
      <c r="L3533" s="8"/>
    </row>
    <row r="3534" spans="7:12" x14ac:dyDescent="0.2">
      <c r="G3534" s="45"/>
      <c r="L3534" s="8"/>
    </row>
    <row r="3535" spans="7:12" x14ac:dyDescent="0.2">
      <c r="G3535" s="45"/>
      <c r="L3535" s="8"/>
    </row>
    <row r="3536" spans="7:12" x14ac:dyDescent="0.2">
      <c r="G3536" s="45"/>
      <c r="L3536" s="8"/>
    </row>
    <row r="3537" spans="7:12" x14ac:dyDescent="0.2">
      <c r="G3537" s="45"/>
      <c r="L3537" s="8"/>
    </row>
    <row r="3538" spans="7:12" x14ac:dyDescent="0.2">
      <c r="G3538" s="45"/>
      <c r="L3538" s="8"/>
    </row>
    <row r="3539" spans="7:12" x14ac:dyDescent="0.2">
      <c r="G3539" s="45"/>
      <c r="L3539" s="8"/>
    </row>
    <row r="3540" spans="7:12" x14ac:dyDescent="0.2">
      <c r="G3540" s="45"/>
      <c r="L3540" s="8"/>
    </row>
    <row r="3541" spans="7:12" x14ac:dyDescent="0.2">
      <c r="G3541" s="45"/>
      <c r="L3541" s="8"/>
    </row>
    <row r="3542" spans="7:12" x14ac:dyDescent="0.2">
      <c r="G3542" s="45"/>
      <c r="L3542" s="8"/>
    </row>
    <row r="3543" spans="7:12" x14ac:dyDescent="0.2">
      <c r="G3543" s="45"/>
      <c r="L3543" s="8"/>
    </row>
    <row r="3544" spans="7:12" x14ac:dyDescent="0.2">
      <c r="G3544" s="45"/>
      <c r="L3544" s="8"/>
    </row>
    <row r="3545" spans="7:12" x14ac:dyDescent="0.2">
      <c r="G3545" s="45"/>
      <c r="L3545" s="8"/>
    </row>
    <row r="3546" spans="7:12" x14ac:dyDescent="0.2">
      <c r="G3546" s="45"/>
      <c r="L3546" s="8"/>
    </row>
    <row r="3547" spans="7:12" x14ac:dyDescent="0.2">
      <c r="G3547" s="45"/>
      <c r="L3547" s="8"/>
    </row>
    <row r="3548" spans="7:12" x14ac:dyDescent="0.2">
      <c r="G3548" s="45"/>
      <c r="L3548" s="8"/>
    </row>
    <row r="3549" spans="7:12" x14ac:dyDescent="0.2">
      <c r="G3549" s="45"/>
      <c r="L3549" s="8"/>
    </row>
    <row r="3550" spans="7:12" x14ac:dyDescent="0.2">
      <c r="G3550" s="45"/>
      <c r="L3550" s="8"/>
    </row>
    <row r="3551" spans="7:12" x14ac:dyDescent="0.2">
      <c r="G3551" s="45"/>
      <c r="L3551" s="8"/>
    </row>
    <row r="3552" spans="7:12" x14ac:dyDescent="0.2">
      <c r="G3552" s="45"/>
      <c r="L3552" s="8"/>
    </row>
    <row r="3553" spans="7:12" x14ac:dyDescent="0.2">
      <c r="G3553" s="45"/>
      <c r="L3553" s="8"/>
    </row>
    <row r="3554" spans="7:12" x14ac:dyDescent="0.2">
      <c r="G3554" s="45"/>
      <c r="L3554" s="8"/>
    </row>
    <row r="3555" spans="7:12" x14ac:dyDescent="0.2">
      <c r="G3555" s="45"/>
      <c r="L3555" s="8"/>
    </row>
    <row r="3556" spans="7:12" x14ac:dyDescent="0.2">
      <c r="G3556" s="45"/>
      <c r="L3556" s="8"/>
    </row>
    <row r="3557" spans="7:12" x14ac:dyDescent="0.2">
      <c r="G3557" s="45"/>
      <c r="L3557" s="8"/>
    </row>
    <row r="3558" spans="7:12" x14ac:dyDescent="0.2">
      <c r="G3558" s="45"/>
      <c r="L3558" s="8"/>
    </row>
    <row r="3559" spans="7:12" x14ac:dyDescent="0.2">
      <c r="G3559" s="45"/>
      <c r="L3559" s="8"/>
    </row>
    <row r="3560" spans="7:12" x14ac:dyDescent="0.2">
      <c r="G3560" s="45"/>
      <c r="L3560" s="8"/>
    </row>
    <row r="3561" spans="7:12" x14ac:dyDescent="0.2">
      <c r="G3561" s="45"/>
      <c r="L3561" s="8"/>
    </row>
    <row r="3562" spans="7:12" x14ac:dyDescent="0.2">
      <c r="G3562" s="45"/>
      <c r="L3562" s="8"/>
    </row>
    <row r="3563" spans="7:12" x14ac:dyDescent="0.2">
      <c r="G3563" s="45"/>
      <c r="L3563" s="8"/>
    </row>
    <row r="3564" spans="7:12" x14ac:dyDescent="0.2">
      <c r="G3564" s="45"/>
      <c r="L3564" s="8"/>
    </row>
    <row r="3565" spans="7:12" x14ac:dyDescent="0.2">
      <c r="G3565" s="45"/>
      <c r="L3565" s="8"/>
    </row>
    <row r="3566" spans="7:12" x14ac:dyDescent="0.2">
      <c r="G3566" s="45"/>
      <c r="L3566" s="8"/>
    </row>
    <row r="3567" spans="7:12" x14ac:dyDescent="0.2">
      <c r="G3567" s="45"/>
      <c r="L3567" s="8"/>
    </row>
    <row r="3568" spans="7:12" x14ac:dyDescent="0.2">
      <c r="G3568" s="45"/>
      <c r="L3568" s="8"/>
    </row>
    <row r="3569" spans="7:12" x14ac:dyDescent="0.2">
      <c r="G3569" s="45"/>
      <c r="L3569" s="8"/>
    </row>
    <row r="3570" spans="7:12" x14ac:dyDescent="0.2">
      <c r="G3570" s="45"/>
      <c r="L3570" s="8"/>
    </row>
    <row r="3571" spans="7:12" x14ac:dyDescent="0.2">
      <c r="G3571" s="45"/>
      <c r="L3571" s="8"/>
    </row>
    <row r="3572" spans="7:12" x14ac:dyDescent="0.2">
      <c r="G3572" s="45"/>
      <c r="L3572" s="8"/>
    </row>
    <row r="3573" spans="7:12" x14ac:dyDescent="0.2">
      <c r="G3573" s="45"/>
      <c r="L3573" s="8"/>
    </row>
    <row r="3574" spans="7:12" x14ac:dyDescent="0.2">
      <c r="G3574" s="45"/>
      <c r="L3574" s="8"/>
    </row>
    <row r="3575" spans="7:12" x14ac:dyDescent="0.2">
      <c r="G3575" s="45"/>
      <c r="L3575" s="8"/>
    </row>
    <row r="3576" spans="7:12" x14ac:dyDescent="0.2">
      <c r="G3576" s="45"/>
      <c r="L3576" s="8"/>
    </row>
    <row r="3577" spans="7:12" x14ac:dyDescent="0.2">
      <c r="G3577" s="45"/>
      <c r="L3577" s="8"/>
    </row>
    <row r="3578" spans="7:12" x14ac:dyDescent="0.2">
      <c r="G3578" s="45"/>
      <c r="L3578" s="8"/>
    </row>
    <row r="3579" spans="7:12" x14ac:dyDescent="0.2">
      <c r="G3579" s="45"/>
      <c r="L3579" s="8"/>
    </row>
    <row r="3580" spans="7:12" x14ac:dyDescent="0.2">
      <c r="G3580" s="45"/>
      <c r="L3580" s="8"/>
    </row>
    <row r="3581" spans="7:12" x14ac:dyDescent="0.2">
      <c r="G3581" s="45"/>
      <c r="L3581" s="8"/>
    </row>
    <row r="3582" spans="7:12" x14ac:dyDescent="0.2">
      <c r="G3582" s="45"/>
      <c r="L3582" s="8"/>
    </row>
    <row r="3583" spans="7:12" x14ac:dyDescent="0.2">
      <c r="G3583" s="45"/>
      <c r="L3583" s="8"/>
    </row>
    <row r="3584" spans="7:12" x14ac:dyDescent="0.2">
      <c r="G3584" s="45"/>
      <c r="L3584" s="8"/>
    </row>
    <row r="3585" spans="7:12" x14ac:dyDescent="0.2">
      <c r="G3585" s="45"/>
      <c r="L3585" s="8"/>
    </row>
    <row r="3586" spans="7:12" x14ac:dyDescent="0.2">
      <c r="G3586" s="45"/>
      <c r="L3586" s="8"/>
    </row>
    <row r="3587" spans="7:12" x14ac:dyDescent="0.2">
      <c r="G3587" s="45"/>
      <c r="L3587" s="8"/>
    </row>
    <row r="3588" spans="7:12" x14ac:dyDescent="0.2">
      <c r="G3588" s="45"/>
      <c r="L3588" s="8"/>
    </row>
    <row r="3589" spans="7:12" x14ac:dyDescent="0.2">
      <c r="G3589" s="45"/>
      <c r="L3589" s="8"/>
    </row>
    <row r="3590" spans="7:12" x14ac:dyDescent="0.2">
      <c r="G3590" s="45"/>
      <c r="L3590" s="8"/>
    </row>
    <row r="3591" spans="7:12" x14ac:dyDescent="0.2">
      <c r="G3591" s="45"/>
      <c r="L3591" s="8"/>
    </row>
    <row r="3592" spans="7:12" x14ac:dyDescent="0.2">
      <c r="G3592" s="45"/>
      <c r="L3592" s="8"/>
    </row>
    <row r="3593" spans="7:12" x14ac:dyDescent="0.2">
      <c r="G3593" s="45"/>
      <c r="L3593" s="8"/>
    </row>
    <row r="3594" spans="7:12" x14ac:dyDescent="0.2">
      <c r="G3594" s="45"/>
      <c r="L3594" s="8"/>
    </row>
    <row r="3595" spans="7:12" x14ac:dyDescent="0.2">
      <c r="G3595" s="45"/>
      <c r="L3595" s="8"/>
    </row>
    <row r="3596" spans="7:12" x14ac:dyDescent="0.2">
      <c r="G3596" s="45"/>
      <c r="L3596" s="8"/>
    </row>
    <row r="3597" spans="7:12" x14ac:dyDescent="0.2">
      <c r="G3597" s="45"/>
      <c r="L3597" s="8"/>
    </row>
    <row r="3598" spans="7:12" x14ac:dyDescent="0.2">
      <c r="G3598" s="45"/>
      <c r="L3598" s="8"/>
    </row>
    <row r="3599" spans="7:12" x14ac:dyDescent="0.2">
      <c r="G3599" s="45"/>
      <c r="L3599" s="8"/>
    </row>
    <row r="3600" spans="7:12" x14ac:dyDescent="0.2">
      <c r="G3600" s="45"/>
      <c r="L3600" s="8"/>
    </row>
    <row r="3601" spans="7:12" x14ac:dyDescent="0.2">
      <c r="G3601" s="45"/>
      <c r="L3601" s="8"/>
    </row>
    <row r="3602" spans="7:12" x14ac:dyDescent="0.2">
      <c r="G3602" s="45"/>
      <c r="L3602" s="8"/>
    </row>
    <row r="3603" spans="7:12" x14ac:dyDescent="0.2">
      <c r="G3603" s="45"/>
      <c r="L3603" s="8"/>
    </row>
    <row r="3604" spans="7:12" x14ac:dyDescent="0.2">
      <c r="G3604" s="45"/>
      <c r="L3604" s="8"/>
    </row>
    <row r="3605" spans="7:12" x14ac:dyDescent="0.2">
      <c r="G3605" s="45"/>
      <c r="L3605" s="8"/>
    </row>
    <row r="3606" spans="7:12" x14ac:dyDescent="0.2">
      <c r="G3606" s="45"/>
      <c r="L3606" s="8"/>
    </row>
    <row r="3607" spans="7:12" x14ac:dyDescent="0.2">
      <c r="G3607" s="45"/>
      <c r="L3607" s="8"/>
    </row>
    <row r="3608" spans="7:12" x14ac:dyDescent="0.2">
      <c r="G3608" s="45"/>
      <c r="L3608" s="8"/>
    </row>
    <row r="3609" spans="7:12" x14ac:dyDescent="0.2">
      <c r="G3609" s="45"/>
      <c r="L3609" s="8"/>
    </row>
    <row r="3610" spans="7:12" x14ac:dyDescent="0.2">
      <c r="G3610" s="45"/>
      <c r="L3610" s="8"/>
    </row>
    <row r="3611" spans="7:12" x14ac:dyDescent="0.2">
      <c r="G3611" s="45"/>
      <c r="L3611" s="8"/>
    </row>
    <row r="3612" spans="7:12" x14ac:dyDescent="0.2">
      <c r="G3612" s="45"/>
      <c r="L3612" s="8"/>
    </row>
    <row r="3613" spans="7:12" x14ac:dyDescent="0.2">
      <c r="G3613" s="45"/>
      <c r="L3613" s="8"/>
    </row>
    <row r="3614" spans="7:12" x14ac:dyDescent="0.2">
      <c r="G3614" s="45"/>
      <c r="L3614" s="8"/>
    </row>
    <row r="3615" spans="7:12" x14ac:dyDescent="0.2">
      <c r="G3615" s="45"/>
      <c r="L3615" s="8"/>
    </row>
    <row r="3616" spans="7:12" x14ac:dyDescent="0.2">
      <c r="G3616" s="45"/>
      <c r="L3616" s="8"/>
    </row>
    <row r="3617" spans="7:12" x14ac:dyDescent="0.2">
      <c r="G3617" s="45"/>
      <c r="L3617" s="8"/>
    </row>
    <row r="3618" spans="7:12" x14ac:dyDescent="0.2">
      <c r="G3618" s="45"/>
      <c r="L3618" s="8"/>
    </row>
    <row r="3619" spans="7:12" x14ac:dyDescent="0.2">
      <c r="G3619" s="45"/>
      <c r="L3619" s="8"/>
    </row>
    <row r="3620" spans="7:12" x14ac:dyDescent="0.2">
      <c r="G3620" s="45"/>
      <c r="L3620" s="8"/>
    </row>
    <row r="3621" spans="7:12" x14ac:dyDescent="0.2">
      <c r="G3621" s="45"/>
      <c r="L3621" s="8"/>
    </row>
    <row r="3622" spans="7:12" x14ac:dyDescent="0.2">
      <c r="G3622" s="45"/>
      <c r="L3622" s="8"/>
    </row>
    <row r="3623" spans="7:12" x14ac:dyDescent="0.2">
      <c r="G3623" s="45"/>
      <c r="L3623" s="8"/>
    </row>
    <row r="3624" spans="7:12" x14ac:dyDescent="0.2">
      <c r="G3624" s="45"/>
      <c r="L3624" s="8"/>
    </row>
    <row r="3625" spans="7:12" x14ac:dyDescent="0.2">
      <c r="G3625" s="45"/>
      <c r="L3625" s="8"/>
    </row>
    <row r="3626" spans="7:12" x14ac:dyDescent="0.2">
      <c r="G3626" s="45"/>
      <c r="L3626" s="8"/>
    </row>
    <row r="3627" spans="7:12" x14ac:dyDescent="0.2">
      <c r="G3627" s="45"/>
      <c r="L3627" s="8"/>
    </row>
    <row r="3628" spans="7:12" x14ac:dyDescent="0.2">
      <c r="G3628" s="45"/>
      <c r="L3628" s="8"/>
    </row>
    <row r="3629" spans="7:12" x14ac:dyDescent="0.2">
      <c r="G3629" s="45"/>
      <c r="L3629" s="8"/>
    </row>
    <row r="3630" spans="7:12" x14ac:dyDescent="0.2">
      <c r="G3630" s="45"/>
      <c r="L3630" s="8"/>
    </row>
    <row r="3631" spans="7:12" x14ac:dyDescent="0.2">
      <c r="G3631" s="45"/>
      <c r="L3631" s="8"/>
    </row>
    <row r="3632" spans="7:12" x14ac:dyDescent="0.2">
      <c r="G3632" s="45"/>
      <c r="L3632" s="8"/>
    </row>
    <row r="3633" spans="7:12" x14ac:dyDescent="0.2">
      <c r="G3633" s="45"/>
      <c r="L3633" s="8"/>
    </row>
    <row r="3634" spans="7:12" x14ac:dyDescent="0.2">
      <c r="G3634" s="45"/>
      <c r="L3634" s="8"/>
    </row>
    <row r="3635" spans="7:12" x14ac:dyDescent="0.2">
      <c r="G3635" s="45"/>
      <c r="L3635" s="8"/>
    </row>
    <row r="3636" spans="7:12" x14ac:dyDescent="0.2">
      <c r="G3636" s="45"/>
      <c r="L3636" s="8"/>
    </row>
    <row r="3637" spans="7:12" x14ac:dyDescent="0.2">
      <c r="G3637" s="45"/>
      <c r="L3637" s="8"/>
    </row>
    <row r="3638" spans="7:12" x14ac:dyDescent="0.2">
      <c r="G3638" s="45"/>
      <c r="L3638" s="8"/>
    </row>
    <row r="3639" spans="7:12" x14ac:dyDescent="0.2">
      <c r="G3639" s="45"/>
      <c r="L3639" s="8"/>
    </row>
    <row r="3640" spans="7:12" x14ac:dyDescent="0.2">
      <c r="G3640" s="45"/>
      <c r="L3640" s="8"/>
    </row>
    <row r="3641" spans="7:12" x14ac:dyDescent="0.2">
      <c r="G3641" s="45"/>
      <c r="L3641" s="8"/>
    </row>
    <row r="3642" spans="7:12" x14ac:dyDescent="0.2">
      <c r="G3642" s="45"/>
      <c r="L3642" s="8"/>
    </row>
    <row r="3643" spans="7:12" x14ac:dyDescent="0.2">
      <c r="G3643" s="45"/>
      <c r="L3643" s="8"/>
    </row>
    <row r="3644" spans="7:12" x14ac:dyDescent="0.2">
      <c r="G3644" s="45"/>
      <c r="L3644" s="8"/>
    </row>
    <row r="3645" spans="7:12" x14ac:dyDescent="0.2">
      <c r="G3645" s="45"/>
      <c r="L3645" s="8"/>
    </row>
    <row r="3646" spans="7:12" x14ac:dyDescent="0.2">
      <c r="G3646" s="45"/>
      <c r="L3646" s="8"/>
    </row>
    <row r="3647" spans="7:12" x14ac:dyDescent="0.2">
      <c r="G3647" s="45"/>
      <c r="L3647" s="8"/>
    </row>
    <row r="3648" spans="7:12" x14ac:dyDescent="0.2">
      <c r="G3648" s="45"/>
      <c r="L3648" s="8"/>
    </row>
    <row r="3649" spans="7:12" x14ac:dyDescent="0.2">
      <c r="G3649" s="45"/>
      <c r="L3649" s="8"/>
    </row>
    <row r="3650" spans="7:12" x14ac:dyDescent="0.2">
      <c r="G3650" s="45"/>
      <c r="L3650" s="8"/>
    </row>
    <row r="3651" spans="7:12" x14ac:dyDescent="0.2">
      <c r="G3651" s="45"/>
      <c r="L3651" s="8"/>
    </row>
    <row r="3652" spans="7:12" x14ac:dyDescent="0.2">
      <c r="G3652" s="45"/>
      <c r="L3652" s="8"/>
    </row>
    <row r="3653" spans="7:12" x14ac:dyDescent="0.2">
      <c r="G3653" s="45"/>
      <c r="L3653" s="8"/>
    </row>
    <row r="3654" spans="7:12" x14ac:dyDescent="0.2">
      <c r="G3654" s="45"/>
      <c r="L3654" s="8"/>
    </row>
    <row r="3655" spans="7:12" x14ac:dyDescent="0.2">
      <c r="G3655" s="45"/>
      <c r="L3655" s="8"/>
    </row>
    <row r="3656" spans="7:12" x14ac:dyDescent="0.2">
      <c r="G3656" s="45"/>
      <c r="L3656" s="8"/>
    </row>
    <row r="3657" spans="7:12" x14ac:dyDescent="0.2">
      <c r="G3657" s="45"/>
      <c r="L3657" s="8"/>
    </row>
    <row r="3658" spans="7:12" x14ac:dyDescent="0.2">
      <c r="G3658" s="45"/>
      <c r="L3658" s="8"/>
    </row>
    <row r="3659" spans="7:12" x14ac:dyDescent="0.2">
      <c r="G3659" s="45"/>
      <c r="L3659" s="8"/>
    </row>
    <row r="3660" spans="7:12" x14ac:dyDescent="0.2">
      <c r="G3660" s="45"/>
      <c r="L3660" s="8"/>
    </row>
    <row r="3661" spans="7:12" x14ac:dyDescent="0.2">
      <c r="G3661" s="45"/>
      <c r="L3661" s="8"/>
    </row>
    <row r="3662" spans="7:12" x14ac:dyDescent="0.2">
      <c r="G3662" s="45"/>
      <c r="L3662" s="8"/>
    </row>
    <row r="3663" spans="7:12" x14ac:dyDescent="0.2">
      <c r="G3663" s="45"/>
      <c r="L3663" s="8"/>
    </row>
    <row r="3664" spans="7:12" x14ac:dyDescent="0.2">
      <c r="G3664" s="45"/>
      <c r="L3664" s="8"/>
    </row>
    <row r="3665" spans="7:12" x14ac:dyDescent="0.2">
      <c r="G3665" s="45"/>
      <c r="L3665" s="8"/>
    </row>
    <row r="3666" spans="7:12" x14ac:dyDescent="0.2">
      <c r="G3666" s="45"/>
      <c r="L3666" s="8"/>
    </row>
    <row r="3667" spans="7:12" x14ac:dyDescent="0.2">
      <c r="G3667" s="45"/>
      <c r="L3667" s="8"/>
    </row>
    <row r="3668" spans="7:12" x14ac:dyDescent="0.2">
      <c r="G3668" s="45"/>
      <c r="L3668" s="8"/>
    </row>
    <row r="3669" spans="7:12" x14ac:dyDescent="0.2">
      <c r="G3669" s="45"/>
      <c r="L3669" s="8"/>
    </row>
    <row r="3670" spans="7:12" x14ac:dyDescent="0.2">
      <c r="G3670" s="45"/>
      <c r="L3670" s="8"/>
    </row>
    <row r="3671" spans="7:12" x14ac:dyDescent="0.2">
      <c r="G3671" s="45"/>
      <c r="L3671" s="8"/>
    </row>
    <row r="3672" spans="7:12" x14ac:dyDescent="0.2">
      <c r="G3672" s="45"/>
      <c r="L3672" s="8"/>
    </row>
    <row r="3673" spans="7:12" x14ac:dyDescent="0.2">
      <c r="G3673" s="45"/>
      <c r="L3673" s="8"/>
    </row>
    <row r="3674" spans="7:12" x14ac:dyDescent="0.2">
      <c r="G3674" s="45"/>
      <c r="L3674" s="8"/>
    </row>
    <row r="3675" spans="7:12" x14ac:dyDescent="0.2">
      <c r="G3675" s="45"/>
      <c r="L3675" s="8"/>
    </row>
    <row r="3676" spans="7:12" x14ac:dyDescent="0.2">
      <c r="G3676" s="45"/>
      <c r="L3676" s="8"/>
    </row>
    <row r="3677" spans="7:12" x14ac:dyDescent="0.2">
      <c r="G3677" s="45"/>
      <c r="L3677" s="8"/>
    </row>
    <row r="3678" spans="7:12" x14ac:dyDescent="0.2">
      <c r="G3678" s="45"/>
      <c r="L3678" s="8"/>
    </row>
    <row r="3679" spans="7:12" x14ac:dyDescent="0.2">
      <c r="G3679" s="45"/>
      <c r="L3679" s="8"/>
    </row>
    <row r="3680" spans="7:12" x14ac:dyDescent="0.2">
      <c r="G3680" s="45"/>
      <c r="L3680" s="8"/>
    </row>
    <row r="3681" spans="7:12" x14ac:dyDescent="0.2">
      <c r="G3681" s="45"/>
      <c r="L3681" s="8"/>
    </row>
    <row r="3682" spans="7:12" x14ac:dyDescent="0.2">
      <c r="G3682" s="45"/>
      <c r="L3682" s="8"/>
    </row>
    <row r="3683" spans="7:12" x14ac:dyDescent="0.2">
      <c r="G3683" s="45"/>
      <c r="L3683" s="8"/>
    </row>
    <row r="3684" spans="7:12" x14ac:dyDescent="0.2">
      <c r="G3684" s="45"/>
      <c r="L3684" s="8"/>
    </row>
    <row r="3685" spans="7:12" x14ac:dyDescent="0.2">
      <c r="G3685" s="45"/>
      <c r="L3685" s="8"/>
    </row>
    <row r="3686" spans="7:12" x14ac:dyDescent="0.2">
      <c r="G3686" s="45"/>
      <c r="L3686" s="8"/>
    </row>
    <row r="3687" spans="7:12" x14ac:dyDescent="0.2">
      <c r="G3687" s="45"/>
      <c r="L3687" s="8"/>
    </row>
    <row r="3688" spans="7:12" x14ac:dyDescent="0.2">
      <c r="G3688" s="45"/>
      <c r="L3688" s="8"/>
    </row>
    <row r="3689" spans="7:12" x14ac:dyDescent="0.2">
      <c r="G3689" s="45"/>
      <c r="L3689" s="8"/>
    </row>
    <row r="3690" spans="7:12" x14ac:dyDescent="0.2">
      <c r="G3690" s="45"/>
      <c r="L3690" s="8"/>
    </row>
    <row r="3691" spans="7:12" x14ac:dyDescent="0.2">
      <c r="G3691" s="45"/>
      <c r="L3691" s="8"/>
    </row>
    <row r="3692" spans="7:12" x14ac:dyDescent="0.2">
      <c r="G3692" s="45"/>
      <c r="L3692" s="8"/>
    </row>
    <row r="3693" spans="7:12" x14ac:dyDescent="0.2">
      <c r="G3693" s="45"/>
      <c r="L3693" s="8"/>
    </row>
    <row r="3694" spans="7:12" x14ac:dyDescent="0.2">
      <c r="G3694" s="45"/>
      <c r="L3694" s="8"/>
    </row>
    <row r="3695" spans="7:12" x14ac:dyDescent="0.2">
      <c r="G3695" s="45"/>
      <c r="L3695" s="8"/>
    </row>
    <row r="3696" spans="7:12" x14ac:dyDescent="0.2">
      <c r="G3696" s="45"/>
      <c r="L3696" s="8"/>
    </row>
    <row r="3697" spans="7:12" x14ac:dyDescent="0.2">
      <c r="G3697" s="45"/>
      <c r="L3697" s="8"/>
    </row>
    <row r="3698" spans="7:12" x14ac:dyDescent="0.2">
      <c r="G3698" s="45"/>
      <c r="L3698" s="8"/>
    </row>
    <row r="3699" spans="7:12" x14ac:dyDescent="0.2">
      <c r="G3699" s="45"/>
      <c r="L3699" s="8"/>
    </row>
    <row r="3700" spans="7:12" x14ac:dyDescent="0.2">
      <c r="G3700" s="45"/>
      <c r="L3700" s="8"/>
    </row>
    <row r="3701" spans="7:12" x14ac:dyDescent="0.2">
      <c r="G3701" s="45"/>
      <c r="L3701" s="8"/>
    </row>
    <row r="3702" spans="7:12" x14ac:dyDescent="0.2">
      <c r="G3702" s="45"/>
      <c r="L3702" s="8"/>
    </row>
    <row r="3703" spans="7:12" x14ac:dyDescent="0.2">
      <c r="G3703" s="45"/>
      <c r="L3703" s="8"/>
    </row>
    <row r="3704" spans="7:12" x14ac:dyDescent="0.2">
      <c r="G3704" s="45"/>
      <c r="L3704" s="8"/>
    </row>
    <row r="3705" spans="7:12" x14ac:dyDescent="0.2">
      <c r="G3705" s="45"/>
      <c r="L3705" s="8"/>
    </row>
    <row r="3706" spans="7:12" x14ac:dyDescent="0.2">
      <c r="G3706" s="45"/>
      <c r="L3706" s="8"/>
    </row>
    <row r="3707" spans="7:12" x14ac:dyDescent="0.2">
      <c r="G3707" s="45"/>
      <c r="L3707" s="8"/>
    </row>
    <row r="3708" spans="7:12" x14ac:dyDescent="0.2">
      <c r="G3708" s="45"/>
      <c r="L3708" s="8"/>
    </row>
    <row r="3709" spans="7:12" x14ac:dyDescent="0.2">
      <c r="G3709" s="45"/>
      <c r="L3709" s="8"/>
    </row>
    <row r="3710" spans="7:12" x14ac:dyDescent="0.2">
      <c r="G3710" s="45"/>
      <c r="L3710" s="8"/>
    </row>
    <row r="3711" spans="7:12" x14ac:dyDescent="0.2">
      <c r="G3711" s="45"/>
      <c r="L3711" s="8"/>
    </row>
    <row r="3712" spans="7:12" x14ac:dyDescent="0.2">
      <c r="G3712" s="45"/>
      <c r="L3712" s="8"/>
    </row>
    <row r="3713" spans="7:12" x14ac:dyDescent="0.2">
      <c r="G3713" s="45"/>
      <c r="L3713" s="8"/>
    </row>
    <row r="3714" spans="7:12" x14ac:dyDescent="0.2">
      <c r="G3714" s="45"/>
      <c r="L3714" s="8"/>
    </row>
    <row r="3715" spans="7:12" x14ac:dyDescent="0.2">
      <c r="G3715" s="45"/>
      <c r="L3715" s="8"/>
    </row>
    <row r="3716" spans="7:12" x14ac:dyDescent="0.2">
      <c r="G3716" s="45"/>
      <c r="L3716" s="8"/>
    </row>
    <row r="3717" spans="7:12" x14ac:dyDescent="0.2">
      <c r="G3717" s="45"/>
      <c r="L3717" s="8"/>
    </row>
    <row r="3718" spans="7:12" x14ac:dyDescent="0.2">
      <c r="G3718" s="45"/>
      <c r="L3718" s="8"/>
    </row>
    <row r="3719" spans="7:12" x14ac:dyDescent="0.2">
      <c r="G3719" s="45"/>
      <c r="L3719" s="8"/>
    </row>
    <row r="3720" spans="7:12" x14ac:dyDescent="0.2">
      <c r="G3720" s="45"/>
      <c r="L3720" s="8"/>
    </row>
    <row r="3721" spans="7:12" x14ac:dyDescent="0.2">
      <c r="G3721" s="45"/>
      <c r="L3721" s="8"/>
    </row>
    <row r="3722" spans="7:12" x14ac:dyDescent="0.2">
      <c r="G3722" s="45"/>
      <c r="L3722" s="8"/>
    </row>
    <row r="3723" spans="7:12" x14ac:dyDescent="0.2">
      <c r="G3723" s="45"/>
      <c r="L3723" s="8"/>
    </row>
    <row r="3724" spans="7:12" x14ac:dyDescent="0.2">
      <c r="G3724" s="45"/>
      <c r="L3724" s="8"/>
    </row>
    <row r="3725" spans="7:12" x14ac:dyDescent="0.2">
      <c r="G3725" s="45"/>
      <c r="L3725" s="8"/>
    </row>
    <row r="3726" spans="7:12" x14ac:dyDescent="0.2">
      <c r="G3726" s="45"/>
      <c r="L3726" s="8"/>
    </row>
    <row r="3727" spans="7:12" x14ac:dyDescent="0.2">
      <c r="G3727" s="45"/>
      <c r="L3727" s="8"/>
    </row>
    <row r="3728" spans="7:12" x14ac:dyDescent="0.2">
      <c r="G3728" s="45"/>
      <c r="L3728" s="8"/>
    </row>
    <row r="3729" spans="7:12" x14ac:dyDescent="0.2">
      <c r="G3729" s="45"/>
      <c r="L3729" s="8"/>
    </row>
    <row r="3730" spans="7:12" x14ac:dyDescent="0.2">
      <c r="G3730" s="45"/>
      <c r="L3730" s="8"/>
    </row>
    <row r="3731" spans="7:12" x14ac:dyDescent="0.2">
      <c r="G3731" s="45"/>
      <c r="L3731" s="8"/>
    </row>
    <row r="3732" spans="7:12" x14ac:dyDescent="0.2">
      <c r="G3732" s="45"/>
      <c r="L3732" s="8"/>
    </row>
    <row r="3733" spans="7:12" x14ac:dyDescent="0.2">
      <c r="G3733" s="45"/>
      <c r="L3733" s="8"/>
    </row>
    <row r="3734" spans="7:12" x14ac:dyDescent="0.2">
      <c r="G3734" s="45"/>
      <c r="L3734" s="8"/>
    </row>
    <row r="3735" spans="7:12" x14ac:dyDescent="0.2">
      <c r="G3735" s="45"/>
      <c r="L3735" s="8"/>
    </row>
    <row r="3736" spans="7:12" x14ac:dyDescent="0.2">
      <c r="G3736" s="45"/>
      <c r="L3736" s="8"/>
    </row>
    <row r="3737" spans="7:12" x14ac:dyDescent="0.2">
      <c r="G3737" s="45"/>
      <c r="L3737" s="8"/>
    </row>
    <row r="3738" spans="7:12" x14ac:dyDescent="0.2">
      <c r="G3738" s="45"/>
      <c r="L3738" s="8"/>
    </row>
    <row r="3739" spans="7:12" x14ac:dyDescent="0.2">
      <c r="G3739" s="45"/>
      <c r="L3739" s="8"/>
    </row>
    <row r="3740" spans="7:12" x14ac:dyDescent="0.2">
      <c r="G3740" s="45"/>
      <c r="L3740" s="8"/>
    </row>
    <row r="3741" spans="7:12" x14ac:dyDescent="0.2">
      <c r="G3741" s="45"/>
      <c r="L3741" s="8"/>
    </row>
    <row r="3742" spans="7:12" x14ac:dyDescent="0.2">
      <c r="G3742" s="45"/>
      <c r="L3742" s="8"/>
    </row>
    <row r="3743" spans="7:12" x14ac:dyDescent="0.2">
      <c r="G3743" s="45"/>
      <c r="L3743" s="8"/>
    </row>
    <row r="3744" spans="7:12" x14ac:dyDescent="0.2">
      <c r="G3744" s="45"/>
      <c r="L3744" s="8"/>
    </row>
    <row r="3745" spans="7:12" x14ac:dyDescent="0.2">
      <c r="G3745" s="45"/>
      <c r="L3745" s="8"/>
    </row>
    <row r="3746" spans="7:12" x14ac:dyDescent="0.2">
      <c r="G3746" s="45"/>
      <c r="L3746" s="8"/>
    </row>
    <row r="3747" spans="7:12" x14ac:dyDescent="0.2">
      <c r="G3747" s="45"/>
      <c r="L3747" s="8"/>
    </row>
    <row r="3748" spans="7:12" x14ac:dyDescent="0.2">
      <c r="G3748" s="45"/>
      <c r="L3748" s="8"/>
    </row>
    <row r="3749" spans="7:12" x14ac:dyDescent="0.2">
      <c r="G3749" s="45"/>
      <c r="L3749" s="8"/>
    </row>
    <row r="3750" spans="7:12" x14ac:dyDescent="0.2">
      <c r="G3750" s="45"/>
      <c r="L3750" s="8"/>
    </row>
    <row r="3751" spans="7:12" x14ac:dyDescent="0.2">
      <c r="G3751" s="45"/>
      <c r="L3751" s="8"/>
    </row>
    <row r="3752" spans="7:12" x14ac:dyDescent="0.2">
      <c r="G3752" s="45"/>
      <c r="L3752" s="8"/>
    </row>
    <row r="3753" spans="7:12" x14ac:dyDescent="0.2">
      <c r="G3753" s="45"/>
      <c r="L3753" s="8"/>
    </row>
    <row r="3754" spans="7:12" x14ac:dyDescent="0.2">
      <c r="G3754" s="45"/>
      <c r="L3754" s="8"/>
    </row>
    <row r="3755" spans="7:12" x14ac:dyDescent="0.2">
      <c r="G3755" s="45"/>
      <c r="L3755" s="8"/>
    </row>
    <row r="3756" spans="7:12" x14ac:dyDescent="0.2">
      <c r="G3756" s="45"/>
      <c r="L3756" s="8"/>
    </row>
    <row r="3757" spans="7:12" x14ac:dyDescent="0.2">
      <c r="G3757" s="45"/>
      <c r="L3757" s="8"/>
    </row>
    <row r="3758" spans="7:12" x14ac:dyDescent="0.2">
      <c r="G3758" s="45"/>
      <c r="L3758" s="8"/>
    </row>
    <row r="3759" spans="7:12" x14ac:dyDescent="0.2">
      <c r="G3759" s="45"/>
      <c r="L3759" s="8"/>
    </row>
    <row r="3760" spans="7:12" x14ac:dyDescent="0.2">
      <c r="G3760" s="45"/>
      <c r="L3760" s="8"/>
    </row>
    <row r="3761" spans="7:12" x14ac:dyDescent="0.2">
      <c r="G3761" s="45"/>
      <c r="L3761" s="8"/>
    </row>
    <row r="3762" spans="7:12" x14ac:dyDescent="0.2">
      <c r="G3762" s="45"/>
      <c r="L3762" s="8"/>
    </row>
    <row r="3763" spans="7:12" x14ac:dyDescent="0.2">
      <c r="G3763" s="45"/>
      <c r="L3763" s="8"/>
    </row>
    <row r="3764" spans="7:12" x14ac:dyDescent="0.2">
      <c r="G3764" s="45"/>
      <c r="L3764" s="8"/>
    </row>
    <row r="3765" spans="7:12" x14ac:dyDescent="0.2">
      <c r="G3765" s="45"/>
      <c r="L3765" s="8"/>
    </row>
    <row r="3766" spans="7:12" x14ac:dyDescent="0.2">
      <c r="G3766" s="45"/>
      <c r="L3766" s="8"/>
    </row>
    <row r="3767" spans="7:12" x14ac:dyDescent="0.2">
      <c r="G3767" s="45"/>
      <c r="L3767" s="8"/>
    </row>
    <row r="3768" spans="7:12" x14ac:dyDescent="0.2">
      <c r="G3768" s="45"/>
      <c r="L3768" s="8"/>
    </row>
    <row r="3769" spans="7:12" x14ac:dyDescent="0.2">
      <c r="G3769" s="45"/>
      <c r="L3769" s="8"/>
    </row>
    <row r="3770" spans="7:12" x14ac:dyDescent="0.2">
      <c r="G3770" s="45"/>
      <c r="L3770" s="8"/>
    </row>
    <row r="3771" spans="7:12" x14ac:dyDescent="0.2">
      <c r="G3771" s="45"/>
      <c r="L3771" s="8"/>
    </row>
    <row r="3772" spans="7:12" x14ac:dyDescent="0.2">
      <c r="G3772" s="45"/>
      <c r="L3772" s="8"/>
    </row>
    <row r="3773" spans="7:12" x14ac:dyDescent="0.2">
      <c r="G3773" s="45"/>
      <c r="L3773" s="8"/>
    </row>
    <row r="3774" spans="7:12" x14ac:dyDescent="0.2">
      <c r="G3774" s="45"/>
      <c r="L3774" s="8"/>
    </row>
    <row r="3775" spans="7:12" x14ac:dyDescent="0.2">
      <c r="G3775" s="45"/>
      <c r="L3775" s="8"/>
    </row>
    <row r="3776" spans="7:12" x14ac:dyDescent="0.2">
      <c r="G3776" s="45"/>
      <c r="L3776" s="8"/>
    </row>
    <row r="3777" spans="7:12" x14ac:dyDescent="0.2">
      <c r="G3777" s="45"/>
      <c r="L3777" s="8"/>
    </row>
    <row r="3778" spans="7:12" x14ac:dyDescent="0.2">
      <c r="G3778" s="45"/>
      <c r="L3778" s="8"/>
    </row>
    <row r="3779" spans="7:12" x14ac:dyDescent="0.2">
      <c r="G3779" s="45"/>
      <c r="L3779" s="8"/>
    </row>
    <row r="3780" spans="7:12" x14ac:dyDescent="0.2">
      <c r="G3780" s="45"/>
      <c r="L3780" s="8"/>
    </row>
    <row r="3781" spans="7:12" x14ac:dyDescent="0.2">
      <c r="G3781" s="45"/>
      <c r="L3781" s="8"/>
    </row>
    <row r="3782" spans="7:12" x14ac:dyDescent="0.2">
      <c r="G3782" s="45"/>
      <c r="L3782" s="8"/>
    </row>
    <row r="3783" spans="7:12" x14ac:dyDescent="0.2">
      <c r="G3783" s="45"/>
      <c r="L3783" s="8"/>
    </row>
    <row r="3784" spans="7:12" x14ac:dyDescent="0.2">
      <c r="G3784" s="45"/>
      <c r="L3784" s="8"/>
    </row>
    <row r="3785" spans="7:12" x14ac:dyDescent="0.2">
      <c r="G3785" s="45"/>
      <c r="L3785" s="8"/>
    </row>
    <row r="3786" spans="7:12" x14ac:dyDescent="0.2">
      <c r="G3786" s="45"/>
      <c r="L3786" s="8"/>
    </row>
    <row r="3787" spans="7:12" x14ac:dyDescent="0.2">
      <c r="G3787" s="45"/>
      <c r="L3787" s="8"/>
    </row>
    <row r="3788" spans="7:12" x14ac:dyDescent="0.2">
      <c r="G3788" s="45"/>
      <c r="L3788" s="8"/>
    </row>
    <row r="3789" spans="7:12" x14ac:dyDescent="0.2">
      <c r="G3789" s="45"/>
      <c r="L3789" s="8"/>
    </row>
    <row r="3790" spans="7:12" x14ac:dyDescent="0.2">
      <c r="G3790" s="45"/>
      <c r="L3790" s="8"/>
    </row>
    <row r="3791" spans="7:12" x14ac:dyDescent="0.2">
      <c r="G3791" s="45"/>
      <c r="L3791" s="8"/>
    </row>
    <row r="3792" spans="7:12" x14ac:dyDescent="0.2">
      <c r="G3792" s="45"/>
      <c r="L3792" s="8"/>
    </row>
    <row r="3793" spans="7:12" x14ac:dyDescent="0.2">
      <c r="G3793" s="45"/>
      <c r="L3793" s="8"/>
    </row>
    <row r="3794" spans="7:12" x14ac:dyDescent="0.2">
      <c r="G3794" s="45"/>
      <c r="L3794" s="8"/>
    </row>
    <row r="3795" spans="7:12" x14ac:dyDescent="0.2">
      <c r="G3795" s="45"/>
      <c r="L3795" s="8"/>
    </row>
    <row r="3796" spans="7:12" x14ac:dyDescent="0.2">
      <c r="G3796" s="45"/>
      <c r="L3796" s="8"/>
    </row>
    <row r="3797" spans="7:12" x14ac:dyDescent="0.2">
      <c r="G3797" s="45"/>
      <c r="L3797" s="8"/>
    </row>
    <row r="3798" spans="7:12" x14ac:dyDescent="0.2">
      <c r="G3798" s="45"/>
      <c r="L3798" s="8"/>
    </row>
    <row r="3799" spans="7:12" x14ac:dyDescent="0.2">
      <c r="G3799" s="45"/>
      <c r="L3799" s="8"/>
    </row>
    <row r="3800" spans="7:12" x14ac:dyDescent="0.2">
      <c r="G3800" s="45"/>
      <c r="L3800" s="8"/>
    </row>
    <row r="3801" spans="7:12" x14ac:dyDescent="0.2">
      <c r="G3801" s="45"/>
      <c r="L3801" s="8"/>
    </row>
    <row r="3802" spans="7:12" x14ac:dyDescent="0.2">
      <c r="G3802" s="45"/>
      <c r="L3802" s="8"/>
    </row>
    <row r="3803" spans="7:12" x14ac:dyDescent="0.2">
      <c r="G3803" s="45"/>
      <c r="L3803" s="8"/>
    </row>
    <row r="3804" spans="7:12" x14ac:dyDescent="0.2">
      <c r="G3804" s="45"/>
      <c r="L3804" s="8"/>
    </row>
    <row r="3805" spans="7:12" x14ac:dyDescent="0.2">
      <c r="G3805" s="45"/>
      <c r="L3805" s="8"/>
    </row>
    <row r="3806" spans="7:12" x14ac:dyDescent="0.2">
      <c r="G3806" s="45"/>
      <c r="L3806" s="8"/>
    </row>
    <row r="3807" spans="7:12" x14ac:dyDescent="0.2">
      <c r="G3807" s="45"/>
      <c r="L3807" s="8"/>
    </row>
    <row r="3808" spans="7:12" x14ac:dyDescent="0.2">
      <c r="G3808" s="45"/>
      <c r="L3808" s="8"/>
    </row>
    <row r="3809" spans="7:12" x14ac:dyDescent="0.2">
      <c r="G3809" s="45"/>
      <c r="L3809" s="8"/>
    </row>
    <row r="3810" spans="7:12" x14ac:dyDescent="0.2">
      <c r="G3810" s="45"/>
      <c r="L3810" s="8"/>
    </row>
    <row r="3811" spans="7:12" x14ac:dyDescent="0.2">
      <c r="G3811" s="45"/>
      <c r="L3811" s="8"/>
    </row>
    <row r="3812" spans="7:12" x14ac:dyDescent="0.2">
      <c r="G3812" s="45"/>
      <c r="L3812" s="8"/>
    </row>
    <row r="3813" spans="7:12" x14ac:dyDescent="0.2">
      <c r="G3813" s="45"/>
      <c r="L3813" s="8"/>
    </row>
    <row r="3814" spans="7:12" x14ac:dyDescent="0.2">
      <c r="G3814" s="45"/>
      <c r="L3814" s="8"/>
    </row>
    <row r="3815" spans="7:12" x14ac:dyDescent="0.2">
      <c r="G3815" s="45"/>
      <c r="L3815" s="8"/>
    </row>
    <row r="3816" spans="7:12" x14ac:dyDescent="0.2">
      <c r="G3816" s="45"/>
      <c r="L3816" s="8"/>
    </row>
    <row r="3817" spans="7:12" x14ac:dyDescent="0.2">
      <c r="G3817" s="45"/>
      <c r="L3817" s="8"/>
    </row>
    <row r="3818" spans="7:12" x14ac:dyDescent="0.2">
      <c r="G3818" s="45"/>
      <c r="L3818" s="8"/>
    </row>
    <row r="3819" spans="7:12" x14ac:dyDescent="0.2">
      <c r="G3819" s="45"/>
      <c r="L3819" s="8"/>
    </row>
    <row r="3820" spans="7:12" x14ac:dyDescent="0.2">
      <c r="G3820" s="45"/>
      <c r="L3820" s="8"/>
    </row>
    <row r="3821" spans="7:12" x14ac:dyDescent="0.2">
      <c r="G3821" s="45"/>
      <c r="L3821" s="8"/>
    </row>
    <row r="3822" spans="7:12" x14ac:dyDescent="0.2">
      <c r="G3822" s="45"/>
      <c r="L3822" s="8"/>
    </row>
    <row r="3823" spans="7:12" x14ac:dyDescent="0.2">
      <c r="G3823" s="45"/>
      <c r="L3823" s="8"/>
    </row>
    <row r="3824" spans="7:12" x14ac:dyDescent="0.2">
      <c r="G3824" s="45"/>
      <c r="L3824" s="8"/>
    </row>
    <row r="3825" spans="7:12" x14ac:dyDescent="0.2">
      <c r="G3825" s="45"/>
      <c r="L3825" s="8"/>
    </row>
    <row r="3826" spans="7:12" x14ac:dyDescent="0.2">
      <c r="G3826" s="45"/>
      <c r="L3826" s="8"/>
    </row>
    <row r="3827" spans="7:12" x14ac:dyDescent="0.2">
      <c r="G3827" s="45"/>
      <c r="L3827" s="8"/>
    </row>
    <row r="3828" spans="7:12" x14ac:dyDescent="0.2">
      <c r="G3828" s="45"/>
      <c r="L3828" s="8"/>
    </row>
    <row r="3829" spans="7:12" x14ac:dyDescent="0.2">
      <c r="G3829" s="45"/>
      <c r="L3829" s="8"/>
    </row>
    <row r="3830" spans="7:12" x14ac:dyDescent="0.2">
      <c r="G3830" s="45"/>
      <c r="L3830" s="8"/>
    </row>
    <row r="3831" spans="7:12" x14ac:dyDescent="0.2">
      <c r="G3831" s="45"/>
      <c r="L3831" s="8"/>
    </row>
    <row r="3832" spans="7:12" x14ac:dyDescent="0.2">
      <c r="G3832" s="45"/>
      <c r="L3832" s="8"/>
    </row>
    <row r="3833" spans="7:12" x14ac:dyDescent="0.2">
      <c r="G3833" s="45"/>
      <c r="L3833" s="8"/>
    </row>
    <row r="3834" spans="7:12" x14ac:dyDescent="0.2">
      <c r="G3834" s="45"/>
      <c r="L3834" s="8"/>
    </row>
    <row r="3835" spans="7:12" x14ac:dyDescent="0.2">
      <c r="G3835" s="45"/>
      <c r="L3835" s="8"/>
    </row>
    <row r="3836" spans="7:12" x14ac:dyDescent="0.2">
      <c r="G3836" s="45"/>
      <c r="L3836" s="8"/>
    </row>
    <row r="3837" spans="7:12" x14ac:dyDescent="0.2">
      <c r="G3837" s="45"/>
      <c r="L3837" s="8"/>
    </row>
    <row r="3838" spans="7:12" x14ac:dyDescent="0.2">
      <c r="G3838" s="45"/>
      <c r="L3838" s="8"/>
    </row>
    <row r="3839" spans="7:12" x14ac:dyDescent="0.2">
      <c r="G3839" s="45"/>
      <c r="L3839" s="8"/>
    </row>
    <row r="3840" spans="7:12" x14ac:dyDescent="0.2">
      <c r="G3840" s="45"/>
      <c r="L3840" s="8"/>
    </row>
    <row r="3841" spans="7:12" x14ac:dyDescent="0.2">
      <c r="G3841" s="45"/>
      <c r="L3841" s="8"/>
    </row>
    <row r="3842" spans="7:12" x14ac:dyDescent="0.2">
      <c r="G3842" s="45"/>
      <c r="L3842" s="8"/>
    </row>
    <row r="3843" spans="7:12" x14ac:dyDescent="0.2">
      <c r="G3843" s="45"/>
      <c r="L3843" s="8"/>
    </row>
    <row r="3844" spans="7:12" x14ac:dyDescent="0.2">
      <c r="G3844" s="45"/>
      <c r="L3844" s="8"/>
    </row>
    <row r="3845" spans="7:12" x14ac:dyDescent="0.2">
      <c r="G3845" s="45"/>
      <c r="L3845" s="8"/>
    </row>
    <row r="3846" spans="7:12" x14ac:dyDescent="0.2">
      <c r="G3846" s="45"/>
      <c r="L3846" s="8"/>
    </row>
    <row r="3847" spans="7:12" x14ac:dyDescent="0.2">
      <c r="G3847" s="45"/>
      <c r="L3847" s="8"/>
    </row>
    <row r="3848" spans="7:12" x14ac:dyDescent="0.2">
      <c r="G3848" s="45"/>
      <c r="L3848" s="8"/>
    </row>
    <row r="3849" spans="7:12" x14ac:dyDescent="0.2">
      <c r="G3849" s="45"/>
      <c r="L3849" s="8"/>
    </row>
    <row r="3850" spans="7:12" x14ac:dyDescent="0.2">
      <c r="G3850" s="45"/>
      <c r="L3850" s="8"/>
    </row>
    <row r="3851" spans="7:12" x14ac:dyDescent="0.2">
      <c r="G3851" s="45"/>
      <c r="L3851" s="8"/>
    </row>
    <row r="3852" spans="7:12" x14ac:dyDescent="0.2">
      <c r="G3852" s="45"/>
      <c r="L3852" s="8"/>
    </row>
    <row r="3853" spans="7:12" x14ac:dyDescent="0.2">
      <c r="G3853" s="45"/>
      <c r="L3853" s="8"/>
    </row>
    <row r="3854" spans="7:12" x14ac:dyDescent="0.2">
      <c r="G3854" s="45"/>
      <c r="L3854" s="8"/>
    </row>
    <row r="3855" spans="7:12" x14ac:dyDescent="0.2">
      <c r="G3855" s="45"/>
      <c r="L3855" s="8"/>
    </row>
    <row r="3856" spans="7:12" x14ac:dyDescent="0.2">
      <c r="G3856" s="45"/>
      <c r="L3856" s="8"/>
    </row>
    <row r="3857" spans="7:12" x14ac:dyDescent="0.2">
      <c r="G3857" s="45"/>
      <c r="L3857" s="8"/>
    </row>
    <row r="3858" spans="7:12" x14ac:dyDescent="0.2">
      <c r="G3858" s="45"/>
      <c r="L3858" s="8"/>
    </row>
    <row r="3859" spans="7:12" x14ac:dyDescent="0.2">
      <c r="G3859" s="45"/>
      <c r="L3859" s="8"/>
    </row>
    <row r="3860" spans="7:12" x14ac:dyDescent="0.2">
      <c r="G3860" s="45"/>
      <c r="L3860" s="8"/>
    </row>
    <row r="3861" spans="7:12" x14ac:dyDescent="0.2">
      <c r="G3861" s="45"/>
      <c r="L3861" s="8"/>
    </row>
    <row r="3862" spans="7:12" x14ac:dyDescent="0.2">
      <c r="G3862" s="45"/>
      <c r="L3862" s="8"/>
    </row>
    <row r="3863" spans="7:12" x14ac:dyDescent="0.2">
      <c r="G3863" s="45"/>
      <c r="L3863" s="8"/>
    </row>
    <row r="3864" spans="7:12" x14ac:dyDescent="0.2">
      <c r="G3864" s="45"/>
      <c r="L3864" s="8"/>
    </row>
    <row r="3865" spans="7:12" x14ac:dyDescent="0.2">
      <c r="G3865" s="45"/>
      <c r="L3865" s="8"/>
    </row>
    <row r="3866" spans="7:12" x14ac:dyDescent="0.2">
      <c r="G3866" s="45"/>
      <c r="L3866" s="8"/>
    </row>
    <row r="3867" spans="7:12" x14ac:dyDescent="0.2">
      <c r="G3867" s="45"/>
      <c r="L3867" s="8"/>
    </row>
    <row r="3868" spans="7:12" x14ac:dyDescent="0.2">
      <c r="G3868" s="45"/>
      <c r="L3868" s="8"/>
    </row>
    <row r="3869" spans="7:12" x14ac:dyDescent="0.2">
      <c r="G3869" s="45"/>
      <c r="L3869" s="8"/>
    </row>
    <row r="3870" spans="7:12" x14ac:dyDescent="0.2">
      <c r="G3870" s="45"/>
      <c r="L3870" s="8"/>
    </row>
    <row r="3871" spans="7:12" x14ac:dyDescent="0.2">
      <c r="G3871" s="45"/>
      <c r="L3871" s="8"/>
    </row>
    <row r="3872" spans="7:12" x14ac:dyDescent="0.2">
      <c r="G3872" s="45"/>
      <c r="L3872" s="8"/>
    </row>
    <row r="3873" spans="7:12" x14ac:dyDescent="0.2">
      <c r="G3873" s="45"/>
      <c r="L3873" s="8"/>
    </row>
    <row r="3874" spans="7:12" x14ac:dyDescent="0.2">
      <c r="G3874" s="45"/>
      <c r="L3874" s="8"/>
    </row>
    <row r="3875" spans="7:12" x14ac:dyDescent="0.2">
      <c r="G3875" s="45"/>
      <c r="L3875" s="8"/>
    </row>
    <row r="3876" spans="7:12" x14ac:dyDescent="0.2">
      <c r="G3876" s="45"/>
      <c r="L3876" s="8"/>
    </row>
    <row r="3877" spans="7:12" x14ac:dyDescent="0.2">
      <c r="G3877" s="45"/>
      <c r="L3877" s="8"/>
    </row>
    <row r="3878" spans="7:12" x14ac:dyDescent="0.2">
      <c r="G3878" s="45"/>
      <c r="L3878" s="8"/>
    </row>
    <row r="3879" spans="7:12" x14ac:dyDescent="0.2">
      <c r="G3879" s="45"/>
      <c r="L3879" s="8"/>
    </row>
    <row r="3880" spans="7:12" x14ac:dyDescent="0.2">
      <c r="G3880" s="45"/>
      <c r="L3880" s="8"/>
    </row>
    <row r="3881" spans="7:12" x14ac:dyDescent="0.2">
      <c r="G3881" s="45"/>
      <c r="L3881" s="8"/>
    </row>
    <row r="3882" spans="7:12" x14ac:dyDescent="0.2">
      <c r="G3882" s="45"/>
      <c r="L3882" s="8"/>
    </row>
    <row r="3883" spans="7:12" x14ac:dyDescent="0.2">
      <c r="G3883" s="45"/>
      <c r="L3883" s="8"/>
    </row>
    <row r="3884" spans="7:12" x14ac:dyDescent="0.2">
      <c r="G3884" s="45"/>
      <c r="L3884" s="8"/>
    </row>
    <row r="3885" spans="7:12" x14ac:dyDescent="0.2">
      <c r="G3885" s="45"/>
      <c r="L3885" s="8"/>
    </row>
    <row r="3886" spans="7:12" x14ac:dyDescent="0.2">
      <c r="G3886" s="45"/>
      <c r="L3886" s="8"/>
    </row>
    <row r="3887" spans="7:12" x14ac:dyDescent="0.2">
      <c r="G3887" s="45"/>
      <c r="L3887" s="8"/>
    </row>
    <row r="3888" spans="7:12" x14ac:dyDescent="0.2">
      <c r="G3888" s="45"/>
      <c r="L3888" s="8"/>
    </row>
    <row r="3889" spans="7:12" x14ac:dyDescent="0.2">
      <c r="G3889" s="45"/>
      <c r="L3889" s="8"/>
    </row>
    <row r="3890" spans="7:12" x14ac:dyDescent="0.2">
      <c r="G3890" s="45"/>
      <c r="L3890" s="8"/>
    </row>
    <row r="3891" spans="7:12" x14ac:dyDescent="0.2">
      <c r="G3891" s="45"/>
      <c r="L3891" s="8"/>
    </row>
    <row r="3892" spans="7:12" x14ac:dyDescent="0.2">
      <c r="G3892" s="45"/>
      <c r="L3892" s="8"/>
    </row>
    <row r="3893" spans="7:12" x14ac:dyDescent="0.2">
      <c r="G3893" s="45"/>
      <c r="L3893" s="8"/>
    </row>
    <row r="3894" spans="7:12" x14ac:dyDescent="0.2">
      <c r="G3894" s="45"/>
      <c r="L3894" s="8"/>
    </row>
    <row r="3895" spans="7:12" x14ac:dyDescent="0.2">
      <c r="G3895" s="45"/>
      <c r="L3895" s="8"/>
    </row>
    <row r="3896" spans="7:12" x14ac:dyDescent="0.2">
      <c r="G3896" s="45"/>
      <c r="L3896" s="8"/>
    </row>
    <row r="3897" spans="7:12" x14ac:dyDescent="0.2">
      <c r="G3897" s="45"/>
      <c r="L3897" s="8"/>
    </row>
    <row r="3898" spans="7:12" x14ac:dyDescent="0.2">
      <c r="G3898" s="45"/>
      <c r="L3898" s="8"/>
    </row>
    <row r="3899" spans="7:12" x14ac:dyDescent="0.2">
      <c r="G3899" s="45"/>
      <c r="L3899" s="8"/>
    </row>
    <row r="3900" spans="7:12" x14ac:dyDescent="0.2">
      <c r="G3900" s="45"/>
      <c r="L3900" s="8"/>
    </row>
    <row r="3901" spans="7:12" x14ac:dyDescent="0.2">
      <c r="G3901" s="45"/>
      <c r="L3901" s="8"/>
    </row>
    <row r="3902" spans="7:12" x14ac:dyDescent="0.2">
      <c r="G3902" s="45"/>
      <c r="L3902" s="8"/>
    </row>
    <row r="3903" spans="7:12" x14ac:dyDescent="0.2">
      <c r="G3903" s="45"/>
      <c r="L3903" s="8"/>
    </row>
    <row r="3904" spans="7:12" x14ac:dyDescent="0.2">
      <c r="G3904" s="45"/>
      <c r="L3904" s="8"/>
    </row>
    <row r="3905" spans="7:12" x14ac:dyDescent="0.2">
      <c r="G3905" s="45"/>
      <c r="L3905" s="8"/>
    </row>
    <row r="3906" spans="7:12" x14ac:dyDescent="0.2">
      <c r="G3906" s="45"/>
      <c r="L3906" s="8"/>
    </row>
    <row r="3907" spans="7:12" x14ac:dyDescent="0.2">
      <c r="G3907" s="45"/>
      <c r="L3907" s="8"/>
    </row>
    <row r="3908" spans="7:12" x14ac:dyDescent="0.2">
      <c r="G3908" s="45"/>
      <c r="L3908" s="8"/>
    </row>
    <row r="3909" spans="7:12" x14ac:dyDescent="0.2">
      <c r="G3909" s="45"/>
      <c r="L3909" s="8"/>
    </row>
    <row r="3910" spans="7:12" x14ac:dyDescent="0.2">
      <c r="G3910" s="45"/>
      <c r="L3910" s="8"/>
    </row>
    <row r="3911" spans="7:12" x14ac:dyDescent="0.2">
      <c r="G3911" s="45"/>
      <c r="L3911" s="8"/>
    </row>
    <row r="3912" spans="7:12" x14ac:dyDescent="0.2">
      <c r="G3912" s="45"/>
      <c r="L3912" s="8"/>
    </row>
    <row r="3913" spans="7:12" x14ac:dyDescent="0.2">
      <c r="G3913" s="45"/>
      <c r="L3913" s="8"/>
    </row>
    <row r="3914" spans="7:12" x14ac:dyDescent="0.2">
      <c r="G3914" s="45"/>
      <c r="L3914" s="8"/>
    </row>
    <row r="3915" spans="7:12" x14ac:dyDescent="0.2">
      <c r="G3915" s="45"/>
      <c r="L3915" s="8"/>
    </row>
    <row r="3916" spans="7:12" x14ac:dyDescent="0.2">
      <c r="G3916" s="45"/>
      <c r="L3916" s="8"/>
    </row>
    <row r="3917" spans="7:12" x14ac:dyDescent="0.2">
      <c r="G3917" s="45"/>
      <c r="L3917" s="8"/>
    </row>
    <row r="3918" spans="7:12" x14ac:dyDescent="0.2">
      <c r="G3918" s="45"/>
      <c r="L3918" s="8"/>
    </row>
    <row r="3919" spans="7:12" x14ac:dyDescent="0.2">
      <c r="G3919" s="45"/>
      <c r="L3919" s="8"/>
    </row>
    <row r="3920" spans="7:12" x14ac:dyDescent="0.2">
      <c r="G3920" s="45"/>
      <c r="L3920" s="8"/>
    </row>
    <row r="3921" spans="7:12" x14ac:dyDescent="0.2">
      <c r="G3921" s="45"/>
      <c r="L3921" s="8"/>
    </row>
    <row r="3922" spans="7:12" x14ac:dyDescent="0.2">
      <c r="G3922" s="45"/>
      <c r="L3922" s="8"/>
    </row>
    <row r="3923" spans="7:12" x14ac:dyDescent="0.2">
      <c r="G3923" s="45"/>
      <c r="L3923" s="8"/>
    </row>
    <row r="3924" spans="7:12" x14ac:dyDescent="0.2">
      <c r="G3924" s="45"/>
      <c r="L3924" s="8"/>
    </row>
    <row r="3925" spans="7:12" x14ac:dyDescent="0.2">
      <c r="G3925" s="45"/>
      <c r="L3925" s="8"/>
    </row>
    <row r="3926" spans="7:12" x14ac:dyDescent="0.2">
      <c r="G3926" s="45"/>
      <c r="L3926" s="8"/>
    </row>
    <row r="3927" spans="7:12" x14ac:dyDescent="0.2">
      <c r="G3927" s="45"/>
      <c r="L3927" s="8"/>
    </row>
    <row r="3928" spans="7:12" x14ac:dyDescent="0.2">
      <c r="G3928" s="45"/>
      <c r="L3928" s="8"/>
    </row>
    <row r="3929" spans="7:12" x14ac:dyDescent="0.2">
      <c r="G3929" s="45"/>
      <c r="L3929" s="8"/>
    </row>
    <row r="3930" spans="7:12" x14ac:dyDescent="0.2">
      <c r="G3930" s="45"/>
      <c r="L3930" s="8"/>
    </row>
    <row r="3931" spans="7:12" x14ac:dyDescent="0.2">
      <c r="G3931" s="45"/>
      <c r="L3931" s="8"/>
    </row>
    <row r="3932" spans="7:12" x14ac:dyDescent="0.2">
      <c r="G3932" s="45"/>
      <c r="L3932" s="8"/>
    </row>
    <row r="3933" spans="7:12" x14ac:dyDescent="0.2">
      <c r="G3933" s="45"/>
      <c r="L3933" s="8"/>
    </row>
    <row r="3934" spans="7:12" x14ac:dyDescent="0.2">
      <c r="G3934" s="45"/>
      <c r="L3934" s="8"/>
    </row>
    <row r="3935" spans="7:12" x14ac:dyDescent="0.2">
      <c r="G3935" s="45"/>
      <c r="L3935" s="8"/>
    </row>
    <row r="3936" spans="7:12" x14ac:dyDescent="0.2">
      <c r="G3936" s="45"/>
      <c r="L3936" s="8"/>
    </row>
    <row r="3937" spans="7:12" x14ac:dyDescent="0.2">
      <c r="G3937" s="45"/>
      <c r="L3937" s="8"/>
    </row>
    <row r="3938" spans="7:12" x14ac:dyDescent="0.2">
      <c r="G3938" s="45"/>
      <c r="L3938" s="8"/>
    </row>
    <row r="3939" spans="7:12" x14ac:dyDescent="0.2">
      <c r="G3939" s="45"/>
      <c r="L3939" s="8"/>
    </row>
    <row r="3940" spans="7:12" x14ac:dyDescent="0.2">
      <c r="G3940" s="45"/>
      <c r="L3940" s="8"/>
    </row>
    <row r="3941" spans="7:12" x14ac:dyDescent="0.2">
      <c r="G3941" s="45"/>
      <c r="L3941" s="8"/>
    </row>
    <row r="3942" spans="7:12" x14ac:dyDescent="0.2">
      <c r="G3942" s="45"/>
      <c r="L3942" s="8"/>
    </row>
    <row r="3943" spans="7:12" x14ac:dyDescent="0.2">
      <c r="G3943" s="45"/>
      <c r="L3943" s="8"/>
    </row>
    <row r="3944" spans="7:12" x14ac:dyDescent="0.2">
      <c r="G3944" s="45"/>
      <c r="L3944" s="8"/>
    </row>
    <row r="3945" spans="7:12" x14ac:dyDescent="0.2">
      <c r="G3945" s="45"/>
      <c r="L3945" s="8"/>
    </row>
    <row r="3946" spans="7:12" x14ac:dyDescent="0.2">
      <c r="G3946" s="45"/>
      <c r="L3946" s="8"/>
    </row>
    <row r="3947" spans="7:12" x14ac:dyDescent="0.2">
      <c r="G3947" s="45"/>
      <c r="L3947" s="8"/>
    </row>
    <row r="3948" spans="7:12" x14ac:dyDescent="0.2">
      <c r="G3948" s="45"/>
      <c r="L3948" s="8"/>
    </row>
    <row r="3949" spans="7:12" x14ac:dyDescent="0.2">
      <c r="G3949" s="45"/>
      <c r="L3949" s="8"/>
    </row>
    <row r="3950" spans="7:12" x14ac:dyDescent="0.2">
      <c r="G3950" s="45"/>
      <c r="L3950" s="8"/>
    </row>
    <row r="3951" spans="7:12" x14ac:dyDescent="0.2">
      <c r="G3951" s="45"/>
      <c r="L3951" s="8"/>
    </row>
    <row r="3952" spans="7:12" x14ac:dyDescent="0.2">
      <c r="G3952" s="45"/>
      <c r="L3952" s="8"/>
    </row>
    <row r="3953" spans="7:12" x14ac:dyDescent="0.2">
      <c r="G3953" s="45"/>
      <c r="L3953" s="8"/>
    </row>
    <row r="3954" spans="7:12" x14ac:dyDescent="0.2">
      <c r="G3954" s="45"/>
      <c r="L3954" s="8"/>
    </row>
    <row r="3955" spans="7:12" x14ac:dyDescent="0.2">
      <c r="G3955" s="45"/>
      <c r="L3955" s="8"/>
    </row>
    <row r="3956" spans="7:12" x14ac:dyDescent="0.2">
      <c r="G3956" s="45"/>
      <c r="L3956" s="8"/>
    </row>
    <row r="3957" spans="7:12" x14ac:dyDescent="0.2">
      <c r="G3957" s="45"/>
      <c r="L3957" s="8"/>
    </row>
    <row r="3958" spans="7:12" x14ac:dyDescent="0.2">
      <c r="G3958" s="45"/>
      <c r="L3958" s="8"/>
    </row>
    <row r="3959" spans="7:12" x14ac:dyDescent="0.2">
      <c r="G3959" s="45"/>
      <c r="L3959" s="8"/>
    </row>
    <row r="3960" spans="7:12" x14ac:dyDescent="0.2">
      <c r="G3960" s="45"/>
      <c r="L3960" s="8"/>
    </row>
    <row r="3961" spans="7:12" x14ac:dyDescent="0.2">
      <c r="G3961" s="45"/>
      <c r="L3961" s="8"/>
    </row>
    <row r="3962" spans="7:12" x14ac:dyDescent="0.2">
      <c r="G3962" s="45"/>
      <c r="L3962" s="8"/>
    </row>
    <row r="3963" spans="7:12" x14ac:dyDescent="0.2">
      <c r="G3963" s="45"/>
      <c r="L3963" s="8"/>
    </row>
    <row r="3964" spans="7:12" x14ac:dyDescent="0.2">
      <c r="G3964" s="45"/>
      <c r="L3964" s="8"/>
    </row>
    <row r="3965" spans="7:12" x14ac:dyDescent="0.2">
      <c r="G3965" s="45"/>
      <c r="L3965" s="8"/>
    </row>
    <row r="3966" spans="7:12" x14ac:dyDescent="0.2">
      <c r="G3966" s="45"/>
      <c r="L3966" s="8"/>
    </row>
    <row r="3967" spans="7:12" x14ac:dyDescent="0.2">
      <c r="G3967" s="45"/>
      <c r="L3967" s="8"/>
    </row>
    <row r="3968" spans="7:12" x14ac:dyDescent="0.2">
      <c r="G3968" s="45"/>
      <c r="L3968" s="8"/>
    </row>
    <row r="3969" spans="7:12" x14ac:dyDescent="0.2">
      <c r="G3969" s="45"/>
      <c r="L3969" s="8"/>
    </row>
    <row r="3970" spans="7:12" x14ac:dyDescent="0.2">
      <c r="G3970" s="45"/>
      <c r="L3970" s="8"/>
    </row>
    <row r="3971" spans="7:12" x14ac:dyDescent="0.2">
      <c r="G3971" s="45"/>
      <c r="L3971" s="8"/>
    </row>
    <row r="3972" spans="7:12" x14ac:dyDescent="0.2">
      <c r="G3972" s="45"/>
      <c r="L3972" s="8"/>
    </row>
    <row r="3973" spans="7:12" x14ac:dyDescent="0.2">
      <c r="G3973" s="45"/>
      <c r="L3973" s="8"/>
    </row>
    <row r="3974" spans="7:12" x14ac:dyDescent="0.2">
      <c r="G3974" s="45"/>
      <c r="L3974" s="8"/>
    </row>
    <row r="3975" spans="7:12" x14ac:dyDescent="0.2">
      <c r="G3975" s="45"/>
      <c r="L3975" s="8"/>
    </row>
    <row r="3976" spans="7:12" x14ac:dyDescent="0.2">
      <c r="G3976" s="45"/>
      <c r="L3976" s="8"/>
    </row>
    <row r="3977" spans="7:12" x14ac:dyDescent="0.2">
      <c r="G3977" s="45"/>
      <c r="L3977" s="8"/>
    </row>
    <row r="3978" spans="7:12" x14ac:dyDescent="0.2">
      <c r="G3978" s="45"/>
      <c r="L3978" s="8"/>
    </row>
    <row r="3979" spans="7:12" x14ac:dyDescent="0.2">
      <c r="G3979" s="45"/>
      <c r="L3979" s="8"/>
    </row>
    <row r="3980" spans="7:12" x14ac:dyDescent="0.2">
      <c r="G3980" s="45"/>
      <c r="L3980" s="8"/>
    </row>
    <row r="3981" spans="7:12" x14ac:dyDescent="0.2">
      <c r="G3981" s="45"/>
      <c r="L3981" s="8"/>
    </row>
    <row r="3982" spans="7:12" x14ac:dyDescent="0.2">
      <c r="G3982" s="45"/>
      <c r="L3982" s="8"/>
    </row>
    <row r="3983" spans="7:12" x14ac:dyDescent="0.2">
      <c r="G3983" s="45"/>
      <c r="L3983" s="8"/>
    </row>
    <row r="3984" spans="7:12" x14ac:dyDescent="0.2">
      <c r="G3984" s="45"/>
      <c r="L3984" s="8"/>
    </row>
    <row r="3985" spans="7:12" x14ac:dyDescent="0.2">
      <c r="G3985" s="45"/>
      <c r="L3985" s="8"/>
    </row>
    <row r="3986" spans="7:12" x14ac:dyDescent="0.2">
      <c r="G3986" s="45"/>
      <c r="L3986" s="8"/>
    </row>
    <row r="3987" spans="7:12" x14ac:dyDescent="0.2">
      <c r="G3987" s="45"/>
      <c r="L3987" s="8"/>
    </row>
    <row r="3988" spans="7:12" x14ac:dyDescent="0.2">
      <c r="G3988" s="45"/>
      <c r="L3988" s="8"/>
    </row>
    <row r="3989" spans="7:12" x14ac:dyDescent="0.2">
      <c r="G3989" s="45"/>
      <c r="L3989" s="8"/>
    </row>
    <row r="3990" spans="7:12" x14ac:dyDescent="0.2">
      <c r="G3990" s="45"/>
      <c r="L3990" s="8"/>
    </row>
    <row r="3991" spans="7:12" x14ac:dyDescent="0.2">
      <c r="G3991" s="45"/>
      <c r="L3991" s="8"/>
    </row>
    <row r="3992" spans="7:12" x14ac:dyDescent="0.2">
      <c r="G3992" s="45"/>
      <c r="L3992" s="8"/>
    </row>
    <row r="3993" spans="7:12" x14ac:dyDescent="0.2">
      <c r="G3993" s="45"/>
      <c r="L3993" s="8"/>
    </row>
    <row r="3994" spans="7:12" x14ac:dyDescent="0.2">
      <c r="G3994" s="45"/>
      <c r="L3994" s="8"/>
    </row>
    <row r="3995" spans="7:12" x14ac:dyDescent="0.2">
      <c r="G3995" s="45"/>
      <c r="L3995" s="8"/>
    </row>
    <row r="3996" spans="7:12" x14ac:dyDescent="0.2">
      <c r="G3996" s="45"/>
      <c r="L3996" s="8"/>
    </row>
    <row r="3997" spans="7:12" x14ac:dyDescent="0.2">
      <c r="G3997" s="45"/>
      <c r="L3997" s="8"/>
    </row>
    <row r="3998" spans="7:12" x14ac:dyDescent="0.2">
      <c r="G3998" s="45"/>
      <c r="L3998" s="8"/>
    </row>
    <row r="3999" spans="7:12" x14ac:dyDescent="0.2">
      <c r="G3999" s="45"/>
      <c r="L3999" s="8"/>
    </row>
    <row r="4000" spans="7:12" x14ac:dyDescent="0.2">
      <c r="G4000" s="45"/>
      <c r="L4000" s="8"/>
    </row>
    <row r="4001" spans="7:12" x14ac:dyDescent="0.2">
      <c r="G4001" s="45"/>
      <c r="L4001" s="8"/>
    </row>
    <row r="4002" spans="7:12" x14ac:dyDescent="0.2">
      <c r="G4002" s="45"/>
      <c r="L4002" s="8"/>
    </row>
    <row r="4003" spans="7:12" x14ac:dyDescent="0.2">
      <c r="G4003" s="45"/>
      <c r="L4003" s="8"/>
    </row>
    <row r="4004" spans="7:12" x14ac:dyDescent="0.2">
      <c r="G4004" s="45"/>
      <c r="L4004" s="8"/>
    </row>
    <row r="4005" spans="7:12" x14ac:dyDescent="0.2">
      <c r="G4005" s="45"/>
      <c r="L4005" s="8"/>
    </row>
    <row r="4006" spans="7:12" x14ac:dyDescent="0.2">
      <c r="G4006" s="45"/>
      <c r="L4006" s="8"/>
    </row>
    <row r="4007" spans="7:12" x14ac:dyDescent="0.2">
      <c r="G4007" s="45"/>
      <c r="L4007" s="8"/>
    </row>
    <row r="4008" spans="7:12" x14ac:dyDescent="0.2">
      <c r="G4008" s="45"/>
      <c r="L4008" s="8"/>
    </row>
    <row r="4009" spans="7:12" x14ac:dyDescent="0.2">
      <c r="G4009" s="45"/>
      <c r="L4009" s="8"/>
    </row>
    <row r="4010" spans="7:12" x14ac:dyDescent="0.2">
      <c r="G4010" s="45"/>
      <c r="L4010" s="8"/>
    </row>
    <row r="4011" spans="7:12" x14ac:dyDescent="0.2">
      <c r="G4011" s="45"/>
      <c r="L4011" s="8"/>
    </row>
    <row r="4012" spans="7:12" x14ac:dyDescent="0.2">
      <c r="G4012" s="45"/>
      <c r="L4012" s="8"/>
    </row>
    <row r="4013" spans="7:12" x14ac:dyDescent="0.2">
      <c r="G4013" s="45"/>
      <c r="L4013" s="8"/>
    </row>
    <row r="4014" spans="7:12" x14ac:dyDescent="0.2">
      <c r="G4014" s="45"/>
      <c r="L4014" s="8"/>
    </row>
    <row r="4015" spans="7:12" x14ac:dyDescent="0.2">
      <c r="G4015" s="45"/>
      <c r="L4015" s="8"/>
    </row>
    <row r="4016" spans="7:12" x14ac:dyDescent="0.2">
      <c r="G4016" s="45"/>
      <c r="L4016" s="8"/>
    </row>
    <row r="4017" spans="7:12" x14ac:dyDescent="0.2">
      <c r="G4017" s="45"/>
      <c r="L4017" s="8"/>
    </row>
    <row r="4018" spans="7:12" x14ac:dyDescent="0.2">
      <c r="G4018" s="45"/>
      <c r="L4018" s="8"/>
    </row>
    <row r="4019" spans="7:12" x14ac:dyDescent="0.2">
      <c r="G4019" s="45"/>
      <c r="L4019" s="8"/>
    </row>
    <row r="4020" spans="7:12" x14ac:dyDescent="0.2">
      <c r="G4020" s="45"/>
      <c r="L4020" s="8"/>
    </row>
    <row r="4021" spans="7:12" x14ac:dyDescent="0.2">
      <c r="G4021" s="45"/>
      <c r="L4021" s="8"/>
    </row>
    <row r="4022" spans="7:12" x14ac:dyDescent="0.2">
      <c r="G4022" s="45"/>
      <c r="L4022" s="8"/>
    </row>
    <row r="4023" spans="7:12" x14ac:dyDescent="0.2">
      <c r="G4023" s="45"/>
      <c r="L4023" s="8"/>
    </row>
    <row r="4024" spans="7:12" x14ac:dyDescent="0.2">
      <c r="G4024" s="45"/>
      <c r="L4024" s="8"/>
    </row>
    <row r="4025" spans="7:12" x14ac:dyDescent="0.2">
      <c r="G4025" s="45"/>
      <c r="L4025" s="8"/>
    </row>
    <row r="4026" spans="7:12" x14ac:dyDescent="0.2">
      <c r="G4026" s="45"/>
      <c r="L4026" s="8"/>
    </row>
    <row r="4027" spans="7:12" x14ac:dyDescent="0.2">
      <c r="G4027" s="45"/>
      <c r="L4027" s="8"/>
    </row>
    <row r="4028" spans="7:12" x14ac:dyDescent="0.2">
      <c r="G4028" s="45"/>
      <c r="L4028" s="8"/>
    </row>
    <row r="4029" spans="7:12" x14ac:dyDescent="0.2">
      <c r="G4029" s="45"/>
      <c r="L4029" s="8"/>
    </row>
    <row r="4030" spans="7:12" x14ac:dyDescent="0.2">
      <c r="G4030" s="45"/>
      <c r="L4030" s="8"/>
    </row>
    <row r="4031" spans="7:12" x14ac:dyDescent="0.2">
      <c r="G4031" s="45"/>
      <c r="L4031" s="8"/>
    </row>
    <row r="4032" spans="7:12" x14ac:dyDescent="0.2">
      <c r="G4032" s="45"/>
      <c r="L4032" s="8"/>
    </row>
    <row r="4033" spans="7:12" x14ac:dyDescent="0.2">
      <c r="G4033" s="45"/>
      <c r="L4033" s="8"/>
    </row>
    <row r="4034" spans="7:12" x14ac:dyDescent="0.2">
      <c r="G4034" s="45"/>
      <c r="L4034" s="8"/>
    </row>
    <row r="4035" spans="7:12" x14ac:dyDescent="0.2">
      <c r="G4035" s="45"/>
      <c r="L4035" s="8"/>
    </row>
    <row r="4036" spans="7:12" x14ac:dyDescent="0.2">
      <c r="G4036" s="45"/>
      <c r="L4036" s="8"/>
    </row>
    <row r="4037" spans="7:12" x14ac:dyDescent="0.2">
      <c r="G4037" s="45"/>
      <c r="L4037" s="8"/>
    </row>
    <row r="4038" spans="7:12" x14ac:dyDescent="0.2">
      <c r="G4038" s="45"/>
      <c r="L4038" s="8"/>
    </row>
    <row r="4039" spans="7:12" x14ac:dyDescent="0.2">
      <c r="G4039" s="45"/>
      <c r="L4039" s="8"/>
    </row>
    <row r="4040" spans="7:12" x14ac:dyDescent="0.2">
      <c r="G4040" s="45"/>
      <c r="L4040" s="8"/>
    </row>
    <row r="4041" spans="7:12" x14ac:dyDescent="0.2">
      <c r="G4041" s="45"/>
      <c r="L4041" s="8"/>
    </row>
    <row r="4042" spans="7:12" x14ac:dyDescent="0.2">
      <c r="G4042" s="45"/>
      <c r="L4042" s="8"/>
    </row>
    <row r="4043" spans="7:12" x14ac:dyDescent="0.2">
      <c r="G4043" s="45"/>
      <c r="L4043" s="8"/>
    </row>
    <row r="4044" spans="7:12" x14ac:dyDescent="0.2">
      <c r="G4044" s="45"/>
      <c r="L4044" s="8"/>
    </row>
    <row r="4045" spans="7:12" x14ac:dyDescent="0.2">
      <c r="G4045" s="45"/>
      <c r="L4045" s="8"/>
    </row>
    <row r="4046" spans="7:12" x14ac:dyDescent="0.2">
      <c r="G4046" s="45"/>
      <c r="L4046" s="8"/>
    </row>
    <row r="4047" spans="7:12" x14ac:dyDescent="0.2">
      <c r="G4047" s="45"/>
      <c r="L4047" s="8"/>
    </row>
    <row r="4048" spans="7:12" x14ac:dyDescent="0.2">
      <c r="G4048" s="45"/>
      <c r="L4048" s="8"/>
    </row>
    <row r="4049" spans="7:12" x14ac:dyDescent="0.2">
      <c r="G4049" s="45"/>
      <c r="L4049" s="8"/>
    </row>
    <row r="4050" spans="7:12" x14ac:dyDescent="0.2">
      <c r="G4050" s="45"/>
      <c r="L4050" s="8"/>
    </row>
    <row r="4051" spans="7:12" x14ac:dyDescent="0.2">
      <c r="G4051" s="45"/>
      <c r="L4051" s="8"/>
    </row>
    <row r="4052" spans="7:12" x14ac:dyDescent="0.2">
      <c r="G4052" s="45"/>
      <c r="L4052" s="8"/>
    </row>
    <row r="4053" spans="7:12" x14ac:dyDescent="0.2">
      <c r="G4053" s="45"/>
      <c r="L4053" s="8"/>
    </row>
    <row r="4054" spans="7:12" x14ac:dyDescent="0.2">
      <c r="G4054" s="45"/>
      <c r="L4054" s="8"/>
    </row>
    <row r="4055" spans="7:12" x14ac:dyDescent="0.2">
      <c r="G4055" s="45"/>
      <c r="L4055" s="8"/>
    </row>
    <row r="4056" spans="7:12" x14ac:dyDescent="0.2">
      <c r="G4056" s="45"/>
      <c r="L4056" s="8"/>
    </row>
    <row r="4057" spans="7:12" x14ac:dyDescent="0.2">
      <c r="G4057" s="45"/>
      <c r="L4057" s="8"/>
    </row>
    <row r="4058" spans="7:12" x14ac:dyDescent="0.2">
      <c r="G4058" s="45"/>
      <c r="L4058" s="8"/>
    </row>
    <row r="4059" spans="7:12" x14ac:dyDescent="0.2">
      <c r="G4059" s="45"/>
      <c r="L4059" s="8"/>
    </row>
    <row r="4060" spans="7:12" x14ac:dyDescent="0.2">
      <c r="G4060" s="45"/>
      <c r="L4060" s="8"/>
    </row>
    <row r="4061" spans="7:12" x14ac:dyDescent="0.2">
      <c r="G4061" s="45"/>
      <c r="L4061" s="8"/>
    </row>
    <row r="4062" spans="7:12" x14ac:dyDescent="0.2">
      <c r="G4062" s="45"/>
      <c r="L4062" s="8"/>
    </row>
    <row r="4063" spans="7:12" x14ac:dyDescent="0.2">
      <c r="G4063" s="45"/>
      <c r="L4063" s="8"/>
    </row>
    <row r="4064" spans="7:12" x14ac:dyDescent="0.2">
      <c r="G4064" s="45"/>
      <c r="L4064" s="8"/>
    </row>
    <row r="4065" spans="7:12" x14ac:dyDescent="0.2">
      <c r="G4065" s="45"/>
      <c r="L4065" s="8"/>
    </row>
    <row r="4066" spans="7:12" x14ac:dyDescent="0.2">
      <c r="G4066" s="45"/>
      <c r="L4066" s="8"/>
    </row>
    <row r="4067" spans="7:12" x14ac:dyDescent="0.2">
      <c r="G4067" s="45"/>
      <c r="L4067" s="8"/>
    </row>
    <row r="4068" spans="7:12" x14ac:dyDescent="0.2">
      <c r="G4068" s="45"/>
      <c r="L4068" s="8"/>
    </row>
    <row r="4069" spans="7:12" x14ac:dyDescent="0.2">
      <c r="G4069" s="45"/>
      <c r="L4069" s="8"/>
    </row>
    <row r="4070" spans="7:12" x14ac:dyDescent="0.2">
      <c r="G4070" s="45"/>
      <c r="L4070" s="8"/>
    </row>
    <row r="4071" spans="7:12" x14ac:dyDescent="0.2">
      <c r="G4071" s="45"/>
      <c r="L4071" s="8"/>
    </row>
    <row r="4072" spans="7:12" x14ac:dyDescent="0.2">
      <c r="G4072" s="45"/>
      <c r="L4072" s="8"/>
    </row>
    <row r="4073" spans="7:12" x14ac:dyDescent="0.2">
      <c r="G4073" s="45"/>
      <c r="L4073" s="8"/>
    </row>
    <row r="4074" spans="7:12" x14ac:dyDescent="0.2">
      <c r="G4074" s="45"/>
      <c r="L4074" s="8"/>
    </row>
    <row r="4075" spans="7:12" x14ac:dyDescent="0.2">
      <c r="G4075" s="45"/>
      <c r="L4075" s="8"/>
    </row>
    <row r="4076" spans="7:12" x14ac:dyDescent="0.2">
      <c r="G4076" s="45"/>
      <c r="L4076" s="8"/>
    </row>
    <row r="4077" spans="7:12" x14ac:dyDescent="0.2">
      <c r="G4077" s="45"/>
      <c r="L4077" s="8"/>
    </row>
    <row r="4078" spans="7:12" x14ac:dyDescent="0.2">
      <c r="G4078" s="45"/>
      <c r="L4078" s="8"/>
    </row>
    <row r="4079" spans="7:12" x14ac:dyDescent="0.2">
      <c r="G4079" s="45"/>
      <c r="L4079" s="8"/>
    </row>
    <row r="4080" spans="7:12" x14ac:dyDescent="0.2">
      <c r="G4080" s="45"/>
      <c r="L4080" s="8"/>
    </row>
    <row r="4081" spans="7:12" x14ac:dyDescent="0.2">
      <c r="G4081" s="45"/>
      <c r="L4081" s="8"/>
    </row>
    <row r="4082" spans="7:12" x14ac:dyDescent="0.2">
      <c r="G4082" s="45"/>
      <c r="L4082" s="8"/>
    </row>
    <row r="4083" spans="7:12" x14ac:dyDescent="0.2">
      <c r="G4083" s="45"/>
      <c r="L4083" s="8"/>
    </row>
    <row r="4084" spans="7:12" x14ac:dyDescent="0.2">
      <c r="G4084" s="45"/>
      <c r="L4084" s="8"/>
    </row>
    <row r="4085" spans="7:12" x14ac:dyDescent="0.2">
      <c r="G4085" s="45"/>
      <c r="L4085" s="8"/>
    </row>
    <row r="4086" spans="7:12" x14ac:dyDescent="0.2">
      <c r="G4086" s="45"/>
      <c r="L4086" s="8"/>
    </row>
    <row r="4087" spans="7:12" x14ac:dyDescent="0.2">
      <c r="G4087" s="45"/>
      <c r="L4087" s="8"/>
    </row>
    <row r="4088" spans="7:12" x14ac:dyDescent="0.2">
      <c r="G4088" s="45"/>
      <c r="L4088" s="8"/>
    </row>
    <row r="4089" spans="7:12" x14ac:dyDescent="0.2">
      <c r="G4089" s="45"/>
      <c r="L4089" s="8"/>
    </row>
    <row r="4090" spans="7:12" x14ac:dyDescent="0.2">
      <c r="G4090" s="45"/>
      <c r="L4090" s="8"/>
    </row>
    <row r="4091" spans="7:12" x14ac:dyDescent="0.2">
      <c r="G4091" s="45"/>
      <c r="L4091" s="8"/>
    </row>
    <row r="4092" spans="7:12" x14ac:dyDescent="0.2">
      <c r="G4092" s="45"/>
      <c r="L4092" s="8"/>
    </row>
    <row r="4093" spans="7:12" x14ac:dyDescent="0.2">
      <c r="G4093" s="45"/>
      <c r="L4093" s="8"/>
    </row>
    <row r="4094" spans="7:12" x14ac:dyDescent="0.2">
      <c r="G4094" s="45"/>
      <c r="L4094" s="8"/>
    </row>
    <row r="4095" spans="7:12" x14ac:dyDescent="0.2">
      <c r="G4095" s="45"/>
      <c r="L4095" s="8"/>
    </row>
    <row r="4096" spans="7:12" x14ac:dyDescent="0.2">
      <c r="G4096" s="45"/>
      <c r="L4096" s="8"/>
    </row>
    <row r="4097" spans="7:12" x14ac:dyDescent="0.2">
      <c r="G4097" s="45"/>
      <c r="L4097" s="8"/>
    </row>
    <row r="4098" spans="7:12" x14ac:dyDescent="0.2">
      <c r="G4098" s="45"/>
      <c r="L4098" s="8"/>
    </row>
    <row r="4099" spans="7:12" x14ac:dyDescent="0.2">
      <c r="G4099" s="45"/>
      <c r="L4099" s="8"/>
    </row>
    <row r="4100" spans="7:12" x14ac:dyDescent="0.2">
      <c r="G4100" s="45"/>
      <c r="L4100" s="8"/>
    </row>
    <row r="4101" spans="7:12" x14ac:dyDescent="0.2">
      <c r="G4101" s="45"/>
      <c r="L4101" s="8"/>
    </row>
    <row r="4102" spans="7:12" x14ac:dyDescent="0.2">
      <c r="G4102" s="45"/>
      <c r="L4102" s="8"/>
    </row>
    <row r="4103" spans="7:12" x14ac:dyDescent="0.2">
      <c r="G4103" s="45"/>
      <c r="L4103" s="8"/>
    </row>
    <row r="4104" spans="7:12" x14ac:dyDescent="0.2">
      <c r="G4104" s="45"/>
      <c r="L4104" s="8"/>
    </row>
    <row r="4105" spans="7:12" x14ac:dyDescent="0.2">
      <c r="G4105" s="45"/>
      <c r="L4105" s="8"/>
    </row>
    <row r="4106" spans="7:12" x14ac:dyDescent="0.2">
      <c r="G4106" s="45"/>
      <c r="L4106" s="8"/>
    </row>
    <row r="4107" spans="7:12" x14ac:dyDescent="0.2">
      <c r="G4107" s="45"/>
      <c r="L4107" s="8"/>
    </row>
    <row r="4108" spans="7:12" x14ac:dyDescent="0.2">
      <c r="G4108" s="45"/>
      <c r="L4108" s="8"/>
    </row>
    <row r="4109" spans="7:12" x14ac:dyDescent="0.2">
      <c r="G4109" s="45"/>
      <c r="L4109" s="8"/>
    </row>
    <row r="4110" spans="7:12" x14ac:dyDescent="0.2">
      <c r="G4110" s="45"/>
      <c r="L4110" s="8"/>
    </row>
    <row r="4111" spans="7:12" x14ac:dyDescent="0.2">
      <c r="G4111" s="45"/>
      <c r="L4111" s="8"/>
    </row>
    <row r="4112" spans="7:12" x14ac:dyDescent="0.2">
      <c r="G4112" s="45"/>
      <c r="L4112" s="8"/>
    </row>
    <row r="4113" spans="7:12" x14ac:dyDescent="0.2">
      <c r="G4113" s="45"/>
      <c r="L4113" s="8"/>
    </row>
    <row r="4114" spans="7:12" x14ac:dyDescent="0.2">
      <c r="G4114" s="45"/>
      <c r="L4114" s="8"/>
    </row>
    <row r="4115" spans="7:12" x14ac:dyDescent="0.2">
      <c r="G4115" s="45"/>
      <c r="L4115" s="8"/>
    </row>
    <row r="4116" spans="7:12" x14ac:dyDescent="0.2">
      <c r="G4116" s="45"/>
      <c r="L4116" s="8"/>
    </row>
    <row r="4117" spans="7:12" x14ac:dyDescent="0.2">
      <c r="G4117" s="45"/>
      <c r="L4117" s="8"/>
    </row>
    <row r="4118" spans="7:12" x14ac:dyDescent="0.2">
      <c r="G4118" s="45"/>
      <c r="L4118" s="8"/>
    </row>
    <row r="4119" spans="7:12" x14ac:dyDescent="0.2">
      <c r="G4119" s="45"/>
      <c r="L4119" s="8"/>
    </row>
    <row r="4120" spans="7:12" x14ac:dyDescent="0.2">
      <c r="G4120" s="45"/>
      <c r="L4120" s="8"/>
    </row>
    <row r="4121" spans="7:12" x14ac:dyDescent="0.2">
      <c r="G4121" s="45"/>
      <c r="L4121" s="8"/>
    </row>
    <row r="4122" spans="7:12" x14ac:dyDescent="0.2">
      <c r="G4122" s="45"/>
      <c r="L4122" s="8"/>
    </row>
    <row r="4123" spans="7:12" x14ac:dyDescent="0.2">
      <c r="G4123" s="45"/>
      <c r="L4123" s="8"/>
    </row>
    <row r="4124" spans="7:12" x14ac:dyDescent="0.2">
      <c r="G4124" s="45"/>
      <c r="L4124" s="8"/>
    </row>
    <row r="4125" spans="7:12" x14ac:dyDescent="0.2">
      <c r="G4125" s="45"/>
      <c r="L4125" s="8"/>
    </row>
    <row r="4126" spans="7:12" x14ac:dyDescent="0.2">
      <c r="G4126" s="45"/>
      <c r="L4126" s="8"/>
    </row>
    <row r="4127" spans="7:12" x14ac:dyDescent="0.2">
      <c r="G4127" s="45"/>
      <c r="L4127" s="8"/>
    </row>
    <row r="4128" spans="7:12" x14ac:dyDescent="0.2">
      <c r="G4128" s="45"/>
      <c r="L4128" s="8"/>
    </row>
    <row r="4129" spans="7:12" x14ac:dyDescent="0.2">
      <c r="G4129" s="45"/>
      <c r="L4129" s="8"/>
    </row>
    <row r="4130" spans="7:12" x14ac:dyDescent="0.2">
      <c r="G4130" s="45"/>
      <c r="L4130" s="8"/>
    </row>
    <row r="4131" spans="7:12" x14ac:dyDescent="0.2">
      <c r="G4131" s="45"/>
      <c r="L4131" s="8"/>
    </row>
    <row r="4132" spans="7:12" x14ac:dyDescent="0.2">
      <c r="G4132" s="45"/>
      <c r="L4132" s="8"/>
    </row>
    <row r="4133" spans="7:12" x14ac:dyDescent="0.2">
      <c r="G4133" s="45"/>
      <c r="L4133" s="8"/>
    </row>
    <row r="4134" spans="7:12" x14ac:dyDescent="0.2">
      <c r="G4134" s="45"/>
      <c r="L4134" s="8"/>
    </row>
    <row r="4135" spans="7:12" x14ac:dyDescent="0.2">
      <c r="G4135" s="45"/>
      <c r="L4135" s="8"/>
    </row>
    <row r="4136" spans="7:12" x14ac:dyDescent="0.2">
      <c r="G4136" s="45"/>
      <c r="L4136" s="8"/>
    </row>
    <row r="4137" spans="7:12" x14ac:dyDescent="0.2">
      <c r="G4137" s="45"/>
      <c r="L4137" s="8"/>
    </row>
    <row r="4138" spans="7:12" x14ac:dyDescent="0.2">
      <c r="G4138" s="45"/>
      <c r="L4138" s="8"/>
    </row>
    <row r="4139" spans="7:12" x14ac:dyDescent="0.2">
      <c r="G4139" s="45"/>
      <c r="L4139" s="8"/>
    </row>
    <row r="4140" spans="7:12" x14ac:dyDescent="0.2">
      <c r="G4140" s="45"/>
      <c r="L4140" s="8"/>
    </row>
    <row r="4141" spans="7:12" x14ac:dyDescent="0.2">
      <c r="G4141" s="45"/>
      <c r="L4141" s="8"/>
    </row>
    <row r="4142" spans="7:12" x14ac:dyDescent="0.2">
      <c r="G4142" s="45"/>
      <c r="L4142" s="8"/>
    </row>
    <row r="4143" spans="7:12" x14ac:dyDescent="0.2">
      <c r="G4143" s="45"/>
      <c r="L4143" s="8"/>
    </row>
    <row r="4144" spans="7:12" x14ac:dyDescent="0.2">
      <c r="G4144" s="45"/>
      <c r="L4144" s="8"/>
    </row>
    <row r="4145" spans="7:12" x14ac:dyDescent="0.2">
      <c r="G4145" s="45"/>
      <c r="L4145" s="8"/>
    </row>
    <row r="4146" spans="7:12" x14ac:dyDescent="0.2">
      <c r="G4146" s="45"/>
      <c r="L4146" s="8"/>
    </row>
    <row r="4147" spans="7:12" x14ac:dyDescent="0.2">
      <c r="G4147" s="45"/>
      <c r="L4147" s="8"/>
    </row>
    <row r="4148" spans="7:12" x14ac:dyDescent="0.2">
      <c r="G4148" s="45"/>
      <c r="L4148" s="8"/>
    </row>
    <row r="4149" spans="7:12" x14ac:dyDescent="0.2">
      <c r="G4149" s="45"/>
      <c r="L4149" s="8"/>
    </row>
    <row r="4150" spans="7:12" x14ac:dyDescent="0.2">
      <c r="G4150" s="45"/>
      <c r="L4150" s="8"/>
    </row>
    <row r="4151" spans="7:12" x14ac:dyDescent="0.2">
      <c r="G4151" s="45"/>
      <c r="L4151" s="8"/>
    </row>
    <row r="4152" spans="7:12" x14ac:dyDescent="0.2">
      <c r="G4152" s="45"/>
      <c r="L4152" s="8"/>
    </row>
    <row r="4153" spans="7:12" x14ac:dyDescent="0.2">
      <c r="G4153" s="45"/>
      <c r="L4153" s="8"/>
    </row>
    <row r="4154" spans="7:12" x14ac:dyDescent="0.2">
      <c r="G4154" s="45"/>
      <c r="L4154" s="8"/>
    </row>
    <row r="4155" spans="7:12" x14ac:dyDescent="0.2">
      <c r="G4155" s="45"/>
      <c r="L4155" s="8"/>
    </row>
    <row r="4156" spans="7:12" x14ac:dyDescent="0.2">
      <c r="G4156" s="45"/>
      <c r="L4156" s="8"/>
    </row>
    <row r="4157" spans="7:12" x14ac:dyDescent="0.2">
      <c r="G4157" s="45"/>
      <c r="L4157" s="8"/>
    </row>
    <row r="4158" spans="7:12" x14ac:dyDescent="0.2">
      <c r="G4158" s="45"/>
      <c r="L4158" s="8"/>
    </row>
    <row r="4159" spans="7:12" x14ac:dyDescent="0.2">
      <c r="G4159" s="45"/>
      <c r="L4159" s="8"/>
    </row>
    <row r="4160" spans="7:12" x14ac:dyDescent="0.2">
      <c r="G4160" s="45"/>
      <c r="L4160" s="8"/>
    </row>
    <row r="4161" spans="7:12" x14ac:dyDescent="0.2">
      <c r="G4161" s="45"/>
      <c r="L4161" s="8"/>
    </row>
    <row r="4162" spans="7:12" x14ac:dyDescent="0.2">
      <c r="G4162" s="45"/>
      <c r="L4162" s="8"/>
    </row>
    <row r="4163" spans="7:12" x14ac:dyDescent="0.2">
      <c r="G4163" s="45"/>
      <c r="L4163" s="8"/>
    </row>
    <row r="4164" spans="7:12" x14ac:dyDescent="0.2">
      <c r="G4164" s="45"/>
      <c r="L4164" s="8"/>
    </row>
    <row r="4165" spans="7:12" x14ac:dyDescent="0.2">
      <c r="G4165" s="45"/>
      <c r="L4165" s="8"/>
    </row>
    <row r="4166" spans="7:12" x14ac:dyDescent="0.2">
      <c r="G4166" s="45"/>
      <c r="L4166" s="8"/>
    </row>
    <row r="4167" spans="7:12" x14ac:dyDescent="0.2">
      <c r="G4167" s="45"/>
      <c r="L4167" s="8"/>
    </row>
    <row r="4168" spans="7:12" x14ac:dyDescent="0.2">
      <c r="G4168" s="45"/>
      <c r="L4168" s="8"/>
    </row>
    <row r="4169" spans="7:12" x14ac:dyDescent="0.2">
      <c r="G4169" s="45"/>
      <c r="L4169" s="8"/>
    </row>
    <row r="4170" spans="7:12" x14ac:dyDescent="0.2">
      <c r="G4170" s="45"/>
      <c r="L4170" s="8"/>
    </row>
    <row r="4171" spans="7:12" x14ac:dyDescent="0.2">
      <c r="G4171" s="45"/>
      <c r="L4171" s="8"/>
    </row>
    <row r="4172" spans="7:12" x14ac:dyDescent="0.2">
      <c r="G4172" s="45"/>
      <c r="L4172" s="8"/>
    </row>
    <row r="4173" spans="7:12" x14ac:dyDescent="0.2">
      <c r="G4173" s="45"/>
      <c r="L4173" s="8"/>
    </row>
    <row r="4174" spans="7:12" x14ac:dyDescent="0.2">
      <c r="G4174" s="45"/>
      <c r="L4174" s="8"/>
    </row>
    <row r="4175" spans="7:12" x14ac:dyDescent="0.2">
      <c r="G4175" s="45"/>
      <c r="L4175" s="8"/>
    </row>
    <row r="4176" spans="7:12" x14ac:dyDescent="0.2">
      <c r="G4176" s="45"/>
      <c r="L4176" s="8"/>
    </row>
    <row r="4177" spans="7:12" x14ac:dyDescent="0.2">
      <c r="G4177" s="45"/>
      <c r="L4177" s="8"/>
    </row>
    <row r="4178" spans="7:12" x14ac:dyDescent="0.2">
      <c r="G4178" s="45"/>
      <c r="L4178" s="8"/>
    </row>
    <row r="4179" spans="7:12" x14ac:dyDescent="0.2">
      <c r="G4179" s="45"/>
      <c r="L4179" s="8"/>
    </row>
    <row r="4180" spans="7:12" x14ac:dyDescent="0.2">
      <c r="G4180" s="45"/>
      <c r="L4180" s="8"/>
    </row>
    <row r="4181" spans="7:12" x14ac:dyDescent="0.2">
      <c r="G4181" s="45"/>
      <c r="L4181" s="8"/>
    </row>
    <row r="4182" spans="7:12" x14ac:dyDescent="0.2">
      <c r="G4182" s="45"/>
      <c r="L4182" s="8"/>
    </row>
    <row r="4183" spans="7:12" x14ac:dyDescent="0.2">
      <c r="G4183" s="45"/>
      <c r="L4183" s="8"/>
    </row>
    <row r="4184" spans="7:12" x14ac:dyDescent="0.2">
      <c r="G4184" s="45"/>
      <c r="L4184" s="8"/>
    </row>
    <row r="4185" spans="7:12" x14ac:dyDescent="0.2">
      <c r="G4185" s="45"/>
      <c r="L4185" s="8"/>
    </row>
    <row r="4186" spans="7:12" x14ac:dyDescent="0.2">
      <c r="G4186" s="45"/>
      <c r="L4186" s="8"/>
    </row>
    <row r="4187" spans="7:12" x14ac:dyDescent="0.2">
      <c r="G4187" s="45"/>
      <c r="L4187" s="8"/>
    </row>
    <row r="4188" spans="7:12" x14ac:dyDescent="0.2">
      <c r="G4188" s="45"/>
      <c r="L4188" s="8"/>
    </row>
    <row r="4189" spans="7:12" x14ac:dyDescent="0.2">
      <c r="G4189" s="45"/>
      <c r="L4189" s="8"/>
    </row>
    <row r="4190" spans="7:12" x14ac:dyDescent="0.2">
      <c r="G4190" s="45"/>
      <c r="L4190" s="8"/>
    </row>
    <row r="4191" spans="7:12" x14ac:dyDescent="0.2">
      <c r="G4191" s="45"/>
      <c r="L4191" s="8"/>
    </row>
    <row r="4192" spans="7:12" x14ac:dyDescent="0.2">
      <c r="G4192" s="45"/>
      <c r="L4192" s="8"/>
    </row>
    <row r="4193" spans="7:12" x14ac:dyDescent="0.2">
      <c r="G4193" s="45"/>
      <c r="L4193" s="8"/>
    </row>
    <row r="4194" spans="7:12" x14ac:dyDescent="0.2">
      <c r="G4194" s="45"/>
      <c r="L4194" s="8"/>
    </row>
    <row r="4195" spans="7:12" x14ac:dyDescent="0.2">
      <c r="G4195" s="45"/>
      <c r="L4195" s="8"/>
    </row>
    <row r="4196" spans="7:12" x14ac:dyDescent="0.2">
      <c r="G4196" s="45"/>
      <c r="L4196" s="8"/>
    </row>
    <row r="4197" spans="7:12" x14ac:dyDescent="0.2">
      <c r="G4197" s="45"/>
      <c r="L4197" s="8"/>
    </row>
    <row r="4198" spans="7:12" x14ac:dyDescent="0.2">
      <c r="G4198" s="45"/>
      <c r="L4198" s="8"/>
    </row>
    <row r="4199" spans="7:12" x14ac:dyDescent="0.2">
      <c r="G4199" s="45"/>
      <c r="L4199" s="8"/>
    </row>
    <row r="4200" spans="7:12" x14ac:dyDescent="0.2">
      <c r="G4200" s="45"/>
      <c r="L4200" s="8"/>
    </row>
    <row r="4201" spans="7:12" x14ac:dyDescent="0.2">
      <c r="G4201" s="45"/>
      <c r="L4201" s="8"/>
    </row>
    <row r="4202" spans="7:12" x14ac:dyDescent="0.2">
      <c r="G4202" s="45"/>
      <c r="L4202" s="8"/>
    </row>
    <row r="4203" spans="7:12" x14ac:dyDescent="0.2">
      <c r="G4203" s="45"/>
      <c r="L4203" s="8"/>
    </row>
    <row r="4204" spans="7:12" x14ac:dyDescent="0.2">
      <c r="G4204" s="45"/>
      <c r="L4204" s="8"/>
    </row>
    <row r="4205" spans="7:12" x14ac:dyDescent="0.2">
      <c r="G4205" s="45"/>
      <c r="L4205" s="8"/>
    </row>
    <row r="4206" spans="7:12" x14ac:dyDescent="0.2">
      <c r="G4206" s="45"/>
      <c r="L4206" s="8"/>
    </row>
    <row r="4207" spans="7:12" x14ac:dyDescent="0.2">
      <c r="G4207" s="45"/>
      <c r="L4207" s="8"/>
    </row>
    <row r="4208" spans="7:12" x14ac:dyDescent="0.2">
      <c r="G4208" s="45"/>
      <c r="L4208" s="8"/>
    </row>
    <row r="4209" spans="7:12" x14ac:dyDescent="0.2">
      <c r="G4209" s="45"/>
      <c r="L4209" s="8"/>
    </row>
    <row r="4210" spans="7:12" x14ac:dyDescent="0.2">
      <c r="G4210" s="45"/>
      <c r="L4210" s="8"/>
    </row>
    <row r="4211" spans="7:12" x14ac:dyDescent="0.2">
      <c r="G4211" s="45"/>
      <c r="L4211" s="8"/>
    </row>
    <row r="4212" spans="7:12" x14ac:dyDescent="0.2">
      <c r="G4212" s="45"/>
      <c r="L4212" s="8"/>
    </row>
    <row r="4213" spans="7:12" x14ac:dyDescent="0.2">
      <c r="G4213" s="45"/>
      <c r="L4213" s="8"/>
    </row>
    <row r="4214" spans="7:12" x14ac:dyDescent="0.2">
      <c r="G4214" s="45"/>
      <c r="L4214" s="8"/>
    </row>
    <row r="4215" spans="7:12" x14ac:dyDescent="0.2">
      <c r="G4215" s="45"/>
      <c r="L4215" s="8"/>
    </row>
    <row r="4216" spans="7:12" x14ac:dyDescent="0.2">
      <c r="G4216" s="45"/>
      <c r="L4216" s="8"/>
    </row>
    <row r="4217" spans="7:12" x14ac:dyDescent="0.2">
      <c r="G4217" s="45"/>
      <c r="L4217" s="8"/>
    </row>
    <row r="4218" spans="7:12" x14ac:dyDescent="0.2">
      <c r="G4218" s="45"/>
      <c r="L4218" s="8"/>
    </row>
    <row r="4219" spans="7:12" x14ac:dyDescent="0.2">
      <c r="G4219" s="45"/>
      <c r="L4219" s="8"/>
    </row>
    <row r="4220" spans="7:12" x14ac:dyDescent="0.2">
      <c r="G4220" s="45"/>
      <c r="L4220" s="8"/>
    </row>
    <row r="4221" spans="7:12" x14ac:dyDescent="0.2">
      <c r="G4221" s="45"/>
      <c r="L4221" s="8"/>
    </row>
    <row r="4222" spans="7:12" x14ac:dyDescent="0.2">
      <c r="G4222" s="45"/>
      <c r="L4222" s="8"/>
    </row>
    <row r="4223" spans="7:12" x14ac:dyDescent="0.2">
      <c r="G4223" s="45"/>
      <c r="L4223" s="8"/>
    </row>
    <row r="4224" spans="7:12" x14ac:dyDescent="0.2">
      <c r="G4224" s="45"/>
      <c r="L4224" s="8"/>
    </row>
    <row r="4225" spans="7:12" x14ac:dyDescent="0.2">
      <c r="G4225" s="45"/>
      <c r="L4225" s="8"/>
    </row>
    <row r="4226" spans="7:12" x14ac:dyDescent="0.2">
      <c r="G4226" s="45"/>
      <c r="L4226" s="8"/>
    </row>
    <row r="4227" spans="7:12" x14ac:dyDescent="0.2">
      <c r="G4227" s="45"/>
      <c r="L4227" s="8"/>
    </row>
    <row r="4228" spans="7:12" x14ac:dyDescent="0.2">
      <c r="G4228" s="45"/>
      <c r="L4228" s="8"/>
    </row>
    <row r="4229" spans="7:12" x14ac:dyDescent="0.2">
      <c r="G4229" s="45"/>
      <c r="L4229" s="8"/>
    </row>
    <row r="4230" spans="7:12" x14ac:dyDescent="0.2">
      <c r="G4230" s="45"/>
      <c r="L4230" s="8"/>
    </row>
    <row r="4231" spans="7:12" x14ac:dyDescent="0.2">
      <c r="G4231" s="45"/>
      <c r="L4231" s="8"/>
    </row>
    <row r="4232" spans="7:12" x14ac:dyDescent="0.2">
      <c r="G4232" s="45"/>
      <c r="L4232" s="8"/>
    </row>
    <row r="4233" spans="7:12" x14ac:dyDescent="0.2">
      <c r="G4233" s="45"/>
      <c r="L4233" s="8"/>
    </row>
    <row r="4234" spans="7:12" x14ac:dyDescent="0.2">
      <c r="G4234" s="45"/>
      <c r="L4234" s="8"/>
    </row>
    <row r="4235" spans="7:12" x14ac:dyDescent="0.2">
      <c r="G4235" s="45"/>
      <c r="L4235" s="8"/>
    </row>
    <row r="4236" spans="7:12" x14ac:dyDescent="0.2">
      <c r="G4236" s="45"/>
      <c r="L4236" s="8"/>
    </row>
    <row r="4237" spans="7:12" x14ac:dyDescent="0.2">
      <c r="G4237" s="45"/>
      <c r="L4237" s="8"/>
    </row>
    <row r="4238" spans="7:12" x14ac:dyDescent="0.2">
      <c r="G4238" s="45"/>
      <c r="L4238" s="8"/>
    </row>
    <row r="4239" spans="7:12" x14ac:dyDescent="0.2">
      <c r="G4239" s="45"/>
      <c r="L4239" s="8"/>
    </row>
    <row r="4240" spans="7:12" x14ac:dyDescent="0.2">
      <c r="G4240" s="45"/>
      <c r="L4240" s="8"/>
    </row>
    <row r="4241" spans="7:12" x14ac:dyDescent="0.2">
      <c r="G4241" s="45"/>
      <c r="L4241" s="8"/>
    </row>
    <row r="4242" spans="7:12" x14ac:dyDescent="0.2">
      <c r="G4242" s="45"/>
      <c r="L4242" s="8"/>
    </row>
    <row r="4243" spans="7:12" x14ac:dyDescent="0.2">
      <c r="G4243" s="45"/>
      <c r="L4243" s="8"/>
    </row>
    <row r="4244" spans="7:12" x14ac:dyDescent="0.2">
      <c r="G4244" s="45"/>
      <c r="L4244" s="8"/>
    </row>
    <row r="4245" spans="7:12" x14ac:dyDescent="0.2">
      <c r="G4245" s="45"/>
      <c r="L4245" s="8"/>
    </row>
    <row r="4246" spans="7:12" x14ac:dyDescent="0.2">
      <c r="G4246" s="45"/>
      <c r="L4246" s="8"/>
    </row>
    <row r="4247" spans="7:12" x14ac:dyDescent="0.2">
      <c r="G4247" s="45"/>
      <c r="L4247" s="8"/>
    </row>
    <row r="4248" spans="7:12" x14ac:dyDescent="0.2">
      <c r="G4248" s="45"/>
      <c r="L4248" s="8"/>
    </row>
    <row r="4249" spans="7:12" x14ac:dyDescent="0.2">
      <c r="G4249" s="45"/>
      <c r="L4249" s="8"/>
    </row>
    <row r="4250" spans="7:12" x14ac:dyDescent="0.2">
      <c r="G4250" s="45"/>
      <c r="L4250" s="8"/>
    </row>
    <row r="4251" spans="7:12" x14ac:dyDescent="0.2">
      <c r="G4251" s="45"/>
      <c r="L4251" s="8"/>
    </row>
    <row r="4252" spans="7:12" x14ac:dyDescent="0.2">
      <c r="G4252" s="45"/>
      <c r="L4252" s="8"/>
    </row>
    <row r="4253" spans="7:12" x14ac:dyDescent="0.2">
      <c r="G4253" s="45"/>
      <c r="L4253" s="8"/>
    </row>
    <row r="4254" spans="7:12" x14ac:dyDescent="0.2">
      <c r="G4254" s="45"/>
      <c r="L4254" s="8"/>
    </row>
    <row r="4255" spans="7:12" x14ac:dyDescent="0.2">
      <c r="G4255" s="45"/>
      <c r="L4255" s="8"/>
    </row>
    <row r="4256" spans="7:12" x14ac:dyDescent="0.2">
      <c r="G4256" s="45"/>
      <c r="L4256" s="8"/>
    </row>
    <row r="4257" spans="7:12" x14ac:dyDescent="0.2">
      <c r="G4257" s="45"/>
      <c r="L4257" s="8"/>
    </row>
    <row r="4258" spans="7:12" x14ac:dyDescent="0.2">
      <c r="G4258" s="45"/>
      <c r="L4258" s="8"/>
    </row>
    <row r="4259" spans="7:12" x14ac:dyDescent="0.2">
      <c r="G4259" s="45"/>
      <c r="L4259" s="8"/>
    </row>
    <row r="4260" spans="7:12" x14ac:dyDescent="0.2">
      <c r="G4260" s="45"/>
      <c r="L4260" s="8"/>
    </row>
    <row r="4261" spans="7:12" x14ac:dyDescent="0.2">
      <c r="G4261" s="45"/>
      <c r="L4261" s="8"/>
    </row>
    <row r="4262" spans="7:12" x14ac:dyDescent="0.2">
      <c r="G4262" s="45"/>
      <c r="L4262" s="8"/>
    </row>
    <row r="4263" spans="7:12" x14ac:dyDescent="0.2">
      <c r="G4263" s="45"/>
      <c r="L4263" s="8"/>
    </row>
    <row r="4264" spans="7:12" x14ac:dyDescent="0.2">
      <c r="G4264" s="45"/>
      <c r="L4264" s="8"/>
    </row>
    <row r="4265" spans="7:12" x14ac:dyDescent="0.2">
      <c r="G4265" s="45"/>
      <c r="L4265" s="8"/>
    </row>
    <row r="4266" spans="7:12" x14ac:dyDescent="0.2">
      <c r="G4266" s="45"/>
      <c r="L4266" s="8"/>
    </row>
    <row r="4267" spans="7:12" x14ac:dyDescent="0.2">
      <c r="G4267" s="45"/>
      <c r="L4267" s="8"/>
    </row>
    <row r="4268" spans="7:12" x14ac:dyDescent="0.2">
      <c r="G4268" s="45"/>
      <c r="L4268" s="8"/>
    </row>
    <row r="4269" spans="7:12" x14ac:dyDescent="0.2">
      <c r="G4269" s="45"/>
      <c r="L4269" s="8"/>
    </row>
    <row r="4270" spans="7:12" x14ac:dyDescent="0.2">
      <c r="G4270" s="45"/>
      <c r="L4270" s="8"/>
    </row>
    <row r="4271" spans="7:12" x14ac:dyDescent="0.2">
      <c r="G4271" s="45"/>
      <c r="L4271" s="8"/>
    </row>
    <row r="4272" spans="7:12" x14ac:dyDescent="0.2">
      <c r="G4272" s="45"/>
      <c r="L4272" s="8"/>
    </row>
    <row r="4273" spans="7:12" x14ac:dyDescent="0.2">
      <c r="G4273" s="45"/>
      <c r="L4273" s="8"/>
    </row>
    <row r="4274" spans="7:12" x14ac:dyDescent="0.2">
      <c r="G4274" s="45"/>
      <c r="L4274" s="8"/>
    </row>
    <row r="4275" spans="7:12" x14ac:dyDescent="0.2">
      <c r="G4275" s="45"/>
      <c r="L4275" s="8"/>
    </row>
    <row r="4276" spans="7:12" x14ac:dyDescent="0.2">
      <c r="G4276" s="45"/>
      <c r="L4276" s="8"/>
    </row>
    <row r="4277" spans="7:12" x14ac:dyDescent="0.2">
      <c r="G4277" s="45"/>
      <c r="L4277" s="8"/>
    </row>
    <row r="4278" spans="7:12" x14ac:dyDescent="0.2">
      <c r="G4278" s="45"/>
      <c r="L4278" s="8"/>
    </row>
    <row r="4279" spans="7:12" x14ac:dyDescent="0.2">
      <c r="G4279" s="45"/>
      <c r="L4279" s="8"/>
    </row>
    <row r="4280" spans="7:12" x14ac:dyDescent="0.2">
      <c r="G4280" s="45"/>
      <c r="L4280" s="8"/>
    </row>
    <row r="4281" spans="7:12" x14ac:dyDescent="0.2">
      <c r="G4281" s="45"/>
      <c r="L4281" s="8"/>
    </row>
    <row r="4282" spans="7:12" x14ac:dyDescent="0.2">
      <c r="G4282" s="45"/>
      <c r="L4282" s="8"/>
    </row>
    <row r="4283" spans="7:12" x14ac:dyDescent="0.2">
      <c r="G4283" s="45"/>
      <c r="L4283" s="8"/>
    </row>
    <row r="4284" spans="7:12" x14ac:dyDescent="0.2">
      <c r="G4284" s="45"/>
      <c r="L4284" s="8"/>
    </row>
    <row r="4285" spans="7:12" x14ac:dyDescent="0.2">
      <c r="G4285" s="45"/>
      <c r="L4285" s="8"/>
    </row>
    <row r="4286" spans="7:12" x14ac:dyDescent="0.2">
      <c r="G4286" s="45"/>
      <c r="L4286" s="8"/>
    </row>
    <row r="4287" spans="7:12" x14ac:dyDescent="0.2">
      <c r="G4287" s="45"/>
      <c r="L4287" s="8"/>
    </row>
    <row r="4288" spans="7:12" x14ac:dyDescent="0.2">
      <c r="G4288" s="45"/>
      <c r="L4288" s="8"/>
    </row>
    <row r="4289" spans="7:12" x14ac:dyDescent="0.2">
      <c r="G4289" s="45"/>
      <c r="L4289" s="8"/>
    </row>
    <row r="4290" spans="7:12" x14ac:dyDescent="0.2">
      <c r="G4290" s="45"/>
      <c r="L4290" s="8"/>
    </row>
    <row r="4291" spans="7:12" x14ac:dyDescent="0.2">
      <c r="G4291" s="45"/>
      <c r="L4291" s="8"/>
    </row>
    <row r="4292" spans="7:12" x14ac:dyDescent="0.2">
      <c r="G4292" s="45"/>
      <c r="L4292" s="8"/>
    </row>
    <row r="4293" spans="7:12" x14ac:dyDescent="0.2">
      <c r="G4293" s="45"/>
      <c r="L4293" s="8"/>
    </row>
    <row r="4294" spans="7:12" x14ac:dyDescent="0.2">
      <c r="G4294" s="45"/>
      <c r="L4294" s="8"/>
    </row>
    <row r="4295" spans="7:12" x14ac:dyDescent="0.2">
      <c r="G4295" s="45"/>
      <c r="L4295" s="8"/>
    </row>
    <row r="4296" spans="7:12" x14ac:dyDescent="0.2">
      <c r="G4296" s="45"/>
      <c r="L4296" s="8"/>
    </row>
    <row r="4297" spans="7:12" x14ac:dyDescent="0.2">
      <c r="G4297" s="45"/>
      <c r="L4297" s="8"/>
    </row>
    <row r="4298" spans="7:12" x14ac:dyDescent="0.2">
      <c r="G4298" s="45"/>
      <c r="L4298" s="8"/>
    </row>
    <row r="4299" spans="7:12" x14ac:dyDescent="0.2">
      <c r="G4299" s="45"/>
      <c r="L4299" s="8"/>
    </row>
    <row r="4300" spans="7:12" x14ac:dyDescent="0.2">
      <c r="G4300" s="45"/>
      <c r="L4300" s="8"/>
    </row>
    <row r="4301" spans="7:12" x14ac:dyDescent="0.2">
      <c r="G4301" s="45"/>
      <c r="L4301" s="8"/>
    </row>
    <row r="4302" spans="7:12" x14ac:dyDescent="0.2">
      <c r="G4302" s="45"/>
      <c r="L4302" s="8"/>
    </row>
    <row r="4303" spans="7:12" x14ac:dyDescent="0.2">
      <c r="G4303" s="45"/>
      <c r="L4303" s="8"/>
    </row>
    <row r="4304" spans="7:12" x14ac:dyDescent="0.2">
      <c r="G4304" s="45"/>
      <c r="L4304" s="8"/>
    </row>
    <row r="4305" spans="7:12" x14ac:dyDescent="0.2">
      <c r="G4305" s="45"/>
      <c r="L4305" s="8"/>
    </row>
    <row r="4306" spans="7:12" x14ac:dyDescent="0.2">
      <c r="G4306" s="45"/>
      <c r="L4306" s="8"/>
    </row>
    <row r="4307" spans="7:12" x14ac:dyDescent="0.2">
      <c r="G4307" s="45"/>
      <c r="L4307" s="8"/>
    </row>
    <row r="4308" spans="7:12" x14ac:dyDescent="0.2">
      <c r="G4308" s="45"/>
      <c r="L4308" s="8"/>
    </row>
    <row r="4309" spans="7:12" x14ac:dyDescent="0.2">
      <c r="G4309" s="45"/>
      <c r="L4309" s="8"/>
    </row>
    <row r="4310" spans="7:12" x14ac:dyDescent="0.2">
      <c r="G4310" s="45"/>
      <c r="L4310" s="8"/>
    </row>
    <row r="4311" spans="7:12" x14ac:dyDescent="0.2">
      <c r="G4311" s="45"/>
      <c r="L4311" s="8"/>
    </row>
    <row r="4312" spans="7:12" x14ac:dyDescent="0.2">
      <c r="G4312" s="45"/>
      <c r="L4312" s="8"/>
    </row>
    <row r="4313" spans="7:12" x14ac:dyDescent="0.2">
      <c r="G4313" s="45"/>
      <c r="L4313" s="8"/>
    </row>
    <row r="4314" spans="7:12" x14ac:dyDescent="0.2">
      <c r="G4314" s="45"/>
      <c r="L4314" s="8"/>
    </row>
    <row r="4315" spans="7:12" x14ac:dyDescent="0.2">
      <c r="G4315" s="45"/>
      <c r="L4315" s="8"/>
    </row>
    <row r="4316" spans="7:12" x14ac:dyDescent="0.2">
      <c r="G4316" s="45"/>
      <c r="L4316" s="8"/>
    </row>
    <row r="4317" spans="7:12" x14ac:dyDescent="0.2">
      <c r="G4317" s="45"/>
      <c r="L4317" s="8"/>
    </row>
    <row r="4318" spans="7:12" x14ac:dyDescent="0.2">
      <c r="G4318" s="45"/>
      <c r="L4318" s="8"/>
    </row>
    <row r="4319" spans="7:12" x14ac:dyDescent="0.2">
      <c r="G4319" s="45"/>
      <c r="L4319" s="8"/>
    </row>
    <row r="4320" spans="7:12" x14ac:dyDescent="0.2">
      <c r="G4320" s="45"/>
      <c r="L4320" s="8"/>
    </row>
    <row r="4321" spans="7:12" x14ac:dyDescent="0.2">
      <c r="G4321" s="45"/>
      <c r="L4321" s="8"/>
    </row>
    <row r="4322" spans="7:12" x14ac:dyDescent="0.2">
      <c r="G4322" s="45"/>
      <c r="L4322" s="8"/>
    </row>
    <row r="4323" spans="7:12" x14ac:dyDescent="0.2">
      <c r="G4323" s="45"/>
      <c r="L4323" s="8"/>
    </row>
    <row r="4324" spans="7:12" x14ac:dyDescent="0.2">
      <c r="G4324" s="45"/>
      <c r="L4324" s="8"/>
    </row>
    <row r="4325" spans="7:12" x14ac:dyDescent="0.2">
      <c r="G4325" s="45"/>
      <c r="L4325" s="8"/>
    </row>
    <row r="4326" spans="7:12" x14ac:dyDescent="0.2">
      <c r="G4326" s="45"/>
      <c r="L4326" s="8"/>
    </row>
    <row r="4327" spans="7:12" x14ac:dyDescent="0.2">
      <c r="G4327" s="45"/>
      <c r="L4327" s="8"/>
    </row>
    <row r="4328" spans="7:12" x14ac:dyDescent="0.2">
      <c r="G4328" s="45"/>
      <c r="L4328" s="8"/>
    </row>
    <row r="4329" spans="7:12" x14ac:dyDescent="0.2">
      <c r="G4329" s="45"/>
      <c r="L4329" s="8"/>
    </row>
    <row r="4330" spans="7:12" x14ac:dyDescent="0.2">
      <c r="G4330" s="45"/>
      <c r="L4330" s="8"/>
    </row>
    <row r="4331" spans="7:12" x14ac:dyDescent="0.2">
      <c r="G4331" s="45"/>
      <c r="L4331" s="8"/>
    </row>
    <row r="4332" spans="7:12" x14ac:dyDescent="0.2">
      <c r="G4332" s="45"/>
      <c r="L4332" s="8"/>
    </row>
    <row r="4333" spans="7:12" x14ac:dyDescent="0.2">
      <c r="G4333" s="45"/>
      <c r="L4333" s="8"/>
    </row>
    <row r="4334" spans="7:12" x14ac:dyDescent="0.2">
      <c r="G4334" s="45"/>
      <c r="L4334" s="8"/>
    </row>
    <row r="4335" spans="7:12" x14ac:dyDescent="0.2">
      <c r="G4335" s="45"/>
      <c r="L4335" s="8"/>
    </row>
    <row r="4336" spans="7:12" x14ac:dyDescent="0.2">
      <c r="G4336" s="45"/>
      <c r="L4336" s="8"/>
    </row>
    <row r="4337" spans="7:12" x14ac:dyDescent="0.2">
      <c r="G4337" s="45"/>
      <c r="L4337" s="8"/>
    </row>
    <row r="4338" spans="7:12" x14ac:dyDescent="0.2">
      <c r="G4338" s="45"/>
      <c r="L4338" s="8"/>
    </row>
    <row r="4339" spans="7:12" x14ac:dyDescent="0.2">
      <c r="G4339" s="45"/>
      <c r="L4339" s="8"/>
    </row>
    <row r="4340" spans="7:12" x14ac:dyDescent="0.2">
      <c r="G4340" s="45"/>
      <c r="L4340" s="8"/>
    </row>
    <row r="4341" spans="7:12" x14ac:dyDescent="0.2">
      <c r="G4341" s="45"/>
      <c r="L4341" s="8"/>
    </row>
    <row r="4342" spans="7:12" x14ac:dyDescent="0.2">
      <c r="G4342" s="45"/>
      <c r="L4342" s="8"/>
    </row>
    <row r="4343" spans="7:12" x14ac:dyDescent="0.2">
      <c r="G4343" s="45"/>
      <c r="L4343" s="8"/>
    </row>
    <row r="4344" spans="7:12" x14ac:dyDescent="0.2">
      <c r="G4344" s="45"/>
      <c r="L4344" s="8"/>
    </row>
    <row r="4345" spans="7:12" x14ac:dyDescent="0.2">
      <c r="G4345" s="45"/>
      <c r="L4345" s="8"/>
    </row>
    <row r="4346" spans="7:12" x14ac:dyDescent="0.2">
      <c r="G4346" s="45"/>
      <c r="L4346" s="8"/>
    </row>
    <row r="4347" spans="7:12" x14ac:dyDescent="0.2">
      <c r="G4347" s="45"/>
      <c r="L4347" s="8"/>
    </row>
    <row r="4348" spans="7:12" x14ac:dyDescent="0.2">
      <c r="G4348" s="45"/>
      <c r="L4348" s="8"/>
    </row>
    <row r="4349" spans="7:12" x14ac:dyDescent="0.2">
      <c r="G4349" s="45"/>
      <c r="L4349" s="8"/>
    </row>
    <row r="4350" spans="7:12" x14ac:dyDescent="0.2">
      <c r="G4350" s="45"/>
      <c r="L4350" s="8"/>
    </row>
    <row r="4351" spans="7:12" x14ac:dyDescent="0.2">
      <c r="G4351" s="45"/>
      <c r="L4351" s="8"/>
    </row>
    <row r="4352" spans="7:12" x14ac:dyDescent="0.2">
      <c r="G4352" s="45"/>
      <c r="L4352" s="8"/>
    </row>
    <row r="4353" spans="7:12" x14ac:dyDescent="0.2">
      <c r="G4353" s="45"/>
      <c r="L4353" s="8"/>
    </row>
    <row r="4354" spans="7:12" x14ac:dyDescent="0.2">
      <c r="G4354" s="45"/>
      <c r="L4354" s="8"/>
    </row>
    <row r="4355" spans="7:12" x14ac:dyDescent="0.2">
      <c r="G4355" s="45"/>
      <c r="L4355" s="8"/>
    </row>
    <row r="4356" spans="7:12" x14ac:dyDescent="0.2">
      <c r="G4356" s="45"/>
      <c r="L4356" s="8"/>
    </row>
    <row r="4357" spans="7:12" x14ac:dyDescent="0.2">
      <c r="G4357" s="45"/>
      <c r="L4357" s="8"/>
    </row>
    <row r="4358" spans="7:12" x14ac:dyDescent="0.2">
      <c r="G4358" s="45"/>
      <c r="L4358" s="8"/>
    </row>
    <row r="4359" spans="7:12" x14ac:dyDescent="0.2">
      <c r="G4359" s="45"/>
      <c r="L4359" s="8"/>
    </row>
    <row r="4360" spans="7:12" x14ac:dyDescent="0.2">
      <c r="G4360" s="45"/>
      <c r="L4360" s="8"/>
    </row>
    <row r="4361" spans="7:12" x14ac:dyDescent="0.2">
      <c r="G4361" s="45"/>
      <c r="L4361" s="8"/>
    </row>
    <row r="4362" spans="7:12" x14ac:dyDescent="0.2">
      <c r="G4362" s="45"/>
      <c r="L4362" s="8"/>
    </row>
    <row r="4363" spans="7:12" x14ac:dyDescent="0.2">
      <c r="G4363" s="45"/>
      <c r="L4363" s="8"/>
    </row>
    <row r="4364" spans="7:12" x14ac:dyDescent="0.2">
      <c r="G4364" s="45"/>
      <c r="L4364" s="8"/>
    </row>
    <row r="4365" spans="7:12" x14ac:dyDescent="0.2">
      <c r="G4365" s="45"/>
      <c r="L4365" s="8"/>
    </row>
    <row r="4366" spans="7:12" x14ac:dyDescent="0.2">
      <c r="G4366" s="45"/>
      <c r="L4366" s="8"/>
    </row>
    <row r="4367" spans="7:12" x14ac:dyDescent="0.2">
      <c r="G4367" s="45"/>
      <c r="L4367" s="8"/>
    </row>
    <row r="4368" spans="7:12" x14ac:dyDescent="0.2">
      <c r="G4368" s="45"/>
      <c r="L4368" s="8"/>
    </row>
    <row r="4369" spans="7:12" x14ac:dyDescent="0.2">
      <c r="G4369" s="45"/>
      <c r="L4369" s="8"/>
    </row>
    <row r="4370" spans="7:12" x14ac:dyDescent="0.2">
      <c r="G4370" s="45"/>
      <c r="L4370" s="8"/>
    </row>
    <row r="4371" spans="7:12" x14ac:dyDescent="0.2">
      <c r="G4371" s="45"/>
      <c r="L4371" s="8"/>
    </row>
    <row r="4372" spans="7:12" x14ac:dyDescent="0.2">
      <c r="G4372" s="45"/>
      <c r="L4372" s="8"/>
    </row>
    <row r="4373" spans="7:12" x14ac:dyDescent="0.2">
      <c r="G4373" s="45"/>
      <c r="L4373" s="8"/>
    </row>
    <row r="4374" spans="7:12" x14ac:dyDescent="0.2">
      <c r="G4374" s="45"/>
      <c r="L4374" s="8"/>
    </row>
    <row r="4375" spans="7:12" x14ac:dyDescent="0.2">
      <c r="G4375" s="45"/>
      <c r="L4375" s="8"/>
    </row>
    <row r="4376" spans="7:12" x14ac:dyDescent="0.2">
      <c r="G4376" s="45"/>
      <c r="L4376" s="8"/>
    </row>
    <row r="4377" spans="7:12" x14ac:dyDescent="0.2">
      <c r="G4377" s="45"/>
      <c r="L4377" s="8"/>
    </row>
    <row r="4378" spans="7:12" x14ac:dyDescent="0.2">
      <c r="G4378" s="45"/>
      <c r="L4378" s="8"/>
    </row>
    <row r="4379" spans="7:12" x14ac:dyDescent="0.2">
      <c r="G4379" s="45"/>
      <c r="L4379" s="8"/>
    </row>
    <row r="4380" spans="7:12" x14ac:dyDescent="0.2">
      <c r="G4380" s="45"/>
      <c r="L4380" s="8"/>
    </row>
    <row r="4381" spans="7:12" x14ac:dyDescent="0.2">
      <c r="G4381" s="45"/>
      <c r="L4381" s="8"/>
    </row>
    <row r="4382" spans="7:12" x14ac:dyDescent="0.2">
      <c r="G4382" s="45"/>
      <c r="L4382" s="8"/>
    </row>
    <row r="4383" spans="7:12" x14ac:dyDescent="0.2">
      <c r="G4383" s="45"/>
      <c r="L4383" s="8"/>
    </row>
    <row r="4384" spans="7:12" x14ac:dyDescent="0.2">
      <c r="G4384" s="45"/>
      <c r="L4384" s="8"/>
    </row>
    <row r="4385" spans="7:12" x14ac:dyDescent="0.2">
      <c r="G4385" s="45"/>
      <c r="L4385" s="8"/>
    </row>
    <row r="4386" spans="7:12" x14ac:dyDescent="0.2">
      <c r="G4386" s="45"/>
      <c r="L4386" s="8"/>
    </row>
    <row r="4387" spans="7:12" x14ac:dyDescent="0.2">
      <c r="G4387" s="45"/>
      <c r="L4387" s="8"/>
    </row>
    <row r="4388" spans="7:12" x14ac:dyDescent="0.2">
      <c r="G4388" s="45"/>
      <c r="L4388" s="8"/>
    </row>
    <row r="4389" spans="7:12" x14ac:dyDescent="0.2">
      <c r="G4389" s="45"/>
      <c r="L4389" s="8"/>
    </row>
    <row r="4390" spans="7:12" x14ac:dyDescent="0.2">
      <c r="G4390" s="45"/>
      <c r="L4390" s="8"/>
    </row>
    <row r="4391" spans="7:12" x14ac:dyDescent="0.2">
      <c r="G4391" s="45"/>
      <c r="L4391" s="8"/>
    </row>
    <row r="4392" spans="7:12" x14ac:dyDescent="0.2">
      <c r="G4392" s="45"/>
      <c r="L4392" s="8"/>
    </row>
    <row r="4393" spans="7:12" x14ac:dyDescent="0.2">
      <c r="G4393" s="45"/>
      <c r="L4393" s="8"/>
    </row>
    <row r="4394" spans="7:12" x14ac:dyDescent="0.2">
      <c r="G4394" s="45"/>
      <c r="L4394" s="8"/>
    </row>
    <row r="4395" spans="7:12" x14ac:dyDescent="0.2">
      <c r="G4395" s="45"/>
      <c r="L4395" s="8"/>
    </row>
    <row r="4396" spans="7:12" x14ac:dyDescent="0.2">
      <c r="G4396" s="45"/>
      <c r="L4396" s="8"/>
    </row>
    <row r="4397" spans="7:12" x14ac:dyDescent="0.2">
      <c r="G4397" s="45"/>
      <c r="L4397" s="8"/>
    </row>
    <row r="4398" spans="7:12" x14ac:dyDescent="0.2">
      <c r="G4398" s="45"/>
      <c r="L4398" s="8"/>
    </row>
    <row r="4399" spans="7:12" x14ac:dyDescent="0.2">
      <c r="G4399" s="45"/>
      <c r="L4399" s="8"/>
    </row>
    <row r="4400" spans="7:12" x14ac:dyDescent="0.2">
      <c r="G4400" s="45"/>
      <c r="L4400" s="8"/>
    </row>
    <row r="4401" spans="7:12" x14ac:dyDescent="0.2">
      <c r="G4401" s="45"/>
      <c r="L4401" s="8"/>
    </row>
    <row r="4402" spans="7:12" x14ac:dyDescent="0.2">
      <c r="G4402" s="45"/>
      <c r="L4402" s="8"/>
    </row>
    <row r="4403" spans="7:12" x14ac:dyDescent="0.2">
      <c r="G4403" s="45"/>
      <c r="L4403" s="8"/>
    </row>
    <row r="4404" spans="7:12" x14ac:dyDescent="0.2">
      <c r="G4404" s="45"/>
      <c r="L4404" s="8"/>
    </row>
    <row r="4405" spans="7:12" x14ac:dyDescent="0.2">
      <c r="G4405" s="45"/>
      <c r="L4405" s="8"/>
    </row>
    <row r="4406" spans="7:12" x14ac:dyDescent="0.2">
      <c r="G4406" s="45"/>
      <c r="L4406" s="8"/>
    </row>
    <row r="4407" spans="7:12" x14ac:dyDescent="0.2">
      <c r="G4407" s="45"/>
      <c r="L4407" s="8"/>
    </row>
    <row r="4408" spans="7:12" x14ac:dyDescent="0.2">
      <c r="G4408" s="45"/>
      <c r="L4408" s="8"/>
    </row>
    <row r="4409" spans="7:12" x14ac:dyDescent="0.2">
      <c r="G4409" s="45"/>
      <c r="L4409" s="8"/>
    </row>
    <row r="4410" spans="7:12" x14ac:dyDescent="0.2">
      <c r="G4410" s="45"/>
      <c r="L4410" s="8"/>
    </row>
    <row r="4411" spans="7:12" x14ac:dyDescent="0.2">
      <c r="G4411" s="45"/>
      <c r="L4411" s="8"/>
    </row>
    <row r="4412" spans="7:12" x14ac:dyDescent="0.2">
      <c r="G4412" s="45"/>
      <c r="L4412" s="8"/>
    </row>
    <row r="4413" spans="7:12" x14ac:dyDescent="0.2">
      <c r="G4413" s="45"/>
      <c r="L4413" s="8"/>
    </row>
    <row r="4414" spans="7:12" x14ac:dyDescent="0.2">
      <c r="G4414" s="45"/>
      <c r="L4414" s="8"/>
    </row>
    <row r="4415" spans="7:12" x14ac:dyDescent="0.2">
      <c r="G4415" s="45"/>
      <c r="L4415" s="8"/>
    </row>
    <row r="4416" spans="7:12" x14ac:dyDescent="0.2">
      <c r="G4416" s="45"/>
      <c r="L4416" s="8"/>
    </row>
    <row r="4417" spans="7:12" x14ac:dyDescent="0.2">
      <c r="G4417" s="45"/>
      <c r="L4417" s="8"/>
    </row>
    <row r="4418" spans="7:12" x14ac:dyDescent="0.2">
      <c r="G4418" s="45"/>
      <c r="L4418" s="8"/>
    </row>
    <row r="4419" spans="7:12" x14ac:dyDescent="0.2">
      <c r="G4419" s="45"/>
      <c r="L4419" s="8"/>
    </row>
    <row r="4420" spans="7:12" x14ac:dyDescent="0.2">
      <c r="G4420" s="45"/>
      <c r="L4420" s="8"/>
    </row>
    <row r="4421" spans="7:12" x14ac:dyDescent="0.2">
      <c r="G4421" s="45"/>
      <c r="L4421" s="8"/>
    </row>
    <row r="4422" spans="7:12" x14ac:dyDescent="0.2">
      <c r="G4422" s="45"/>
      <c r="L4422" s="8"/>
    </row>
    <row r="4423" spans="7:12" x14ac:dyDescent="0.2">
      <c r="G4423" s="45"/>
      <c r="L4423" s="8"/>
    </row>
    <row r="4424" spans="7:12" x14ac:dyDescent="0.2">
      <c r="G4424" s="45"/>
      <c r="L4424" s="8"/>
    </row>
    <row r="4425" spans="7:12" x14ac:dyDescent="0.2">
      <c r="G4425" s="45"/>
      <c r="L4425" s="8"/>
    </row>
    <row r="4426" spans="7:12" x14ac:dyDescent="0.2">
      <c r="G4426" s="45"/>
      <c r="L4426" s="8"/>
    </row>
    <row r="4427" spans="7:12" x14ac:dyDescent="0.2">
      <c r="G4427" s="45"/>
      <c r="L4427" s="8"/>
    </row>
    <row r="4428" spans="7:12" x14ac:dyDescent="0.2">
      <c r="G4428" s="45"/>
      <c r="L4428" s="8"/>
    </row>
    <row r="4429" spans="7:12" x14ac:dyDescent="0.2">
      <c r="G4429" s="45"/>
      <c r="L4429" s="8"/>
    </row>
    <row r="4430" spans="7:12" x14ac:dyDescent="0.2">
      <c r="G4430" s="45"/>
      <c r="L4430" s="8"/>
    </row>
    <row r="4431" spans="7:12" x14ac:dyDescent="0.2">
      <c r="G4431" s="45"/>
      <c r="L4431" s="8"/>
    </row>
    <row r="4432" spans="7:12" x14ac:dyDescent="0.2">
      <c r="G4432" s="45"/>
      <c r="L4432" s="8"/>
    </row>
    <row r="4433" spans="7:12" x14ac:dyDescent="0.2">
      <c r="G4433" s="45"/>
      <c r="L4433" s="8"/>
    </row>
    <row r="4434" spans="7:12" x14ac:dyDescent="0.2">
      <c r="G4434" s="45"/>
      <c r="L4434" s="8"/>
    </row>
    <row r="4435" spans="7:12" x14ac:dyDescent="0.2">
      <c r="G4435" s="45"/>
      <c r="L4435" s="8"/>
    </row>
    <row r="4436" spans="7:12" x14ac:dyDescent="0.2">
      <c r="G4436" s="45"/>
      <c r="L4436" s="8"/>
    </row>
    <row r="4437" spans="7:12" x14ac:dyDescent="0.2">
      <c r="G4437" s="45"/>
      <c r="L4437" s="8"/>
    </row>
    <row r="4438" spans="7:12" x14ac:dyDescent="0.2">
      <c r="G4438" s="45"/>
      <c r="L4438" s="8"/>
    </row>
    <row r="4439" spans="7:12" x14ac:dyDescent="0.2">
      <c r="G4439" s="45"/>
      <c r="L4439" s="8"/>
    </row>
    <row r="4440" spans="7:12" x14ac:dyDescent="0.2">
      <c r="G4440" s="45"/>
      <c r="L4440" s="8"/>
    </row>
    <row r="4441" spans="7:12" x14ac:dyDescent="0.2">
      <c r="G4441" s="45"/>
      <c r="L4441" s="8"/>
    </row>
    <row r="4442" spans="7:12" x14ac:dyDescent="0.2">
      <c r="G4442" s="45"/>
      <c r="L4442" s="8"/>
    </row>
    <row r="4443" spans="7:12" x14ac:dyDescent="0.2">
      <c r="G4443" s="45"/>
      <c r="L4443" s="8"/>
    </row>
    <row r="4444" spans="7:12" x14ac:dyDescent="0.2">
      <c r="G4444" s="45"/>
      <c r="L4444" s="8"/>
    </row>
    <row r="4445" spans="7:12" x14ac:dyDescent="0.2">
      <c r="G4445" s="45"/>
      <c r="L4445" s="8"/>
    </row>
    <row r="4446" spans="7:12" x14ac:dyDescent="0.2">
      <c r="G4446" s="45"/>
      <c r="L4446" s="8"/>
    </row>
    <row r="4447" spans="7:12" x14ac:dyDescent="0.2">
      <c r="G4447" s="45"/>
      <c r="L4447" s="8"/>
    </row>
    <row r="4448" spans="7:12" x14ac:dyDescent="0.2">
      <c r="G4448" s="45"/>
      <c r="L4448" s="8"/>
    </row>
    <row r="4449" spans="7:12" x14ac:dyDescent="0.2">
      <c r="G4449" s="45"/>
      <c r="L4449" s="8"/>
    </row>
    <row r="4450" spans="7:12" x14ac:dyDescent="0.2">
      <c r="G4450" s="45"/>
      <c r="L4450" s="8"/>
    </row>
    <row r="4451" spans="7:12" x14ac:dyDescent="0.2">
      <c r="G4451" s="45"/>
      <c r="L4451" s="8"/>
    </row>
    <row r="4452" spans="7:12" x14ac:dyDescent="0.2">
      <c r="G4452" s="45"/>
      <c r="L4452" s="8"/>
    </row>
    <row r="4453" spans="7:12" x14ac:dyDescent="0.2">
      <c r="G4453" s="45"/>
      <c r="L4453" s="8"/>
    </row>
    <row r="4454" spans="7:12" x14ac:dyDescent="0.2">
      <c r="G4454" s="45"/>
      <c r="L4454" s="8"/>
    </row>
    <row r="4455" spans="7:12" x14ac:dyDescent="0.2">
      <c r="G4455" s="45"/>
      <c r="L4455" s="8"/>
    </row>
    <row r="4456" spans="7:12" x14ac:dyDescent="0.2">
      <c r="G4456" s="45"/>
      <c r="L4456" s="8"/>
    </row>
    <row r="4457" spans="7:12" x14ac:dyDescent="0.2">
      <c r="G4457" s="45"/>
      <c r="L4457" s="8"/>
    </row>
    <row r="4458" spans="7:12" x14ac:dyDescent="0.2">
      <c r="G4458" s="45"/>
      <c r="L4458" s="8"/>
    </row>
    <row r="4459" spans="7:12" x14ac:dyDescent="0.2">
      <c r="G4459" s="45"/>
      <c r="L4459" s="8"/>
    </row>
    <row r="4460" spans="7:12" x14ac:dyDescent="0.2">
      <c r="G4460" s="45"/>
      <c r="L4460" s="8"/>
    </row>
    <row r="4461" spans="7:12" x14ac:dyDescent="0.2">
      <c r="G4461" s="45"/>
      <c r="L4461" s="8"/>
    </row>
    <row r="4462" spans="7:12" x14ac:dyDescent="0.2">
      <c r="G4462" s="45"/>
      <c r="L4462" s="8"/>
    </row>
    <row r="4463" spans="7:12" x14ac:dyDescent="0.2">
      <c r="G4463" s="45"/>
      <c r="L4463" s="8"/>
    </row>
    <row r="4464" spans="7:12" x14ac:dyDescent="0.2">
      <c r="G4464" s="45"/>
      <c r="L4464" s="8"/>
    </row>
    <row r="4465" spans="7:12" x14ac:dyDescent="0.2">
      <c r="G4465" s="45"/>
      <c r="L4465" s="8"/>
    </row>
    <row r="4466" spans="7:12" x14ac:dyDescent="0.2">
      <c r="G4466" s="45"/>
      <c r="L4466" s="8"/>
    </row>
    <row r="4467" spans="7:12" x14ac:dyDescent="0.2">
      <c r="G4467" s="45"/>
      <c r="L4467" s="8"/>
    </row>
    <row r="4468" spans="7:12" x14ac:dyDescent="0.2">
      <c r="G4468" s="45"/>
      <c r="L4468" s="8"/>
    </row>
    <row r="4469" spans="7:12" x14ac:dyDescent="0.2">
      <c r="G4469" s="45"/>
      <c r="L4469" s="8"/>
    </row>
    <row r="4470" spans="7:12" x14ac:dyDescent="0.2">
      <c r="G4470" s="45"/>
      <c r="L4470" s="8"/>
    </row>
    <row r="4471" spans="7:12" x14ac:dyDescent="0.2">
      <c r="G4471" s="45"/>
      <c r="L4471" s="8"/>
    </row>
    <row r="4472" spans="7:12" x14ac:dyDescent="0.2">
      <c r="G4472" s="45"/>
      <c r="L4472" s="8"/>
    </row>
    <row r="4473" spans="7:12" x14ac:dyDescent="0.2">
      <c r="G4473" s="45"/>
      <c r="L4473" s="8"/>
    </row>
    <row r="4474" spans="7:12" x14ac:dyDescent="0.2">
      <c r="G4474" s="45"/>
      <c r="L4474" s="8"/>
    </row>
    <row r="4475" spans="7:12" x14ac:dyDescent="0.2">
      <c r="G4475" s="45"/>
      <c r="L4475" s="8"/>
    </row>
    <row r="4476" spans="7:12" x14ac:dyDescent="0.2">
      <c r="G4476" s="45"/>
      <c r="L4476" s="8"/>
    </row>
    <row r="4477" spans="7:12" x14ac:dyDescent="0.2">
      <c r="G4477" s="45"/>
      <c r="L4477" s="8"/>
    </row>
    <row r="4478" spans="7:12" x14ac:dyDescent="0.2">
      <c r="G4478" s="45"/>
      <c r="L4478" s="8"/>
    </row>
    <row r="4479" spans="7:12" x14ac:dyDescent="0.2">
      <c r="G4479" s="45"/>
      <c r="L4479" s="8"/>
    </row>
    <row r="4480" spans="7:12" x14ac:dyDescent="0.2">
      <c r="G4480" s="45"/>
      <c r="L4480" s="8"/>
    </row>
    <row r="4481" spans="7:12" x14ac:dyDescent="0.2">
      <c r="G4481" s="45"/>
      <c r="L4481" s="8"/>
    </row>
    <row r="4482" spans="7:12" x14ac:dyDescent="0.2">
      <c r="G4482" s="45"/>
      <c r="L4482" s="8"/>
    </row>
    <row r="4483" spans="7:12" x14ac:dyDescent="0.2">
      <c r="G4483" s="45"/>
      <c r="L4483" s="8"/>
    </row>
    <row r="4484" spans="7:12" x14ac:dyDescent="0.2">
      <c r="G4484" s="45"/>
      <c r="L4484" s="8"/>
    </row>
    <row r="4485" spans="7:12" x14ac:dyDescent="0.2">
      <c r="G4485" s="45"/>
      <c r="L4485" s="8"/>
    </row>
    <row r="4486" spans="7:12" x14ac:dyDescent="0.2">
      <c r="G4486" s="45"/>
      <c r="L4486" s="8"/>
    </row>
    <row r="4487" spans="7:12" x14ac:dyDescent="0.2">
      <c r="G4487" s="45"/>
      <c r="L4487" s="8"/>
    </row>
    <row r="4488" spans="7:12" x14ac:dyDescent="0.2">
      <c r="G4488" s="45"/>
      <c r="L4488" s="8"/>
    </row>
    <row r="4489" spans="7:12" x14ac:dyDescent="0.2">
      <c r="G4489" s="45"/>
      <c r="L4489" s="8"/>
    </row>
    <row r="4490" spans="7:12" x14ac:dyDescent="0.2">
      <c r="G4490" s="45"/>
      <c r="L4490" s="8"/>
    </row>
    <row r="4491" spans="7:12" x14ac:dyDescent="0.2">
      <c r="G4491" s="45"/>
      <c r="L4491" s="8"/>
    </row>
    <row r="4492" spans="7:12" x14ac:dyDescent="0.2">
      <c r="G4492" s="45"/>
      <c r="L4492" s="8"/>
    </row>
    <row r="4493" spans="7:12" x14ac:dyDescent="0.2">
      <c r="G4493" s="45"/>
      <c r="L4493" s="8"/>
    </row>
    <row r="4494" spans="7:12" x14ac:dyDescent="0.2">
      <c r="G4494" s="45"/>
      <c r="L4494" s="8"/>
    </row>
    <row r="4495" spans="7:12" x14ac:dyDescent="0.2">
      <c r="G4495" s="45"/>
      <c r="L4495" s="8"/>
    </row>
    <row r="4496" spans="7:12" x14ac:dyDescent="0.2">
      <c r="G4496" s="45"/>
      <c r="L4496" s="8"/>
    </row>
    <row r="4497" spans="7:12" x14ac:dyDescent="0.2">
      <c r="G4497" s="45"/>
      <c r="L4497" s="8"/>
    </row>
    <row r="4498" spans="7:12" x14ac:dyDescent="0.2">
      <c r="G4498" s="45"/>
      <c r="L4498" s="8"/>
    </row>
    <row r="4499" spans="7:12" x14ac:dyDescent="0.2">
      <c r="G4499" s="45"/>
      <c r="L4499" s="8"/>
    </row>
    <row r="4500" spans="7:12" x14ac:dyDescent="0.2">
      <c r="G4500" s="45"/>
      <c r="L4500" s="8"/>
    </row>
    <row r="4501" spans="7:12" x14ac:dyDescent="0.2">
      <c r="G4501" s="45"/>
      <c r="L4501" s="8"/>
    </row>
    <row r="4502" spans="7:12" x14ac:dyDescent="0.2">
      <c r="G4502" s="45"/>
      <c r="L4502" s="8"/>
    </row>
    <row r="4503" spans="7:12" x14ac:dyDescent="0.2">
      <c r="G4503" s="45"/>
      <c r="L4503" s="8"/>
    </row>
    <row r="4504" spans="7:12" x14ac:dyDescent="0.2">
      <c r="G4504" s="45"/>
      <c r="L4504" s="8"/>
    </row>
    <row r="4505" spans="7:12" x14ac:dyDescent="0.2">
      <c r="G4505" s="45"/>
      <c r="L4505" s="8"/>
    </row>
    <row r="4506" spans="7:12" x14ac:dyDescent="0.2">
      <c r="G4506" s="45"/>
      <c r="L4506" s="8"/>
    </row>
    <row r="4507" spans="7:12" x14ac:dyDescent="0.2">
      <c r="G4507" s="45"/>
      <c r="L4507" s="8"/>
    </row>
    <row r="4508" spans="7:12" x14ac:dyDescent="0.2">
      <c r="G4508" s="45"/>
      <c r="L4508" s="8"/>
    </row>
    <row r="4509" spans="7:12" x14ac:dyDescent="0.2">
      <c r="G4509" s="45"/>
      <c r="L4509" s="8"/>
    </row>
    <row r="4510" spans="7:12" x14ac:dyDescent="0.2">
      <c r="G4510" s="45"/>
      <c r="L4510" s="8"/>
    </row>
    <row r="4511" spans="7:12" x14ac:dyDescent="0.2">
      <c r="G4511" s="45"/>
      <c r="L4511" s="8"/>
    </row>
    <row r="4512" spans="7:12" x14ac:dyDescent="0.2">
      <c r="G4512" s="45"/>
      <c r="L4512" s="8"/>
    </row>
    <row r="4513" spans="7:12" x14ac:dyDescent="0.2">
      <c r="G4513" s="45"/>
      <c r="L4513" s="8"/>
    </row>
    <row r="4514" spans="7:12" x14ac:dyDescent="0.2">
      <c r="G4514" s="45"/>
      <c r="L4514" s="8"/>
    </row>
    <row r="4515" spans="7:12" x14ac:dyDescent="0.2">
      <c r="G4515" s="45"/>
      <c r="L4515" s="8"/>
    </row>
    <row r="4516" spans="7:12" x14ac:dyDescent="0.2">
      <c r="G4516" s="45"/>
      <c r="L4516" s="8"/>
    </row>
    <row r="4517" spans="7:12" x14ac:dyDescent="0.2">
      <c r="G4517" s="45"/>
      <c r="L4517" s="8"/>
    </row>
    <row r="4518" spans="7:12" x14ac:dyDescent="0.2">
      <c r="G4518" s="45"/>
      <c r="L4518" s="8"/>
    </row>
    <row r="4519" spans="7:12" x14ac:dyDescent="0.2">
      <c r="G4519" s="45"/>
      <c r="L4519" s="8"/>
    </row>
    <row r="4520" spans="7:12" x14ac:dyDescent="0.2">
      <c r="G4520" s="45"/>
      <c r="L4520" s="8"/>
    </row>
    <row r="4521" spans="7:12" x14ac:dyDescent="0.2">
      <c r="G4521" s="45"/>
      <c r="L4521" s="8"/>
    </row>
    <row r="4522" spans="7:12" x14ac:dyDescent="0.2">
      <c r="G4522" s="45"/>
      <c r="L4522" s="8"/>
    </row>
    <row r="4523" spans="7:12" x14ac:dyDescent="0.2">
      <c r="G4523" s="45"/>
      <c r="L4523" s="8"/>
    </row>
    <row r="4524" spans="7:12" x14ac:dyDescent="0.2">
      <c r="G4524" s="45"/>
      <c r="L4524" s="8"/>
    </row>
    <row r="4525" spans="7:12" x14ac:dyDescent="0.2">
      <c r="G4525" s="45"/>
      <c r="L4525" s="8"/>
    </row>
    <row r="4526" spans="7:12" x14ac:dyDescent="0.2">
      <c r="G4526" s="45"/>
      <c r="L4526" s="8"/>
    </row>
    <row r="4527" spans="7:12" x14ac:dyDescent="0.2">
      <c r="G4527" s="45"/>
      <c r="L4527" s="8"/>
    </row>
    <row r="4528" spans="7:12" x14ac:dyDescent="0.2">
      <c r="G4528" s="45"/>
      <c r="L4528" s="8"/>
    </row>
    <row r="4529" spans="7:12" x14ac:dyDescent="0.2">
      <c r="G4529" s="45"/>
      <c r="L4529" s="8"/>
    </row>
    <row r="4530" spans="7:12" x14ac:dyDescent="0.2">
      <c r="G4530" s="45"/>
      <c r="L4530" s="8"/>
    </row>
    <row r="4531" spans="7:12" x14ac:dyDescent="0.2">
      <c r="G4531" s="45"/>
      <c r="L4531" s="8"/>
    </row>
    <row r="4532" spans="7:12" x14ac:dyDescent="0.2">
      <c r="G4532" s="45"/>
      <c r="L4532" s="8"/>
    </row>
    <row r="4533" spans="7:12" x14ac:dyDescent="0.2">
      <c r="G4533" s="45"/>
      <c r="L4533" s="8"/>
    </row>
    <row r="4534" spans="7:12" x14ac:dyDescent="0.2">
      <c r="G4534" s="45"/>
      <c r="L4534" s="8"/>
    </row>
    <row r="4535" spans="7:12" x14ac:dyDescent="0.2">
      <c r="G4535" s="45"/>
      <c r="L4535" s="8"/>
    </row>
    <row r="4536" spans="7:12" x14ac:dyDescent="0.2">
      <c r="G4536" s="45"/>
      <c r="L4536" s="8"/>
    </row>
    <row r="4537" spans="7:12" x14ac:dyDescent="0.2">
      <c r="G4537" s="45"/>
      <c r="L4537" s="8"/>
    </row>
    <row r="4538" spans="7:12" x14ac:dyDescent="0.2">
      <c r="G4538" s="45"/>
      <c r="L4538" s="8"/>
    </row>
    <row r="4539" spans="7:12" x14ac:dyDescent="0.2">
      <c r="G4539" s="45"/>
      <c r="L4539" s="8"/>
    </row>
    <row r="4540" spans="7:12" x14ac:dyDescent="0.2">
      <c r="G4540" s="45"/>
      <c r="L4540" s="8"/>
    </row>
    <row r="4541" spans="7:12" x14ac:dyDescent="0.2">
      <c r="G4541" s="45"/>
      <c r="L4541" s="8"/>
    </row>
    <row r="4542" spans="7:12" x14ac:dyDescent="0.2">
      <c r="G4542" s="45"/>
      <c r="L4542" s="8"/>
    </row>
    <row r="4543" spans="7:12" x14ac:dyDescent="0.2">
      <c r="G4543" s="45"/>
      <c r="L4543" s="8"/>
    </row>
    <row r="4544" spans="7:12" x14ac:dyDescent="0.2">
      <c r="G4544" s="45"/>
      <c r="L4544" s="8"/>
    </row>
    <row r="4545" spans="7:12" x14ac:dyDescent="0.2">
      <c r="G4545" s="45"/>
      <c r="L4545" s="8"/>
    </row>
    <row r="4546" spans="7:12" x14ac:dyDescent="0.2">
      <c r="G4546" s="45"/>
      <c r="L4546" s="8"/>
    </row>
    <row r="4547" spans="7:12" x14ac:dyDescent="0.2">
      <c r="G4547" s="45"/>
      <c r="L4547" s="8"/>
    </row>
    <row r="4548" spans="7:12" x14ac:dyDescent="0.2">
      <c r="G4548" s="45"/>
      <c r="L4548" s="8"/>
    </row>
    <row r="4549" spans="7:12" x14ac:dyDescent="0.2">
      <c r="G4549" s="45"/>
      <c r="L4549" s="8"/>
    </row>
    <row r="4550" spans="7:12" x14ac:dyDescent="0.2">
      <c r="G4550" s="45"/>
      <c r="L4550" s="8"/>
    </row>
    <row r="4551" spans="7:12" x14ac:dyDescent="0.2">
      <c r="G4551" s="45"/>
      <c r="L4551" s="8"/>
    </row>
    <row r="4552" spans="7:12" x14ac:dyDescent="0.2">
      <c r="G4552" s="45"/>
      <c r="L4552" s="8"/>
    </row>
    <row r="4553" spans="7:12" x14ac:dyDescent="0.2">
      <c r="G4553" s="45"/>
      <c r="L4553" s="8"/>
    </row>
    <row r="4554" spans="7:12" x14ac:dyDescent="0.2">
      <c r="G4554" s="45"/>
      <c r="L4554" s="8"/>
    </row>
    <row r="4555" spans="7:12" x14ac:dyDescent="0.2">
      <c r="G4555" s="45"/>
      <c r="L4555" s="8"/>
    </row>
    <row r="4556" spans="7:12" x14ac:dyDescent="0.2">
      <c r="G4556" s="45"/>
      <c r="L4556" s="8"/>
    </row>
    <row r="4557" spans="7:12" x14ac:dyDescent="0.2">
      <c r="G4557" s="45"/>
      <c r="L4557" s="8"/>
    </row>
    <row r="4558" spans="7:12" x14ac:dyDescent="0.2">
      <c r="G4558" s="45"/>
      <c r="L4558" s="8"/>
    </row>
    <row r="4559" spans="7:12" x14ac:dyDescent="0.2">
      <c r="G4559" s="45"/>
      <c r="L4559" s="8"/>
    </row>
    <row r="4560" spans="7:12" x14ac:dyDescent="0.2">
      <c r="G4560" s="45"/>
      <c r="L4560" s="8"/>
    </row>
    <row r="4561" spans="7:12" x14ac:dyDescent="0.2">
      <c r="G4561" s="45"/>
      <c r="L4561" s="8"/>
    </row>
    <row r="4562" spans="7:12" x14ac:dyDescent="0.2">
      <c r="G4562" s="45"/>
      <c r="L4562" s="8"/>
    </row>
    <row r="4563" spans="7:12" x14ac:dyDescent="0.2">
      <c r="G4563" s="45"/>
      <c r="L4563" s="8"/>
    </row>
    <row r="4564" spans="7:12" x14ac:dyDescent="0.2">
      <c r="G4564" s="45"/>
      <c r="L4564" s="8"/>
    </row>
    <row r="4565" spans="7:12" x14ac:dyDescent="0.2">
      <c r="G4565" s="45"/>
      <c r="L4565" s="8"/>
    </row>
    <row r="4566" spans="7:12" x14ac:dyDescent="0.2">
      <c r="G4566" s="45"/>
      <c r="L4566" s="8"/>
    </row>
    <row r="4567" spans="7:12" x14ac:dyDescent="0.2">
      <c r="G4567" s="45"/>
      <c r="L4567" s="8"/>
    </row>
    <row r="4568" spans="7:12" x14ac:dyDescent="0.2">
      <c r="G4568" s="45"/>
      <c r="L4568" s="8"/>
    </row>
    <row r="4569" spans="7:12" x14ac:dyDescent="0.2">
      <c r="G4569" s="45"/>
      <c r="L4569" s="8"/>
    </row>
    <row r="4570" spans="7:12" x14ac:dyDescent="0.2">
      <c r="G4570" s="45"/>
      <c r="L4570" s="8"/>
    </row>
    <row r="4571" spans="7:12" x14ac:dyDescent="0.2">
      <c r="G4571" s="45"/>
      <c r="L4571" s="8"/>
    </row>
    <row r="4572" spans="7:12" x14ac:dyDescent="0.2">
      <c r="G4572" s="45"/>
      <c r="L4572" s="8"/>
    </row>
    <row r="4573" spans="7:12" x14ac:dyDescent="0.2">
      <c r="G4573" s="45"/>
      <c r="L4573" s="8"/>
    </row>
    <row r="4574" spans="7:12" x14ac:dyDescent="0.2">
      <c r="G4574" s="45"/>
      <c r="L4574" s="8"/>
    </row>
    <row r="4575" spans="7:12" x14ac:dyDescent="0.2">
      <c r="G4575" s="45"/>
      <c r="L4575" s="8"/>
    </row>
    <row r="4576" spans="7:12" x14ac:dyDescent="0.2">
      <c r="G4576" s="45"/>
      <c r="L4576" s="8"/>
    </row>
    <row r="4577" spans="7:12" x14ac:dyDescent="0.2">
      <c r="G4577" s="45"/>
      <c r="L4577" s="8"/>
    </row>
    <row r="4578" spans="7:12" x14ac:dyDescent="0.2">
      <c r="G4578" s="45"/>
      <c r="L4578" s="8"/>
    </row>
    <row r="4579" spans="7:12" x14ac:dyDescent="0.2">
      <c r="G4579" s="45"/>
      <c r="L4579" s="8"/>
    </row>
    <row r="4580" spans="7:12" x14ac:dyDescent="0.2">
      <c r="G4580" s="45"/>
      <c r="L4580" s="8"/>
    </row>
    <row r="4581" spans="7:12" x14ac:dyDescent="0.2">
      <c r="G4581" s="45"/>
      <c r="L4581" s="8"/>
    </row>
    <row r="4582" spans="7:12" x14ac:dyDescent="0.2">
      <c r="G4582" s="45"/>
      <c r="L4582" s="8"/>
    </row>
    <row r="4583" spans="7:12" x14ac:dyDescent="0.2">
      <c r="G4583" s="45"/>
      <c r="L4583" s="8"/>
    </row>
    <row r="4584" spans="7:12" x14ac:dyDescent="0.2">
      <c r="G4584" s="45"/>
      <c r="L4584" s="8"/>
    </row>
    <row r="4585" spans="7:12" x14ac:dyDescent="0.2">
      <c r="G4585" s="45"/>
      <c r="L4585" s="8"/>
    </row>
    <row r="4586" spans="7:12" x14ac:dyDescent="0.2">
      <c r="G4586" s="45"/>
      <c r="L4586" s="8"/>
    </row>
    <row r="4587" spans="7:12" x14ac:dyDescent="0.2">
      <c r="G4587" s="45"/>
      <c r="L4587" s="8"/>
    </row>
    <row r="4588" spans="7:12" x14ac:dyDescent="0.2">
      <c r="G4588" s="45"/>
      <c r="L4588" s="8"/>
    </row>
    <row r="4589" spans="7:12" x14ac:dyDescent="0.2">
      <c r="G4589" s="45"/>
      <c r="L4589" s="8"/>
    </row>
    <row r="4590" spans="7:12" x14ac:dyDescent="0.2">
      <c r="G4590" s="45"/>
      <c r="L4590" s="8"/>
    </row>
    <row r="4591" spans="7:12" x14ac:dyDescent="0.2">
      <c r="G4591" s="45"/>
      <c r="L4591" s="8"/>
    </row>
    <row r="4592" spans="7:12" x14ac:dyDescent="0.2">
      <c r="G4592" s="45"/>
      <c r="L4592" s="8"/>
    </row>
    <row r="4593" spans="7:12" x14ac:dyDescent="0.2">
      <c r="G4593" s="45"/>
      <c r="L4593" s="8"/>
    </row>
    <row r="4594" spans="7:12" x14ac:dyDescent="0.2">
      <c r="G4594" s="45"/>
      <c r="L4594" s="8"/>
    </row>
    <row r="4595" spans="7:12" x14ac:dyDescent="0.2">
      <c r="G4595" s="45"/>
      <c r="L4595" s="8"/>
    </row>
    <row r="4596" spans="7:12" x14ac:dyDescent="0.2">
      <c r="G4596" s="45"/>
      <c r="L4596" s="8"/>
    </row>
    <row r="4597" spans="7:12" x14ac:dyDescent="0.2">
      <c r="G4597" s="45"/>
      <c r="L4597" s="8"/>
    </row>
    <row r="4598" spans="7:12" x14ac:dyDescent="0.2">
      <c r="G4598" s="45"/>
      <c r="L4598" s="8"/>
    </row>
    <row r="4599" spans="7:12" x14ac:dyDescent="0.2">
      <c r="G4599" s="45"/>
      <c r="L4599" s="8"/>
    </row>
    <row r="4600" spans="7:12" x14ac:dyDescent="0.2">
      <c r="G4600" s="45"/>
      <c r="L4600" s="8"/>
    </row>
    <row r="4601" spans="7:12" x14ac:dyDescent="0.2">
      <c r="G4601" s="45"/>
      <c r="L4601" s="8"/>
    </row>
    <row r="4602" spans="7:12" x14ac:dyDescent="0.2">
      <c r="G4602" s="45"/>
      <c r="L4602" s="8"/>
    </row>
    <row r="4603" spans="7:12" x14ac:dyDescent="0.2">
      <c r="G4603" s="45"/>
      <c r="L4603" s="8"/>
    </row>
    <row r="4604" spans="7:12" x14ac:dyDescent="0.2">
      <c r="G4604" s="45"/>
      <c r="L4604" s="8"/>
    </row>
    <row r="4605" spans="7:12" x14ac:dyDescent="0.2">
      <c r="G4605" s="45"/>
      <c r="L4605" s="8"/>
    </row>
    <row r="4606" spans="7:12" x14ac:dyDescent="0.2">
      <c r="G4606" s="45"/>
      <c r="L4606" s="8"/>
    </row>
    <row r="4607" spans="7:12" x14ac:dyDescent="0.2">
      <c r="G4607" s="45"/>
      <c r="L4607" s="8"/>
    </row>
    <row r="4608" spans="7:12" x14ac:dyDescent="0.2">
      <c r="G4608" s="45"/>
      <c r="L4608" s="8"/>
    </row>
    <row r="4609" spans="7:12" x14ac:dyDescent="0.2">
      <c r="G4609" s="45"/>
      <c r="L4609" s="8"/>
    </row>
    <row r="4610" spans="7:12" x14ac:dyDescent="0.2">
      <c r="G4610" s="45"/>
      <c r="L4610" s="8"/>
    </row>
    <row r="4611" spans="7:12" x14ac:dyDescent="0.2">
      <c r="G4611" s="45"/>
      <c r="L4611" s="8"/>
    </row>
    <row r="4612" spans="7:12" x14ac:dyDescent="0.2">
      <c r="G4612" s="45"/>
      <c r="L4612" s="8"/>
    </row>
    <row r="4613" spans="7:12" x14ac:dyDescent="0.2">
      <c r="G4613" s="45"/>
      <c r="L4613" s="8"/>
    </row>
    <row r="4614" spans="7:12" x14ac:dyDescent="0.2">
      <c r="G4614" s="45"/>
      <c r="L4614" s="8"/>
    </row>
    <row r="4615" spans="7:12" x14ac:dyDescent="0.2">
      <c r="G4615" s="45"/>
      <c r="L4615" s="8"/>
    </row>
    <row r="4616" spans="7:12" x14ac:dyDescent="0.2">
      <c r="G4616" s="45"/>
      <c r="L4616" s="8"/>
    </row>
    <row r="4617" spans="7:12" x14ac:dyDescent="0.2">
      <c r="G4617" s="45"/>
      <c r="L4617" s="8"/>
    </row>
    <row r="4618" spans="7:12" x14ac:dyDescent="0.2">
      <c r="G4618" s="45"/>
      <c r="L4618" s="8"/>
    </row>
    <row r="4619" spans="7:12" x14ac:dyDescent="0.2">
      <c r="G4619" s="45"/>
      <c r="L4619" s="8"/>
    </row>
    <row r="4620" spans="7:12" x14ac:dyDescent="0.2">
      <c r="G4620" s="45"/>
      <c r="L4620" s="8"/>
    </row>
    <row r="4621" spans="7:12" x14ac:dyDescent="0.2">
      <c r="G4621" s="45"/>
      <c r="L4621" s="8"/>
    </row>
    <row r="4622" spans="7:12" x14ac:dyDescent="0.2">
      <c r="G4622" s="45"/>
      <c r="L4622" s="8"/>
    </row>
    <row r="4623" spans="7:12" x14ac:dyDescent="0.2">
      <c r="G4623" s="45"/>
      <c r="L4623" s="8"/>
    </row>
    <row r="4624" spans="7:12" x14ac:dyDescent="0.2">
      <c r="G4624" s="45"/>
      <c r="L4624" s="8"/>
    </row>
    <row r="4625" spans="7:12" x14ac:dyDescent="0.2">
      <c r="G4625" s="45"/>
      <c r="L4625" s="8"/>
    </row>
    <row r="4626" spans="7:12" x14ac:dyDescent="0.2">
      <c r="G4626" s="45"/>
      <c r="L4626" s="8"/>
    </row>
    <row r="4627" spans="7:12" x14ac:dyDescent="0.2">
      <c r="G4627" s="45"/>
      <c r="L4627" s="8"/>
    </row>
    <row r="4628" spans="7:12" x14ac:dyDescent="0.2">
      <c r="G4628" s="45"/>
      <c r="L4628" s="8"/>
    </row>
    <row r="4629" spans="7:12" x14ac:dyDescent="0.2">
      <c r="G4629" s="45"/>
      <c r="L4629" s="8"/>
    </row>
    <row r="4630" spans="7:12" x14ac:dyDescent="0.2">
      <c r="G4630" s="45"/>
      <c r="L4630" s="8"/>
    </row>
    <row r="4631" spans="7:12" x14ac:dyDescent="0.2">
      <c r="G4631" s="45"/>
      <c r="L4631" s="8"/>
    </row>
    <row r="4632" spans="7:12" x14ac:dyDescent="0.2">
      <c r="G4632" s="45"/>
      <c r="L4632" s="8"/>
    </row>
    <row r="4633" spans="7:12" x14ac:dyDescent="0.2">
      <c r="G4633" s="45"/>
      <c r="L4633" s="8"/>
    </row>
    <row r="4634" spans="7:12" x14ac:dyDescent="0.2">
      <c r="G4634" s="45"/>
      <c r="L4634" s="8"/>
    </row>
    <row r="4635" spans="7:12" x14ac:dyDescent="0.2">
      <c r="G4635" s="45"/>
      <c r="L4635" s="8"/>
    </row>
    <row r="4636" spans="7:12" x14ac:dyDescent="0.2">
      <c r="G4636" s="45"/>
      <c r="L4636" s="8"/>
    </row>
    <row r="4637" spans="7:12" x14ac:dyDescent="0.2">
      <c r="G4637" s="45"/>
      <c r="L4637" s="8"/>
    </row>
    <row r="4638" spans="7:12" x14ac:dyDescent="0.2">
      <c r="G4638" s="45"/>
      <c r="L4638" s="8"/>
    </row>
    <row r="4639" spans="7:12" x14ac:dyDescent="0.2">
      <c r="G4639" s="45"/>
      <c r="L4639" s="8"/>
    </row>
    <row r="4640" spans="7:12" x14ac:dyDescent="0.2">
      <c r="G4640" s="45"/>
      <c r="L4640" s="8"/>
    </row>
    <row r="4641" spans="7:12" x14ac:dyDescent="0.2">
      <c r="G4641" s="45"/>
      <c r="L4641" s="8"/>
    </row>
    <row r="4642" spans="7:12" x14ac:dyDescent="0.2">
      <c r="G4642" s="45"/>
      <c r="L4642" s="8"/>
    </row>
    <row r="4643" spans="7:12" x14ac:dyDescent="0.2">
      <c r="G4643" s="45"/>
      <c r="L4643" s="8"/>
    </row>
    <row r="4644" spans="7:12" x14ac:dyDescent="0.2">
      <c r="G4644" s="45"/>
      <c r="L4644" s="8"/>
    </row>
    <row r="4645" spans="7:12" x14ac:dyDescent="0.2">
      <c r="G4645" s="45"/>
      <c r="L4645" s="8"/>
    </row>
    <row r="4646" spans="7:12" x14ac:dyDescent="0.2">
      <c r="G4646" s="45"/>
      <c r="L4646" s="8"/>
    </row>
    <row r="4647" spans="7:12" x14ac:dyDescent="0.2">
      <c r="G4647" s="45"/>
      <c r="L4647" s="8"/>
    </row>
    <row r="4648" spans="7:12" x14ac:dyDescent="0.2">
      <c r="G4648" s="45"/>
      <c r="L4648" s="8"/>
    </row>
    <row r="4649" spans="7:12" x14ac:dyDescent="0.2">
      <c r="G4649" s="45"/>
      <c r="L4649" s="8"/>
    </row>
    <row r="4650" spans="7:12" x14ac:dyDescent="0.2">
      <c r="G4650" s="45"/>
      <c r="L4650" s="8"/>
    </row>
    <row r="4651" spans="7:12" x14ac:dyDescent="0.2">
      <c r="G4651" s="45"/>
      <c r="L4651" s="8"/>
    </row>
    <row r="4652" spans="7:12" x14ac:dyDescent="0.2">
      <c r="G4652" s="45"/>
      <c r="L4652" s="8"/>
    </row>
    <row r="4653" spans="7:12" x14ac:dyDescent="0.2">
      <c r="G4653" s="45"/>
      <c r="L4653" s="8"/>
    </row>
    <row r="4654" spans="7:12" x14ac:dyDescent="0.2">
      <c r="G4654" s="45"/>
      <c r="L4654" s="8"/>
    </row>
    <row r="4655" spans="7:12" x14ac:dyDescent="0.2">
      <c r="G4655" s="45"/>
      <c r="L4655" s="8"/>
    </row>
    <row r="4656" spans="7:12" x14ac:dyDescent="0.2">
      <c r="G4656" s="45"/>
      <c r="L4656" s="8"/>
    </row>
    <row r="4657" spans="7:12" x14ac:dyDescent="0.2">
      <c r="G4657" s="45"/>
      <c r="L4657" s="8"/>
    </row>
    <row r="4658" spans="7:12" x14ac:dyDescent="0.2">
      <c r="G4658" s="45"/>
      <c r="L4658" s="8"/>
    </row>
    <row r="4659" spans="7:12" x14ac:dyDescent="0.2">
      <c r="G4659" s="45"/>
      <c r="L4659" s="8"/>
    </row>
    <row r="4660" spans="7:12" x14ac:dyDescent="0.2">
      <c r="G4660" s="45"/>
      <c r="L4660" s="8"/>
    </row>
    <row r="4661" spans="7:12" x14ac:dyDescent="0.2">
      <c r="G4661" s="45"/>
      <c r="L4661" s="8"/>
    </row>
    <row r="4662" spans="7:12" x14ac:dyDescent="0.2">
      <c r="G4662" s="45"/>
      <c r="L4662" s="8"/>
    </row>
    <row r="4663" spans="7:12" x14ac:dyDescent="0.2">
      <c r="G4663" s="45"/>
      <c r="L4663" s="8"/>
    </row>
    <row r="4664" spans="7:12" x14ac:dyDescent="0.2">
      <c r="G4664" s="45"/>
      <c r="L4664" s="8"/>
    </row>
    <row r="4665" spans="7:12" x14ac:dyDescent="0.2">
      <c r="G4665" s="45"/>
      <c r="L4665" s="8"/>
    </row>
    <row r="4666" spans="7:12" x14ac:dyDescent="0.2">
      <c r="G4666" s="45"/>
      <c r="L4666" s="8"/>
    </row>
    <row r="4667" spans="7:12" x14ac:dyDescent="0.2">
      <c r="G4667" s="45"/>
      <c r="L4667" s="8"/>
    </row>
    <row r="4668" spans="7:12" x14ac:dyDescent="0.2">
      <c r="G4668" s="45"/>
      <c r="L4668" s="8"/>
    </row>
    <row r="4669" spans="7:12" x14ac:dyDescent="0.2">
      <c r="G4669" s="45"/>
      <c r="L4669" s="8"/>
    </row>
    <row r="4670" spans="7:12" x14ac:dyDescent="0.2">
      <c r="G4670" s="45"/>
      <c r="L4670" s="8"/>
    </row>
    <row r="4671" spans="7:12" x14ac:dyDescent="0.2">
      <c r="G4671" s="45"/>
      <c r="L4671" s="8"/>
    </row>
    <row r="4672" spans="7:12" x14ac:dyDescent="0.2">
      <c r="G4672" s="45"/>
      <c r="L4672" s="8"/>
    </row>
    <row r="4673" spans="7:12" x14ac:dyDescent="0.2">
      <c r="G4673" s="45"/>
      <c r="L4673" s="8"/>
    </row>
    <row r="4674" spans="7:12" x14ac:dyDescent="0.2">
      <c r="G4674" s="45"/>
      <c r="L4674" s="8"/>
    </row>
    <row r="4675" spans="7:12" x14ac:dyDescent="0.2">
      <c r="G4675" s="45"/>
      <c r="L4675" s="8"/>
    </row>
    <row r="4676" spans="7:12" x14ac:dyDescent="0.2">
      <c r="G4676" s="45"/>
      <c r="L4676" s="8"/>
    </row>
    <row r="4677" spans="7:12" x14ac:dyDescent="0.2">
      <c r="G4677" s="45"/>
      <c r="L4677" s="8"/>
    </row>
    <row r="4678" spans="7:12" x14ac:dyDescent="0.2">
      <c r="G4678" s="45"/>
      <c r="L4678" s="8"/>
    </row>
    <row r="4679" spans="7:12" x14ac:dyDescent="0.2">
      <c r="G4679" s="45"/>
      <c r="L4679" s="8"/>
    </row>
    <row r="4680" spans="7:12" x14ac:dyDescent="0.2">
      <c r="G4680" s="45"/>
      <c r="L4680" s="8"/>
    </row>
    <row r="4681" spans="7:12" x14ac:dyDescent="0.2">
      <c r="G4681" s="45"/>
      <c r="L4681" s="8"/>
    </row>
    <row r="4682" spans="7:12" x14ac:dyDescent="0.2">
      <c r="G4682" s="45"/>
      <c r="L4682" s="8"/>
    </row>
    <row r="4683" spans="7:12" x14ac:dyDescent="0.2">
      <c r="G4683" s="45"/>
      <c r="L4683" s="8"/>
    </row>
    <row r="4684" spans="7:12" x14ac:dyDescent="0.2">
      <c r="G4684" s="45"/>
      <c r="L4684" s="8"/>
    </row>
    <row r="4685" spans="7:12" x14ac:dyDescent="0.2">
      <c r="G4685" s="45"/>
      <c r="L4685" s="8"/>
    </row>
    <row r="4686" spans="7:12" x14ac:dyDescent="0.2">
      <c r="G4686" s="45"/>
      <c r="L4686" s="8"/>
    </row>
    <row r="4687" spans="7:12" x14ac:dyDescent="0.2">
      <c r="G4687" s="45"/>
      <c r="L4687" s="8"/>
    </row>
    <row r="4688" spans="7:12" x14ac:dyDescent="0.2">
      <c r="G4688" s="45"/>
      <c r="L4688" s="8"/>
    </row>
    <row r="4689" spans="7:12" x14ac:dyDescent="0.2">
      <c r="G4689" s="45"/>
      <c r="L4689" s="8"/>
    </row>
    <row r="4690" spans="7:12" x14ac:dyDescent="0.2">
      <c r="G4690" s="45"/>
      <c r="L4690" s="8"/>
    </row>
    <row r="4691" spans="7:12" x14ac:dyDescent="0.2">
      <c r="G4691" s="45"/>
      <c r="L4691" s="8"/>
    </row>
    <row r="4692" spans="7:12" x14ac:dyDescent="0.2">
      <c r="G4692" s="45"/>
      <c r="L4692" s="8"/>
    </row>
    <row r="4693" spans="7:12" x14ac:dyDescent="0.2">
      <c r="G4693" s="45"/>
      <c r="L4693" s="8"/>
    </row>
    <row r="4694" spans="7:12" x14ac:dyDescent="0.2">
      <c r="G4694" s="45"/>
      <c r="L4694" s="8"/>
    </row>
    <row r="4695" spans="7:12" x14ac:dyDescent="0.2">
      <c r="G4695" s="45"/>
      <c r="L4695" s="8"/>
    </row>
    <row r="4696" spans="7:12" x14ac:dyDescent="0.2">
      <c r="G4696" s="45"/>
      <c r="L4696" s="8"/>
    </row>
    <row r="4697" spans="7:12" x14ac:dyDescent="0.2">
      <c r="G4697" s="45"/>
      <c r="L4697" s="8"/>
    </row>
    <row r="4698" spans="7:12" x14ac:dyDescent="0.2">
      <c r="G4698" s="45"/>
      <c r="L4698" s="8"/>
    </row>
    <row r="4699" spans="7:12" x14ac:dyDescent="0.2">
      <c r="G4699" s="45"/>
      <c r="L4699" s="8"/>
    </row>
    <row r="4700" spans="7:12" x14ac:dyDescent="0.2">
      <c r="G4700" s="45"/>
      <c r="L4700" s="8"/>
    </row>
    <row r="4701" spans="7:12" x14ac:dyDescent="0.2">
      <c r="G4701" s="45"/>
      <c r="L4701" s="8"/>
    </row>
    <row r="4702" spans="7:12" x14ac:dyDescent="0.2">
      <c r="G4702" s="45"/>
      <c r="L4702" s="8"/>
    </row>
    <row r="4703" spans="7:12" x14ac:dyDescent="0.2">
      <c r="G4703" s="45"/>
      <c r="L4703" s="8"/>
    </row>
    <row r="4704" spans="7:12" x14ac:dyDescent="0.2">
      <c r="G4704" s="45"/>
      <c r="L4704" s="8"/>
    </row>
    <row r="4705" spans="7:12" x14ac:dyDescent="0.2">
      <c r="G4705" s="45"/>
      <c r="L4705" s="8"/>
    </row>
    <row r="4706" spans="7:12" x14ac:dyDescent="0.2">
      <c r="G4706" s="45"/>
      <c r="L4706" s="8"/>
    </row>
    <row r="4707" spans="7:12" x14ac:dyDescent="0.2">
      <c r="G4707" s="45"/>
      <c r="L4707" s="8"/>
    </row>
    <row r="4708" spans="7:12" x14ac:dyDescent="0.2">
      <c r="G4708" s="45"/>
      <c r="L4708" s="8"/>
    </row>
    <row r="4709" spans="7:12" x14ac:dyDescent="0.2">
      <c r="G4709" s="45"/>
      <c r="L4709" s="8"/>
    </row>
    <row r="4710" spans="7:12" x14ac:dyDescent="0.2">
      <c r="G4710" s="45"/>
      <c r="L4710" s="8"/>
    </row>
    <row r="4711" spans="7:12" x14ac:dyDescent="0.2">
      <c r="G4711" s="45"/>
      <c r="L4711" s="8"/>
    </row>
    <row r="4712" spans="7:12" x14ac:dyDescent="0.2">
      <c r="G4712" s="45"/>
      <c r="L4712" s="8"/>
    </row>
    <row r="4713" spans="7:12" x14ac:dyDescent="0.2">
      <c r="G4713" s="45"/>
      <c r="L4713" s="8"/>
    </row>
    <row r="4714" spans="7:12" x14ac:dyDescent="0.2">
      <c r="G4714" s="45"/>
      <c r="L4714" s="8"/>
    </row>
    <row r="4715" spans="7:12" x14ac:dyDescent="0.2">
      <c r="G4715" s="45"/>
      <c r="L4715" s="8"/>
    </row>
    <row r="4716" spans="7:12" x14ac:dyDescent="0.2">
      <c r="G4716" s="45"/>
      <c r="L4716" s="8"/>
    </row>
    <row r="4717" spans="7:12" x14ac:dyDescent="0.2">
      <c r="G4717" s="45"/>
      <c r="L4717" s="8"/>
    </row>
    <row r="4718" spans="7:12" x14ac:dyDescent="0.2">
      <c r="G4718" s="45"/>
      <c r="L4718" s="8"/>
    </row>
    <row r="4719" spans="7:12" x14ac:dyDescent="0.2">
      <c r="G4719" s="45"/>
      <c r="L4719" s="8"/>
    </row>
    <row r="4720" spans="7:12" x14ac:dyDescent="0.2">
      <c r="G4720" s="45"/>
      <c r="L4720" s="8"/>
    </row>
    <row r="4721" spans="7:12" x14ac:dyDescent="0.2">
      <c r="G4721" s="45"/>
      <c r="L4721" s="8"/>
    </row>
    <row r="4722" spans="7:12" x14ac:dyDescent="0.2">
      <c r="G4722" s="45"/>
      <c r="L4722" s="8"/>
    </row>
    <row r="4723" spans="7:12" x14ac:dyDescent="0.2">
      <c r="G4723" s="45"/>
      <c r="L4723" s="8"/>
    </row>
    <row r="4724" spans="7:12" x14ac:dyDescent="0.2">
      <c r="G4724" s="45"/>
      <c r="L4724" s="8"/>
    </row>
    <row r="4725" spans="7:12" x14ac:dyDescent="0.2">
      <c r="G4725" s="45"/>
      <c r="L4725" s="8"/>
    </row>
    <row r="4726" spans="7:12" x14ac:dyDescent="0.2">
      <c r="G4726" s="45"/>
      <c r="L4726" s="8"/>
    </row>
    <row r="4727" spans="7:12" x14ac:dyDescent="0.2">
      <c r="G4727" s="45"/>
      <c r="L4727" s="8"/>
    </row>
    <row r="4728" spans="7:12" x14ac:dyDescent="0.2">
      <c r="G4728" s="45"/>
      <c r="L4728" s="8"/>
    </row>
    <row r="4729" spans="7:12" x14ac:dyDescent="0.2">
      <c r="G4729" s="45"/>
      <c r="L4729" s="8"/>
    </row>
    <row r="4730" spans="7:12" x14ac:dyDescent="0.2">
      <c r="G4730" s="45"/>
      <c r="L4730" s="8"/>
    </row>
    <row r="4731" spans="7:12" x14ac:dyDescent="0.2">
      <c r="G4731" s="45"/>
      <c r="L4731" s="8"/>
    </row>
    <row r="4732" spans="7:12" x14ac:dyDescent="0.2">
      <c r="G4732" s="45"/>
      <c r="L4732" s="8"/>
    </row>
    <row r="4733" spans="7:12" x14ac:dyDescent="0.2">
      <c r="G4733" s="45"/>
      <c r="L4733" s="8"/>
    </row>
    <row r="4734" spans="7:12" x14ac:dyDescent="0.2">
      <c r="G4734" s="45"/>
      <c r="L4734" s="8"/>
    </row>
    <row r="4735" spans="7:12" x14ac:dyDescent="0.2">
      <c r="G4735" s="45"/>
      <c r="L4735" s="8"/>
    </row>
    <row r="4736" spans="7:12" x14ac:dyDescent="0.2">
      <c r="G4736" s="45"/>
      <c r="L4736" s="8"/>
    </row>
    <row r="4737" spans="7:12" x14ac:dyDescent="0.2">
      <c r="G4737" s="45"/>
      <c r="L4737" s="8"/>
    </row>
    <row r="4738" spans="7:12" x14ac:dyDescent="0.2">
      <c r="G4738" s="45"/>
      <c r="L4738" s="8"/>
    </row>
    <row r="4739" spans="7:12" x14ac:dyDescent="0.2">
      <c r="G4739" s="45"/>
      <c r="L4739" s="8"/>
    </row>
    <row r="4740" spans="7:12" x14ac:dyDescent="0.2">
      <c r="G4740" s="45"/>
      <c r="L4740" s="8"/>
    </row>
    <row r="4741" spans="7:12" x14ac:dyDescent="0.2">
      <c r="G4741" s="45"/>
      <c r="L4741" s="8"/>
    </row>
    <row r="4742" spans="7:12" x14ac:dyDescent="0.2">
      <c r="G4742" s="45"/>
      <c r="L4742" s="8"/>
    </row>
    <row r="4743" spans="7:12" x14ac:dyDescent="0.2">
      <c r="G4743" s="45"/>
      <c r="L4743" s="8"/>
    </row>
    <row r="4744" spans="7:12" x14ac:dyDescent="0.2">
      <c r="G4744" s="45"/>
      <c r="L4744" s="8"/>
    </row>
    <row r="4745" spans="7:12" x14ac:dyDescent="0.2">
      <c r="G4745" s="45"/>
      <c r="L4745" s="8"/>
    </row>
    <row r="4746" spans="7:12" x14ac:dyDescent="0.2">
      <c r="G4746" s="45"/>
      <c r="L4746" s="8"/>
    </row>
    <row r="4747" spans="7:12" x14ac:dyDescent="0.2">
      <c r="G4747" s="45"/>
      <c r="L4747" s="8"/>
    </row>
    <row r="4748" spans="7:12" x14ac:dyDescent="0.2">
      <c r="G4748" s="45"/>
      <c r="L4748" s="8"/>
    </row>
    <row r="4749" spans="7:12" x14ac:dyDescent="0.2">
      <c r="G4749" s="45"/>
      <c r="L4749" s="8"/>
    </row>
    <row r="4750" spans="7:12" x14ac:dyDescent="0.2">
      <c r="G4750" s="45"/>
      <c r="L4750" s="8"/>
    </row>
    <row r="4751" spans="7:12" x14ac:dyDescent="0.2">
      <c r="G4751" s="45"/>
      <c r="L4751" s="8"/>
    </row>
    <row r="4752" spans="7:12" x14ac:dyDescent="0.2">
      <c r="G4752" s="45"/>
      <c r="L4752" s="8"/>
    </row>
    <row r="4753" spans="7:12" x14ac:dyDescent="0.2">
      <c r="G4753" s="45"/>
      <c r="L4753" s="8"/>
    </row>
    <row r="4754" spans="7:12" x14ac:dyDescent="0.2">
      <c r="G4754" s="45"/>
      <c r="L4754" s="8"/>
    </row>
    <row r="4755" spans="7:12" x14ac:dyDescent="0.2">
      <c r="G4755" s="45"/>
      <c r="L4755" s="8"/>
    </row>
    <row r="4756" spans="7:12" x14ac:dyDescent="0.2">
      <c r="G4756" s="45"/>
      <c r="L4756" s="8"/>
    </row>
    <row r="4757" spans="7:12" x14ac:dyDescent="0.2">
      <c r="G4757" s="45"/>
      <c r="L4757" s="8"/>
    </row>
    <row r="4758" spans="7:12" x14ac:dyDescent="0.2">
      <c r="G4758" s="45"/>
      <c r="L4758" s="8"/>
    </row>
    <row r="4759" spans="7:12" x14ac:dyDescent="0.2">
      <c r="G4759" s="45"/>
      <c r="L4759" s="8"/>
    </row>
    <row r="4760" spans="7:12" x14ac:dyDescent="0.2">
      <c r="G4760" s="45"/>
      <c r="L4760" s="8"/>
    </row>
    <row r="4761" spans="7:12" x14ac:dyDescent="0.2">
      <c r="G4761" s="45"/>
      <c r="L4761" s="8"/>
    </row>
    <row r="4762" spans="7:12" x14ac:dyDescent="0.2">
      <c r="G4762" s="45"/>
      <c r="L4762" s="8"/>
    </row>
    <row r="4763" spans="7:12" x14ac:dyDescent="0.2">
      <c r="G4763" s="45"/>
      <c r="L4763" s="8"/>
    </row>
    <row r="4764" spans="7:12" x14ac:dyDescent="0.2">
      <c r="G4764" s="45"/>
      <c r="L4764" s="8"/>
    </row>
    <row r="4765" spans="7:12" x14ac:dyDescent="0.2">
      <c r="G4765" s="45"/>
      <c r="L4765" s="8"/>
    </row>
    <row r="4766" spans="7:12" x14ac:dyDescent="0.2">
      <c r="G4766" s="45"/>
      <c r="L4766" s="8"/>
    </row>
    <row r="4767" spans="7:12" x14ac:dyDescent="0.2">
      <c r="G4767" s="45"/>
      <c r="L4767" s="8"/>
    </row>
    <row r="4768" spans="7:12" x14ac:dyDescent="0.2">
      <c r="G4768" s="45"/>
      <c r="L4768" s="8"/>
    </row>
    <row r="4769" spans="7:12" x14ac:dyDescent="0.2">
      <c r="G4769" s="45"/>
      <c r="L4769" s="8"/>
    </row>
    <row r="4770" spans="7:12" x14ac:dyDescent="0.2">
      <c r="G4770" s="45"/>
      <c r="L4770" s="8"/>
    </row>
    <row r="4771" spans="7:12" x14ac:dyDescent="0.2">
      <c r="G4771" s="45"/>
      <c r="L4771" s="8"/>
    </row>
    <row r="4772" spans="7:12" x14ac:dyDescent="0.2">
      <c r="G4772" s="45"/>
      <c r="L4772" s="8"/>
    </row>
    <row r="4773" spans="7:12" x14ac:dyDescent="0.2">
      <c r="G4773" s="45"/>
      <c r="L4773" s="8"/>
    </row>
    <row r="4774" spans="7:12" x14ac:dyDescent="0.2">
      <c r="G4774" s="45"/>
      <c r="L4774" s="8"/>
    </row>
    <row r="4775" spans="7:12" x14ac:dyDescent="0.2">
      <c r="G4775" s="45"/>
      <c r="L4775" s="8"/>
    </row>
    <row r="4776" spans="7:12" x14ac:dyDescent="0.2">
      <c r="G4776" s="45"/>
      <c r="L4776" s="8"/>
    </row>
    <row r="4777" spans="7:12" x14ac:dyDescent="0.2">
      <c r="G4777" s="45"/>
      <c r="L4777" s="8"/>
    </row>
    <row r="4778" spans="7:12" x14ac:dyDescent="0.2">
      <c r="G4778" s="45"/>
      <c r="L4778" s="8"/>
    </row>
    <row r="4779" spans="7:12" x14ac:dyDescent="0.2">
      <c r="G4779" s="45"/>
      <c r="L4779" s="8"/>
    </row>
    <row r="4780" spans="7:12" x14ac:dyDescent="0.2">
      <c r="G4780" s="45"/>
      <c r="L4780" s="8"/>
    </row>
    <row r="4781" spans="7:12" x14ac:dyDescent="0.2">
      <c r="G4781" s="45"/>
      <c r="L4781" s="8"/>
    </row>
    <row r="4782" spans="7:12" x14ac:dyDescent="0.2">
      <c r="G4782" s="45"/>
      <c r="L4782" s="8"/>
    </row>
    <row r="4783" spans="7:12" x14ac:dyDescent="0.2">
      <c r="G4783" s="45"/>
      <c r="L4783" s="8"/>
    </row>
    <row r="4784" spans="7:12" x14ac:dyDescent="0.2">
      <c r="G4784" s="45"/>
      <c r="L4784" s="8"/>
    </row>
    <row r="4785" spans="7:12" x14ac:dyDescent="0.2">
      <c r="G4785" s="45"/>
      <c r="L4785" s="8"/>
    </row>
    <row r="4786" spans="7:12" x14ac:dyDescent="0.2">
      <c r="G4786" s="45"/>
      <c r="L4786" s="8"/>
    </row>
    <row r="4787" spans="7:12" x14ac:dyDescent="0.2">
      <c r="G4787" s="45"/>
      <c r="L4787" s="8"/>
    </row>
    <row r="4788" spans="7:12" x14ac:dyDescent="0.2">
      <c r="G4788" s="45"/>
      <c r="L4788" s="8"/>
    </row>
    <row r="4789" spans="7:12" x14ac:dyDescent="0.2">
      <c r="G4789" s="45"/>
      <c r="L4789" s="8"/>
    </row>
    <row r="4790" spans="7:12" x14ac:dyDescent="0.2">
      <c r="G4790" s="45"/>
      <c r="L4790" s="8"/>
    </row>
    <row r="4791" spans="7:12" x14ac:dyDescent="0.2">
      <c r="G4791" s="45"/>
      <c r="L4791" s="8"/>
    </row>
    <row r="4792" spans="7:12" x14ac:dyDescent="0.2">
      <c r="G4792" s="45"/>
      <c r="L4792" s="8"/>
    </row>
    <row r="4793" spans="7:12" x14ac:dyDescent="0.2">
      <c r="G4793" s="45"/>
      <c r="L4793" s="8"/>
    </row>
    <row r="4794" spans="7:12" x14ac:dyDescent="0.2">
      <c r="G4794" s="45"/>
      <c r="L4794" s="8"/>
    </row>
    <row r="4795" spans="7:12" x14ac:dyDescent="0.2">
      <c r="G4795" s="45"/>
      <c r="L4795" s="8"/>
    </row>
    <row r="4796" spans="7:12" x14ac:dyDescent="0.2">
      <c r="G4796" s="45"/>
      <c r="L4796" s="8"/>
    </row>
    <row r="4797" spans="7:12" x14ac:dyDescent="0.2">
      <c r="G4797" s="45"/>
      <c r="L4797" s="8"/>
    </row>
    <row r="4798" spans="7:12" x14ac:dyDescent="0.2">
      <c r="G4798" s="45"/>
      <c r="L4798" s="8"/>
    </row>
    <row r="4799" spans="7:12" x14ac:dyDescent="0.2">
      <c r="G4799" s="45"/>
      <c r="L4799" s="8"/>
    </row>
    <row r="4800" spans="7:12" x14ac:dyDescent="0.2">
      <c r="G4800" s="45"/>
      <c r="L4800" s="8"/>
    </row>
    <row r="4801" spans="7:12" x14ac:dyDescent="0.2">
      <c r="G4801" s="45"/>
      <c r="L4801" s="8"/>
    </row>
    <row r="4802" spans="7:12" x14ac:dyDescent="0.2">
      <c r="G4802" s="45"/>
      <c r="L4802" s="8"/>
    </row>
    <row r="4803" spans="7:12" x14ac:dyDescent="0.2">
      <c r="G4803" s="45"/>
      <c r="L4803" s="8"/>
    </row>
    <row r="4804" spans="7:12" x14ac:dyDescent="0.2">
      <c r="G4804" s="45"/>
      <c r="L4804" s="8"/>
    </row>
    <row r="4805" spans="7:12" x14ac:dyDescent="0.2">
      <c r="G4805" s="45"/>
      <c r="L4805" s="8"/>
    </row>
    <row r="4806" spans="7:12" x14ac:dyDescent="0.2">
      <c r="G4806" s="45"/>
      <c r="L4806" s="8"/>
    </row>
    <row r="4807" spans="7:12" x14ac:dyDescent="0.2">
      <c r="G4807" s="45"/>
      <c r="L4807" s="8"/>
    </row>
    <row r="4808" spans="7:12" x14ac:dyDescent="0.2">
      <c r="G4808" s="45"/>
      <c r="L4808" s="8"/>
    </row>
    <row r="4809" spans="7:12" x14ac:dyDescent="0.2">
      <c r="G4809" s="45"/>
      <c r="L4809" s="8"/>
    </row>
    <row r="4810" spans="7:12" x14ac:dyDescent="0.2">
      <c r="G4810" s="45"/>
      <c r="L4810" s="8"/>
    </row>
    <row r="4811" spans="7:12" x14ac:dyDescent="0.2">
      <c r="G4811" s="45"/>
      <c r="L4811" s="8"/>
    </row>
    <row r="4812" spans="7:12" x14ac:dyDescent="0.2">
      <c r="G4812" s="45"/>
      <c r="L4812" s="8"/>
    </row>
    <row r="4813" spans="7:12" x14ac:dyDescent="0.2">
      <c r="G4813" s="45"/>
      <c r="L4813" s="8"/>
    </row>
    <row r="4814" spans="7:12" x14ac:dyDescent="0.2">
      <c r="G4814" s="45"/>
      <c r="L4814" s="8"/>
    </row>
    <row r="4815" spans="7:12" x14ac:dyDescent="0.2">
      <c r="G4815" s="45"/>
      <c r="L4815" s="8"/>
    </row>
    <row r="4816" spans="7:12" x14ac:dyDescent="0.2">
      <c r="G4816" s="45"/>
      <c r="L4816" s="8"/>
    </row>
    <row r="4817" spans="7:12" x14ac:dyDescent="0.2">
      <c r="G4817" s="45"/>
      <c r="L4817" s="8"/>
    </row>
    <row r="4818" spans="7:12" x14ac:dyDescent="0.2">
      <c r="G4818" s="45"/>
      <c r="L4818" s="8"/>
    </row>
    <row r="4819" spans="7:12" x14ac:dyDescent="0.2">
      <c r="G4819" s="45"/>
      <c r="L4819" s="8"/>
    </row>
    <row r="4820" spans="7:12" x14ac:dyDescent="0.2">
      <c r="G4820" s="45"/>
      <c r="L4820" s="8"/>
    </row>
    <row r="4821" spans="7:12" x14ac:dyDescent="0.2">
      <c r="G4821" s="45"/>
      <c r="L4821" s="8"/>
    </row>
    <row r="4822" spans="7:12" x14ac:dyDescent="0.2">
      <c r="G4822" s="45"/>
      <c r="L4822" s="8"/>
    </row>
    <row r="4823" spans="7:12" x14ac:dyDescent="0.2">
      <c r="G4823" s="45"/>
      <c r="L4823" s="8"/>
    </row>
    <row r="4824" spans="7:12" x14ac:dyDescent="0.2">
      <c r="G4824" s="45"/>
      <c r="L4824" s="8"/>
    </row>
    <row r="4825" spans="7:12" x14ac:dyDescent="0.2">
      <c r="G4825" s="45"/>
      <c r="L4825" s="8"/>
    </row>
    <row r="4826" spans="7:12" x14ac:dyDescent="0.2">
      <c r="G4826" s="45"/>
      <c r="L4826" s="8"/>
    </row>
    <row r="4827" spans="7:12" x14ac:dyDescent="0.2">
      <c r="G4827" s="45"/>
      <c r="L4827" s="8"/>
    </row>
    <row r="4828" spans="7:12" x14ac:dyDescent="0.2">
      <c r="G4828" s="45"/>
      <c r="L4828" s="8"/>
    </row>
    <row r="4829" spans="7:12" x14ac:dyDescent="0.2">
      <c r="G4829" s="45"/>
      <c r="L4829" s="8"/>
    </row>
    <row r="4830" spans="7:12" x14ac:dyDescent="0.2">
      <c r="G4830" s="45"/>
      <c r="L4830" s="8"/>
    </row>
    <row r="4831" spans="7:12" x14ac:dyDescent="0.2">
      <c r="G4831" s="45"/>
      <c r="L4831" s="8"/>
    </row>
    <row r="4832" spans="7:12" x14ac:dyDescent="0.2">
      <c r="G4832" s="45"/>
      <c r="L4832" s="8"/>
    </row>
    <row r="4833" spans="7:12" x14ac:dyDescent="0.2">
      <c r="G4833" s="45"/>
      <c r="L4833" s="8"/>
    </row>
    <row r="4834" spans="7:12" x14ac:dyDescent="0.2">
      <c r="G4834" s="45"/>
      <c r="L4834" s="8"/>
    </row>
    <row r="4835" spans="7:12" x14ac:dyDescent="0.2">
      <c r="G4835" s="45"/>
      <c r="L4835" s="8"/>
    </row>
    <row r="4836" spans="7:12" x14ac:dyDescent="0.2">
      <c r="G4836" s="45"/>
      <c r="L4836" s="8"/>
    </row>
    <row r="4837" spans="7:12" x14ac:dyDescent="0.2">
      <c r="G4837" s="45"/>
      <c r="L4837" s="8"/>
    </row>
    <row r="4838" spans="7:12" x14ac:dyDescent="0.2">
      <c r="G4838" s="45"/>
      <c r="L4838" s="8"/>
    </row>
    <row r="4839" spans="7:12" x14ac:dyDescent="0.2">
      <c r="G4839" s="45"/>
      <c r="L4839" s="8"/>
    </row>
    <row r="4840" spans="7:12" x14ac:dyDescent="0.2">
      <c r="G4840" s="45"/>
      <c r="L4840" s="8"/>
    </row>
    <row r="4841" spans="7:12" x14ac:dyDescent="0.2">
      <c r="G4841" s="45"/>
      <c r="L4841" s="8"/>
    </row>
    <row r="4842" spans="7:12" x14ac:dyDescent="0.2">
      <c r="G4842" s="45"/>
      <c r="L4842" s="8"/>
    </row>
    <row r="4843" spans="7:12" x14ac:dyDescent="0.2">
      <c r="G4843" s="45"/>
      <c r="L4843" s="8"/>
    </row>
    <row r="4844" spans="7:12" x14ac:dyDescent="0.2">
      <c r="G4844" s="45"/>
      <c r="L4844" s="8"/>
    </row>
    <row r="4845" spans="7:12" x14ac:dyDescent="0.2">
      <c r="G4845" s="45"/>
      <c r="L4845" s="8"/>
    </row>
    <row r="4846" spans="7:12" x14ac:dyDescent="0.2">
      <c r="G4846" s="45"/>
      <c r="L4846" s="8"/>
    </row>
    <row r="4847" spans="7:12" x14ac:dyDescent="0.2">
      <c r="G4847" s="45"/>
      <c r="L4847" s="8"/>
    </row>
    <row r="4848" spans="7:12" x14ac:dyDescent="0.2">
      <c r="G4848" s="45"/>
      <c r="L4848" s="8"/>
    </row>
    <row r="4849" spans="7:12" x14ac:dyDescent="0.2">
      <c r="G4849" s="45"/>
      <c r="L4849" s="8"/>
    </row>
    <row r="4850" spans="7:12" x14ac:dyDescent="0.2">
      <c r="G4850" s="45"/>
      <c r="L4850" s="8"/>
    </row>
    <row r="4851" spans="7:12" x14ac:dyDescent="0.2">
      <c r="G4851" s="45"/>
      <c r="L4851" s="8"/>
    </row>
    <row r="4852" spans="7:12" x14ac:dyDescent="0.2">
      <c r="G4852" s="45"/>
      <c r="L4852" s="8"/>
    </row>
    <row r="4853" spans="7:12" x14ac:dyDescent="0.2">
      <c r="G4853" s="45"/>
      <c r="L4853" s="8"/>
    </row>
    <row r="4854" spans="7:12" x14ac:dyDescent="0.2">
      <c r="G4854" s="45"/>
      <c r="L4854" s="8"/>
    </row>
    <row r="4855" spans="7:12" x14ac:dyDescent="0.2">
      <c r="G4855" s="45"/>
      <c r="L4855" s="8"/>
    </row>
    <row r="4856" spans="7:12" x14ac:dyDescent="0.2">
      <c r="G4856" s="45"/>
      <c r="L4856" s="8"/>
    </row>
    <row r="4857" spans="7:12" x14ac:dyDescent="0.2">
      <c r="G4857" s="45"/>
      <c r="L4857" s="8"/>
    </row>
    <row r="4858" spans="7:12" x14ac:dyDescent="0.2">
      <c r="G4858" s="45"/>
      <c r="L4858" s="8"/>
    </row>
    <row r="4859" spans="7:12" x14ac:dyDescent="0.2">
      <c r="G4859" s="45"/>
      <c r="L4859" s="8"/>
    </row>
    <row r="4860" spans="7:12" x14ac:dyDescent="0.2">
      <c r="G4860" s="45"/>
      <c r="L4860" s="8"/>
    </row>
    <row r="4861" spans="7:12" x14ac:dyDescent="0.2">
      <c r="G4861" s="45"/>
      <c r="L4861" s="8"/>
    </row>
    <row r="4862" spans="7:12" x14ac:dyDescent="0.2">
      <c r="G4862" s="45"/>
      <c r="L4862" s="8"/>
    </row>
    <row r="4863" spans="7:12" x14ac:dyDescent="0.2">
      <c r="G4863" s="45"/>
      <c r="L4863" s="8"/>
    </row>
    <row r="4864" spans="7:12" x14ac:dyDescent="0.2">
      <c r="G4864" s="45"/>
      <c r="L4864" s="8"/>
    </row>
    <row r="4865" spans="7:12" x14ac:dyDescent="0.2">
      <c r="G4865" s="45"/>
      <c r="L4865" s="8"/>
    </row>
    <row r="4866" spans="7:12" x14ac:dyDescent="0.2">
      <c r="G4866" s="45"/>
      <c r="L4866" s="8"/>
    </row>
    <row r="4867" spans="7:12" x14ac:dyDescent="0.2">
      <c r="G4867" s="45"/>
      <c r="L4867" s="8"/>
    </row>
    <row r="4868" spans="7:12" x14ac:dyDescent="0.2">
      <c r="G4868" s="45"/>
      <c r="L4868" s="8"/>
    </row>
    <row r="4869" spans="7:12" x14ac:dyDescent="0.2">
      <c r="G4869" s="45"/>
      <c r="L4869" s="8"/>
    </row>
    <row r="4870" spans="7:12" x14ac:dyDescent="0.2">
      <c r="G4870" s="45"/>
      <c r="L4870" s="8"/>
    </row>
    <row r="4871" spans="7:12" x14ac:dyDescent="0.2">
      <c r="G4871" s="45"/>
      <c r="L4871" s="8"/>
    </row>
    <row r="4872" spans="7:12" x14ac:dyDescent="0.2">
      <c r="G4872" s="45"/>
      <c r="L4872" s="8"/>
    </row>
    <row r="4873" spans="7:12" x14ac:dyDescent="0.2">
      <c r="G4873" s="45"/>
      <c r="L4873" s="8"/>
    </row>
    <row r="4874" spans="7:12" x14ac:dyDescent="0.2">
      <c r="G4874" s="45"/>
      <c r="L4874" s="8"/>
    </row>
    <row r="4875" spans="7:12" x14ac:dyDescent="0.2">
      <c r="G4875" s="45"/>
      <c r="L4875" s="8"/>
    </row>
    <row r="4876" spans="7:12" x14ac:dyDescent="0.2">
      <c r="G4876" s="45"/>
      <c r="L4876" s="8"/>
    </row>
    <row r="4877" spans="7:12" x14ac:dyDescent="0.2">
      <c r="G4877" s="45"/>
      <c r="L4877" s="8"/>
    </row>
    <row r="4878" spans="7:12" x14ac:dyDescent="0.2">
      <c r="G4878" s="45"/>
      <c r="L4878" s="8"/>
    </row>
    <row r="4879" spans="7:12" x14ac:dyDescent="0.2">
      <c r="G4879" s="45"/>
      <c r="L4879" s="8"/>
    </row>
    <row r="4880" spans="7:12" x14ac:dyDescent="0.2">
      <c r="G4880" s="45"/>
      <c r="L4880" s="8"/>
    </row>
    <row r="4881" spans="7:12" x14ac:dyDescent="0.2">
      <c r="G4881" s="45"/>
      <c r="L4881" s="8"/>
    </row>
    <row r="4882" spans="7:12" x14ac:dyDescent="0.2">
      <c r="G4882" s="45"/>
      <c r="L4882" s="8"/>
    </row>
    <row r="4883" spans="7:12" x14ac:dyDescent="0.2">
      <c r="G4883" s="45"/>
      <c r="L4883" s="8"/>
    </row>
    <row r="4884" spans="7:12" x14ac:dyDescent="0.2">
      <c r="G4884" s="45"/>
      <c r="L4884" s="8"/>
    </row>
    <row r="4885" spans="7:12" x14ac:dyDescent="0.2">
      <c r="G4885" s="45"/>
      <c r="L4885" s="8"/>
    </row>
    <row r="4886" spans="7:12" x14ac:dyDescent="0.2">
      <c r="G4886" s="45"/>
      <c r="L4886" s="8"/>
    </row>
    <row r="4887" spans="7:12" x14ac:dyDescent="0.2">
      <c r="G4887" s="45"/>
      <c r="L4887" s="8"/>
    </row>
    <row r="4888" spans="7:12" x14ac:dyDescent="0.2">
      <c r="G4888" s="45"/>
      <c r="L4888" s="8"/>
    </row>
    <row r="4889" spans="7:12" x14ac:dyDescent="0.2">
      <c r="G4889" s="45"/>
      <c r="L4889" s="8"/>
    </row>
    <row r="4890" spans="7:12" x14ac:dyDescent="0.2">
      <c r="G4890" s="45"/>
      <c r="L4890" s="8"/>
    </row>
    <row r="4891" spans="7:12" x14ac:dyDescent="0.2">
      <c r="G4891" s="45"/>
      <c r="L4891" s="8"/>
    </row>
    <row r="4892" spans="7:12" x14ac:dyDescent="0.2">
      <c r="G4892" s="45"/>
      <c r="L4892" s="8"/>
    </row>
    <row r="4893" spans="7:12" x14ac:dyDescent="0.2">
      <c r="G4893" s="45"/>
      <c r="L4893" s="8"/>
    </row>
    <row r="4894" spans="7:12" x14ac:dyDescent="0.2">
      <c r="G4894" s="45"/>
      <c r="L4894" s="8"/>
    </row>
    <row r="4895" spans="7:12" x14ac:dyDescent="0.2">
      <c r="G4895" s="45"/>
      <c r="L4895" s="8"/>
    </row>
    <row r="4896" spans="7:12" x14ac:dyDescent="0.2">
      <c r="G4896" s="45"/>
      <c r="L4896" s="8"/>
    </row>
    <row r="4897" spans="7:12" x14ac:dyDescent="0.2">
      <c r="G4897" s="45"/>
      <c r="L4897" s="8"/>
    </row>
    <row r="4898" spans="7:12" x14ac:dyDescent="0.2">
      <c r="G4898" s="45"/>
      <c r="L4898" s="8"/>
    </row>
    <row r="4899" spans="7:12" x14ac:dyDescent="0.2">
      <c r="G4899" s="45"/>
      <c r="L4899" s="8"/>
    </row>
    <row r="4900" spans="7:12" x14ac:dyDescent="0.2">
      <c r="G4900" s="45"/>
      <c r="L4900" s="8"/>
    </row>
    <row r="4901" spans="7:12" x14ac:dyDescent="0.2">
      <c r="G4901" s="45"/>
      <c r="L4901" s="8"/>
    </row>
    <row r="4902" spans="7:12" x14ac:dyDescent="0.2">
      <c r="G4902" s="45"/>
      <c r="L4902" s="8"/>
    </row>
    <row r="4903" spans="7:12" x14ac:dyDescent="0.2">
      <c r="G4903" s="45"/>
      <c r="L4903" s="8"/>
    </row>
    <row r="4904" spans="7:12" x14ac:dyDescent="0.2">
      <c r="G4904" s="45"/>
      <c r="L4904" s="8"/>
    </row>
    <row r="4905" spans="7:12" x14ac:dyDescent="0.2">
      <c r="G4905" s="45"/>
      <c r="L4905" s="8"/>
    </row>
    <row r="4906" spans="7:12" x14ac:dyDescent="0.2">
      <c r="G4906" s="45"/>
      <c r="L4906" s="8"/>
    </row>
    <row r="4907" spans="7:12" x14ac:dyDescent="0.2">
      <c r="G4907" s="45"/>
      <c r="L4907" s="8"/>
    </row>
    <row r="4908" spans="7:12" x14ac:dyDescent="0.2">
      <c r="G4908" s="45"/>
      <c r="L4908" s="8"/>
    </row>
    <row r="4909" spans="7:12" x14ac:dyDescent="0.2">
      <c r="G4909" s="45"/>
      <c r="L4909" s="8"/>
    </row>
    <row r="4910" spans="7:12" x14ac:dyDescent="0.2">
      <c r="G4910" s="45"/>
      <c r="L4910" s="8"/>
    </row>
    <row r="4911" spans="7:12" x14ac:dyDescent="0.2">
      <c r="G4911" s="45"/>
      <c r="L4911" s="8"/>
    </row>
    <row r="4912" spans="7:12" x14ac:dyDescent="0.2">
      <c r="G4912" s="45"/>
      <c r="L4912" s="8"/>
    </row>
    <row r="4913" spans="7:12" x14ac:dyDescent="0.2">
      <c r="G4913" s="45"/>
      <c r="L4913" s="8"/>
    </row>
    <row r="4914" spans="7:12" x14ac:dyDescent="0.2">
      <c r="G4914" s="45"/>
      <c r="L4914" s="8"/>
    </row>
    <row r="4915" spans="7:12" x14ac:dyDescent="0.2">
      <c r="G4915" s="45"/>
      <c r="L4915" s="8"/>
    </row>
    <row r="4916" spans="7:12" x14ac:dyDescent="0.2">
      <c r="G4916" s="45"/>
      <c r="L4916" s="8"/>
    </row>
    <row r="4917" spans="7:12" x14ac:dyDescent="0.2">
      <c r="G4917" s="45"/>
      <c r="L4917" s="8"/>
    </row>
    <row r="4918" spans="7:12" x14ac:dyDescent="0.2">
      <c r="G4918" s="45"/>
      <c r="L4918" s="8"/>
    </row>
    <row r="4919" spans="7:12" x14ac:dyDescent="0.2">
      <c r="G4919" s="45"/>
      <c r="L4919" s="8"/>
    </row>
    <row r="4920" spans="7:12" x14ac:dyDescent="0.2">
      <c r="G4920" s="45"/>
      <c r="L4920" s="8"/>
    </row>
    <row r="4921" spans="7:12" x14ac:dyDescent="0.2">
      <c r="G4921" s="45"/>
      <c r="L4921" s="8"/>
    </row>
    <row r="4922" spans="7:12" x14ac:dyDescent="0.2">
      <c r="G4922" s="45"/>
      <c r="L4922" s="8"/>
    </row>
    <row r="4923" spans="7:12" x14ac:dyDescent="0.2">
      <c r="G4923" s="45"/>
      <c r="L4923" s="8"/>
    </row>
    <row r="4924" spans="7:12" x14ac:dyDescent="0.2">
      <c r="G4924" s="45"/>
      <c r="L4924" s="8"/>
    </row>
    <row r="4925" spans="7:12" x14ac:dyDescent="0.2">
      <c r="G4925" s="45"/>
      <c r="L4925" s="8"/>
    </row>
    <row r="4926" spans="7:12" x14ac:dyDescent="0.2">
      <c r="G4926" s="45"/>
      <c r="L4926" s="8"/>
    </row>
    <row r="4927" spans="7:12" x14ac:dyDescent="0.2">
      <c r="G4927" s="45"/>
      <c r="L4927" s="8"/>
    </row>
    <row r="4928" spans="7:12" x14ac:dyDescent="0.2">
      <c r="G4928" s="45"/>
      <c r="L4928" s="8"/>
    </row>
    <row r="4929" spans="7:12" x14ac:dyDescent="0.2">
      <c r="G4929" s="45"/>
      <c r="L4929" s="8"/>
    </row>
    <row r="4930" spans="7:12" x14ac:dyDescent="0.2">
      <c r="G4930" s="45"/>
      <c r="L4930" s="8"/>
    </row>
    <row r="4931" spans="7:12" x14ac:dyDescent="0.2">
      <c r="G4931" s="45"/>
      <c r="L4931" s="8"/>
    </row>
    <row r="4932" spans="7:12" x14ac:dyDescent="0.2">
      <c r="G4932" s="45"/>
      <c r="L4932" s="8"/>
    </row>
    <row r="4933" spans="7:12" x14ac:dyDescent="0.2">
      <c r="G4933" s="45"/>
      <c r="L4933" s="8"/>
    </row>
    <row r="4934" spans="7:12" x14ac:dyDescent="0.2">
      <c r="G4934" s="45"/>
      <c r="L4934" s="8"/>
    </row>
    <row r="4935" spans="7:12" x14ac:dyDescent="0.2">
      <c r="G4935" s="45"/>
      <c r="L4935" s="8"/>
    </row>
    <row r="4936" spans="7:12" x14ac:dyDescent="0.2">
      <c r="G4936" s="45"/>
      <c r="L4936" s="8"/>
    </row>
    <row r="4937" spans="7:12" x14ac:dyDescent="0.2">
      <c r="G4937" s="45"/>
      <c r="L4937" s="8"/>
    </row>
    <row r="4938" spans="7:12" x14ac:dyDescent="0.2">
      <c r="G4938" s="45"/>
      <c r="L4938" s="8"/>
    </row>
    <row r="4939" spans="7:12" x14ac:dyDescent="0.2">
      <c r="G4939" s="45"/>
      <c r="L4939" s="8"/>
    </row>
    <row r="4940" spans="7:12" x14ac:dyDescent="0.2">
      <c r="G4940" s="45"/>
      <c r="L4940" s="8"/>
    </row>
    <row r="4941" spans="7:12" x14ac:dyDescent="0.2">
      <c r="G4941" s="45"/>
      <c r="L4941" s="8"/>
    </row>
    <row r="4942" spans="7:12" x14ac:dyDescent="0.2">
      <c r="G4942" s="45"/>
      <c r="L4942" s="8"/>
    </row>
    <row r="4943" spans="7:12" x14ac:dyDescent="0.2">
      <c r="G4943" s="45"/>
      <c r="L4943" s="8"/>
    </row>
    <row r="4944" spans="7:12" x14ac:dyDescent="0.2">
      <c r="G4944" s="45"/>
      <c r="L4944" s="8"/>
    </row>
    <row r="4945" spans="7:12" x14ac:dyDescent="0.2">
      <c r="G4945" s="45"/>
      <c r="L4945" s="8"/>
    </row>
    <row r="4946" spans="7:12" x14ac:dyDescent="0.2">
      <c r="G4946" s="45"/>
      <c r="L4946" s="8"/>
    </row>
    <row r="4947" spans="7:12" x14ac:dyDescent="0.2">
      <c r="G4947" s="45"/>
      <c r="L4947" s="8"/>
    </row>
    <row r="4948" spans="7:12" x14ac:dyDescent="0.2">
      <c r="G4948" s="45"/>
      <c r="L4948" s="8"/>
    </row>
    <row r="4949" spans="7:12" x14ac:dyDescent="0.2">
      <c r="G4949" s="45"/>
      <c r="L4949" s="8"/>
    </row>
    <row r="4950" spans="7:12" x14ac:dyDescent="0.2">
      <c r="G4950" s="45"/>
      <c r="L4950" s="8"/>
    </row>
    <row r="4951" spans="7:12" x14ac:dyDescent="0.2">
      <c r="G4951" s="45"/>
      <c r="L4951" s="8"/>
    </row>
    <row r="4952" spans="7:12" x14ac:dyDescent="0.2">
      <c r="G4952" s="45"/>
      <c r="L4952" s="8"/>
    </row>
    <row r="4953" spans="7:12" x14ac:dyDescent="0.2">
      <c r="G4953" s="45"/>
      <c r="L4953" s="8"/>
    </row>
    <row r="4954" spans="7:12" x14ac:dyDescent="0.2">
      <c r="G4954" s="45"/>
      <c r="L4954" s="8"/>
    </row>
    <row r="4955" spans="7:12" x14ac:dyDescent="0.2">
      <c r="G4955" s="45"/>
      <c r="L4955" s="8"/>
    </row>
    <row r="4956" spans="7:12" x14ac:dyDescent="0.2">
      <c r="G4956" s="45"/>
      <c r="L4956" s="8"/>
    </row>
    <row r="4957" spans="7:12" x14ac:dyDescent="0.2">
      <c r="G4957" s="45"/>
      <c r="L4957" s="8"/>
    </row>
    <row r="4958" spans="7:12" x14ac:dyDescent="0.2">
      <c r="G4958" s="45"/>
      <c r="L4958" s="8"/>
    </row>
    <row r="4959" spans="7:12" x14ac:dyDescent="0.2">
      <c r="G4959" s="45"/>
      <c r="L4959" s="8"/>
    </row>
    <row r="4960" spans="7:12" x14ac:dyDescent="0.2">
      <c r="G4960" s="45"/>
      <c r="L4960" s="8"/>
    </row>
    <row r="4961" spans="7:12" x14ac:dyDescent="0.2">
      <c r="G4961" s="45"/>
      <c r="L4961" s="8"/>
    </row>
    <row r="4962" spans="7:12" x14ac:dyDescent="0.2">
      <c r="G4962" s="45"/>
      <c r="L4962" s="8"/>
    </row>
    <row r="4963" spans="7:12" x14ac:dyDescent="0.2">
      <c r="G4963" s="45"/>
      <c r="L4963" s="8"/>
    </row>
    <row r="4964" spans="7:12" x14ac:dyDescent="0.2">
      <c r="G4964" s="45"/>
      <c r="L4964" s="8"/>
    </row>
    <row r="4965" spans="7:12" x14ac:dyDescent="0.2">
      <c r="G4965" s="45"/>
      <c r="L4965" s="8"/>
    </row>
    <row r="4966" spans="7:12" x14ac:dyDescent="0.2">
      <c r="G4966" s="45"/>
      <c r="L4966" s="8"/>
    </row>
    <row r="4967" spans="7:12" x14ac:dyDescent="0.2">
      <c r="G4967" s="45"/>
      <c r="L4967" s="8"/>
    </row>
    <row r="4968" spans="7:12" x14ac:dyDescent="0.2">
      <c r="G4968" s="45"/>
      <c r="L4968" s="8"/>
    </row>
    <row r="4969" spans="7:12" x14ac:dyDescent="0.2">
      <c r="G4969" s="45"/>
      <c r="L4969" s="8"/>
    </row>
    <row r="4970" spans="7:12" x14ac:dyDescent="0.2">
      <c r="G4970" s="45"/>
      <c r="L4970" s="8"/>
    </row>
    <row r="4971" spans="7:12" x14ac:dyDescent="0.2">
      <c r="G4971" s="45"/>
      <c r="L4971" s="8"/>
    </row>
    <row r="4972" spans="7:12" x14ac:dyDescent="0.2">
      <c r="G4972" s="45"/>
      <c r="L4972" s="8"/>
    </row>
    <row r="4973" spans="7:12" x14ac:dyDescent="0.2">
      <c r="G4973" s="45"/>
      <c r="L4973" s="8"/>
    </row>
    <row r="4974" spans="7:12" x14ac:dyDescent="0.2">
      <c r="G4974" s="45"/>
      <c r="L4974" s="8"/>
    </row>
    <row r="4975" spans="7:12" x14ac:dyDescent="0.2">
      <c r="G4975" s="45"/>
      <c r="L4975" s="8"/>
    </row>
    <row r="4976" spans="7:12" x14ac:dyDescent="0.2">
      <c r="G4976" s="45"/>
      <c r="L4976" s="8"/>
    </row>
    <row r="4977" spans="7:12" x14ac:dyDescent="0.2">
      <c r="G4977" s="45"/>
      <c r="L4977" s="8"/>
    </row>
    <row r="4978" spans="7:12" x14ac:dyDescent="0.2">
      <c r="G4978" s="45"/>
      <c r="L4978" s="8"/>
    </row>
    <row r="4979" spans="7:12" x14ac:dyDescent="0.2">
      <c r="G4979" s="45"/>
      <c r="L4979" s="8"/>
    </row>
    <row r="4980" spans="7:12" x14ac:dyDescent="0.2">
      <c r="G4980" s="45"/>
      <c r="L4980" s="8"/>
    </row>
    <row r="4981" spans="7:12" x14ac:dyDescent="0.2">
      <c r="G4981" s="45"/>
      <c r="L4981" s="8"/>
    </row>
    <row r="4982" spans="7:12" x14ac:dyDescent="0.2">
      <c r="G4982" s="45"/>
      <c r="L4982" s="8"/>
    </row>
    <row r="4983" spans="7:12" x14ac:dyDescent="0.2">
      <c r="G4983" s="45"/>
      <c r="L4983" s="8"/>
    </row>
    <row r="4984" spans="7:12" x14ac:dyDescent="0.2">
      <c r="G4984" s="45"/>
      <c r="L4984" s="8"/>
    </row>
    <row r="4985" spans="7:12" x14ac:dyDescent="0.2">
      <c r="G4985" s="45"/>
      <c r="L4985" s="8"/>
    </row>
    <row r="4986" spans="7:12" x14ac:dyDescent="0.2">
      <c r="G4986" s="45"/>
      <c r="L4986" s="8"/>
    </row>
    <row r="4987" spans="7:12" x14ac:dyDescent="0.2">
      <c r="G4987" s="45"/>
      <c r="L4987" s="8"/>
    </row>
    <row r="4988" spans="7:12" x14ac:dyDescent="0.2">
      <c r="G4988" s="45"/>
      <c r="L4988" s="8"/>
    </row>
    <row r="4989" spans="7:12" x14ac:dyDescent="0.2">
      <c r="G4989" s="45"/>
      <c r="L4989" s="8"/>
    </row>
    <row r="4990" spans="7:12" x14ac:dyDescent="0.2">
      <c r="G4990" s="45"/>
      <c r="L4990" s="8"/>
    </row>
    <row r="4991" spans="7:12" x14ac:dyDescent="0.2">
      <c r="G4991" s="45"/>
      <c r="L4991" s="8"/>
    </row>
    <row r="4992" spans="7:12" x14ac:dyDescent="0.2">
      <c r="G4992" s="45"/>
      <c r="L4992" s="8"/>
    </row>
    <row r="4993" spans="7:12" x14ac:dyDescent="0.2">
      <c r="G4993" s="45"/>
      <c r="L4993" s="8"/>
    </row>
    <row r="4994" spans="7:12" x14ac:dyDescent="0.2">
      <c r="G4994" s="45"/>
      <c r="L4994" s="8"/>
    </row>
    <row r="4995" spans="7:12" x14ac:dyDescent="0.2">
      <c r="G4995" s="45"/>
      <c r="L4995" s="8"/>
    </row>
    <row r="4996" spans="7:12" x14ac:dyDescent="0.2">
      <c r="G4996" s="45"/>
      <c r="L4996" s="8"/>
    </row>
    <row r="4997" spans="7:12" x14ac:dyDescent="0.2">
      <c r="G4997" s="45"/>
      <c r="L4997" s="8"/>
    </row>
    <row r="4998" spans="7:12" x14ac:dyDescent="0.2">
      <c r="G4998" s="45"/>
      <c r="L4998" s="8"/>
    </row>
    <row r="4999" spans="7:12" x14ac:dyDescent="0.2">
      <c r="G4999" s="45"/>
      <c r="L4999" s="8"/>
    </row>
    <row r="5000" spans="7:12" x14ac:dyDescent="0.2">
      <c r="G5000" s="45"/>
      <c r="L5000" s="8"/>
    </row>
    <row r="5001" spans="7:12" x14ac:dyDescent="0.2">
      <c r="G5001" s="45"/>
      <c r="L5001" s="8"/>
    </row>
    <row r="5002" spans="7:12" x14ac:dyDescent="0.2">
      <c r="G5002" s="45"/>
      <c r="L5002" s="8"/>
    </row>
    <row r="5003" spans="7:12" x14ac:dyDescent="0.2">
      <c r="G5003" s="45"/>
      <c r="L5003" s="8"/>
    </row>
    <row r="5004" spans="7:12" x14ac:dyDescent="0.2">
      <c r="G5004" s="45"/>
      <c r="L5004" s="8"/>
    </row>
    <row r="5005" spans="7:12" x14ac:dyDescent="0.2">
      <c r="G5005" s="45"/>
      <c r="L5005" s="8"/>
    </row>
    <row r="5006" spans="7:12" x14ac:dyDescent="0.2">
      <c r="G5006" s="45"/>
      <c r="L5006" s="8"/>
    </row>
    <row r="5007" spans="7:12" x14ac:dyDescent="0.2">
      <c r="G5007" s="45"/>
      <c r="L5007" s="8"/>
    </row>
    <row r="5008" spans="7:12" x14ac:dyDescent="0.2">
      <c r="G5008" s="45"/>
      <c r="L5008" s="8"/>
    </row>
    <row r="5009" spans="7:12" x14ac:dyDescent="0.2">
      <c r="G5009" s="45"/>
      <c r="L5009" s="8"/>
    </row>
    <row r="5010" spans="7:12" x14ac:dyDescent="0.2">
      <c r="G5010" s="45"/>
      <c r="L5010" s="8"/>
    </row>
    <row r="5011" spans="7:12" x14ac:dyDescent="0.2">
      <c r="G5011" s="45"/>
      <c r="L5011" s="8"/>
    </row>
    <row r="5012" spans="7:12" x14ac:dyDescent="0.2">
      <c r="G5012" s="45"/>
      <c r="L5012" s="8"/>
    </row>
    <row r="5013" spans="7:12" x14ac:dyDescent="0.2">
      <c r="G5013" s="45"/>
      <c r="L5013" s="8"/>
    </row>
    <row r="5014" spans="7:12" x14ac:dyDescent="0.2">
      <c r="G5014" s="45"/>
      <c r="L5014" s="8"/>
    </row>
    <row r="5015" spans="7:12" x14ac:dyDescent="0.2">
      <c r="G5015" s="45"/>
      <c r="L5015" s="8"/>
    </row>
    <row r="5016" spans="7:12" x14ac:dyDescent="0.2">
      <c r="G5016" s="45"/>
      <c r="L5016" s="8"/>
    </row>
    <row r="5017" spans="7:12" x14ac:dyDescent="0.2">
      <c r="G5017" s="45"/>
      <c r="L5017" s="8"/>
    </row>
    <row r="5018" spans="7:12" x14ac:dyDescent="0.2">
      <c r="G5018" s="45"/>
      <c r="L5018" s="8"/>
    </row>
    <row r="5019" spans="7:12" x14ac:dyDescent="0.2">
      <c r="G5019" s="45"/>
      <c r="L5019" s="8"/>
    </row>
    <row r="5020" spans="7:12" x14ac:dyDescent="0.2">
      <c r="G5020" s="45"/>
      <c r="L5020" s="8"/>
    </row>
    <row r="5021" spans="7:12" x14ac:dyDescent="0.2">
      <c r="G5021" s="45"/>
      <c r="L5021" s="8"/>
    </row>
    <row r="5022" spans="7:12" x14ac:dyDescent="0.2">
      <c r="G5022" s="45"/>
      <c r="L5022" s="8"/>
    </row>
    <row r="5023" spans="7:12" x14ac:dyDescent="0.2">
      <c r="G5023" s="45"/>
      <c r="L5023" s="8"/>
    </row>
    <row r="5024" spans="7:12" x14ac:dyDescent="0.2">
      <c r="G5024" s="45"/>
      <c r="L5024" s="8"/>
    </row>
    <row r="5025" spans="7:12" x14ac:dyDescent="0.2">
      <c r="G5025" s="45"/>
      <c r="L5025" s="8"/>
    </row>
    <row r="5026" spans="7:12" x14ac:dyDescent="0.2">
      <c r="G5026" s="45"/>
      <c r="L5026" s="8"/>
    </row>
    <row r="5027" spans="7:12" x14ac:dyDescent="0.2">
      <c r="G5027" s="45"/>
      <c r="L5027" s="8"/>
    </row>
    <row r="5028" spans="7:12" x14ac:dyDescent="0.2">
      <c r="G5028" s="45"/>
      <c r="L5028" s="8"/>
    </row>
    <row r="5029" spans="7:12" x14ac:dyDescent="0.2">
      <c r="G5029" s="45"/>
      <c r="L5029" s="8"/>
    </row>
    <row r="5030" spans="7:12" x14ac:dyDescent="0.2">
      <c r="G5030" s="45"/>
      <c r="L5030" s="8"/>
    </row>
    <row r="5031" spans="7:12" x14ac:dyDescent="0.2">
      <c r="G5031" s="45"/>
      <c r="L5031" s="8"/>
    </row>
    <row r="5032" spans="7:12" x14ac:dyDescent="0.2">
      <c r="G5032" s="45"/>
      <c r="L5032" s="8"/>
    </row>
    <row r="5033" spans="7:12" x14ac:dyDescent="0.2">
      <c r="G5033" s="45"/>
      <c r="L5033" s="8"/>
    </row>
    <row r="5034" spans="7:12" x14ac:dyDescent="0.2">
      <c r="G5034" s="45"/>
      <c r="L5034" s="8"/>
    </row>
    <row r="5035" spans="7:12" x14ac:dyDescent="0.2">
      <c r="G5035" s="45"/>
      <c r="L5035" s="8"/>
    </row>
    <row r="5036" spans="7:12" x14ac:dyDescent="0.2">
      <c r="G5036" s="45"/>
      <c r="L5036" s="8"/>
    </row>
    <row r="5037" spans="7:12" x14ac:dyDescent="0.2">
      <c r="G5037" s="45"/>
      <c r="L5037" s="8"/>
    </row>
    <row r="5038" spans="7:12" x14ac:dyDescent="0.2">
      <c r="G5038" s="45"/>
      <c r="L5038" s="8"/>
    </row>
    <row r="5039" spans="7:12" x14ac:dyDescent="0.2">
      <c r="G5039" s="45"/>
      <c r="L5039" s="8"/>
    </row>
    <row r="5040" spans="7:12" x14ac:dyDescent="0.2">
      <c r="G5040" s="45"/>
      <c r="L5040" s="8"/>
    </row>
    <row r="5041" spans="7:12" x14ac:dyDescent="0.2">
      <c r="G5041" s="45"/>
      <c r="L5041" s="8"/>
    </row>
    <row r="5042" spans="7:12" x14ac:dyDescent="0.2">
      <c r="G5042" s="45"/>
      <c r="L5042" s="8"/>
    </row>
    <row r="5043" spans="7:12" x14ac:dyDescent="0.2">
      <c r="G5043" s="45"/>
      <c r="L5043" s="8"/>
    </row>
    <row r="5044" spans="7:12" x14ac:dyDescent="0.2">
      <c r="G5044" s="45"/>
      <c r="L5044" s="8"/>
    </row>
    <row r="5045" spans="7:12" x14ac:dyDescent="0.2">
      <c r="G5045" s="45"/>
      <c r="L5045" s="8"/>
    </row>
    <row r="5046" spans="7:12" x14ac:dyDescent="0.2">
      <c r="G5046" s="45"/>
      <c r="L5046" s="8"/>
    </row>
    <row r="5047" spans="7:12" x14ac:dyDescent="0.2">
      <c r="G5047" s="45"/>
      <c r="L5047" s="8"/>
    </row>
    <row r="5048" spans="7:12" x14ac:dyDescent="0.2">
      <c r="G5048" s="45"/>
      <c r="L5048" s="8"/>
    </row>
    <row r="5049" spans="7:12" x14ac:dyDescent="0.2">
      <c r="G5049" s="45"/>
      <c r="L5049" s="8"/>
    </row>
    <row r="5050" spans="7:12" x14ac:dyDescent="0.2">
      <c r="G5050" s="45"/>
      <c r="L5050" s="8"/>
    </row>
    <row r="5051" spans="7:12" x14ac:dyDescent="0.2">
      <c r="G5051" s="45"/>
      <c r="L5051" s="8"/>
    </row>
    <row r="5052" spans="7:12" x14ac:dyDescent="0.2">
      <c r="G5052" s="45"/>
      <c r="L5052" s="8"/>
    </row>
    <row r="5053" spans="7:12" x14ac:dyDescent="0.2">
      <c r="G5053" s="45"/>
      <c r="L5053" s="8"/>
    </row>
    <row r="5054" spans="7:12" x14ac:dyDescent="0.2">
      <c r="G5054" s="45"/>
      <c r="L5054" s="8"/>
    </row>
    <row r="5055" spans="7:12" x14ac:dyDescent="0.2">
      <c r="G5055" s="45"/>
      <c r="L5055" s="8"/>
    </row>
    <row r="5056" spans="7:12" x14ac:dyDescent="0.2">
      <c r="G5056" s="45"/>
      <c r="L5056" s="8"/>
    </row>
    <row r="5057" spans="7:12" x14ac:dyDescent="0.2">
      <c r="G5057" s="45"/>
      <c r="L5057" s="8"/>
    </row>
    <row r="5058" spans="7:12" x14ac:dyDescent="0.2">
      <c r="G5058" s="45"/>
      <c r="L5058" s="8"/>
    </row>
    <row r="5059" spans="7:12" x14ac:dyDescent="0.2">
      <c r="G5059" s="45"/>
      <c r="L5059" s="8"/>
    </row>
    <row r="5060" spans="7:12" x14ac:dyDescent="0.2">
      <c r="G5060" s="45"/>
      <c r="L5060" s="8"/>
    </row>
    <row r="5061" spans="7:12" x14ac:dyDescent="0.2">
      <c r="G5061" s="45"/>
      <c r="L5061" s="8"/>
    </row>
    <row r="5062" spans="7:12" x14ac:dyDescent="0.2">
      <c r="G5062" s="45"/>
      <c r="L5062" s="8"/>
    </row>
    <row r="5063" spans="7:12" x14ac:dyDescent="0.2">
      <c r="G5063" s="45"/>
      <c r="L5063" s="8"/>
    </row>
    <row r="5064" spans="7:12" x14ac:dyDescent="0.2">
      <c r="G5064" s="45"/>
      <c r="L5064" s="8"/>
    </row>
    <row r="5065" spans="7:12" x14ac:dyDescent="0.2">
      <c r="G5065" s="45"/>
      <c r="L5065" s="8"/>
    </row>
    <row r="5066" spans="7:12" x14ac:dyDescent="0.2">
      <c r="G5066" s="45"/>
      <c r="L5066" s="8"/>
    </row>
    <row r="5067" spans="7:12" x14ac:dyDescent="0.2">
      <c r="G5067" s="45"/>
      <c r="L5067" s="8"/>
    </row>
    <row r="5068" spans="7:12" x14ac:dyDescent="0.2">
      <c r="G5068" s="45"/>
      <c r="L5068" s="8"/>
    </row>
    <row r="5069" spans="7:12" x14ac:dyDescent="0.2">
      <c r="G5069" s="45"/>
      <c r="L5069" s="8"/>
    </row>
    <row r="5070" spans="7:12" x14ac:dyDescent="0.2">
      <c r="G5070" s="45"/>
      <c r="L5070" s="8"/>
    </row>
    <row r="5071" spans="7:12" x14ac:dyDescent="0.2">
      <c r="G5071" s="45"/>
      <c r="L5071" s="8"/>
    </row>
    <row r="5072" spans="7:12" x14ac:dyDescent="0.2">
      <c r="G5072" s="45"/>
      <c r="L5072" s="8"/>
    </row>
    <row r="5073" spans="7:12" x14ac:dyDescent="0.2">
      <c r="G5073" s="45"/>
      <c r="L5073" s="8"/>
    </row>
    <row r="5074" spans="7:12" x14ac:dyDescent="0.2">
      <c r="G5074" s="45"/>
      <c r="L5074" s="8"/>
    </row>
    <row r="5075" spans="7:12" x14ac:dyDescent="0.2">
      <c r="G5075" s="45"/>
      <c r="L5075" s="8"/>
    </row>
    <row r="5076" spans="7:12" x14ac:dyDescent="0.2">
      <c r="G5076" s="45"/>
      <c r="L5076" s="8"/>
    </row>
    <row r="5077" spans="7:12" x14ac:dyDescent="0.2">
      <c r="G5077" s="45"/>
      <c r="L5077" s="8"/>
    </row>
    <row r="5078" spans="7:12" x14ac:dyDescent="0.2">
      <c r="G5078" s="45"/>
      <c r="L5078" s="8"/>
    </row>
    <row r="5079" spans="7:12" x14ac:dyDescent="0.2">
      <c r="G5079" s="45"/>
      <c r="L5079" s="8"/>
    </row>
    <row r="5080" spans="7:12" x14ac:dyDescent="0.2">
      <c r="G5080" s="45"/>
      <c r="L5080" s="8"/>
    </row>
    <row r="5081" spans="7:12" x14ac:dyDescent="0.2">
      <c r="G5081" s="45"/>
      <c r="L5081" s="8"/>
    </row>
    <row r="5082" spans="7:12" x14ac:dyDescent="0.2">
      <c r="G5082" s="45"/>
      <c r="L5082" s="8"/>
    </row>
    <row r="5083" spans="7:12" x14ac:dyDescent="0.2">
      <c r="G5083" s="45"/>
      <c r="L5083" s="8"/>
    </row>
    <row r="5084" spans="7:12" x14ac:dyDescent="0.2">
      <c r="G5084" s="45"/>
      <c r="L5084" s="8"/>
    </row>
    <row r="5085" spans="7:12" x14ac:dyDescent="0.2">
      <c r="G5085" s="45"/>
      <c r="L5085" s="8"/>
    </row>
    <row r="5086" spans="7:12" x14ac:dyDescent="0.2">
      <c r="G5086" s="45"/>
      <c r="L5086" s="8"/>
    </row>
    <row r="5087" spans="7:12" x14ac:dyDescent="0.2">
      <c r="G5087" s="45"/>
      <c r="L5087" s="8"/>
    </row>
    <row r="5088" spans="7:12" x14ac:dyDescent="0.2">
      <c r="G5088" s="45"/>
      <c r="L5088" s="8"/>
    </row>
    <row r="5089" spans="7:12" x14ac:dyDescent="0.2">
      <c r="G5089" s="45"/>
      <c r="L5089" s="8"/>
    </row>
    <row r="5090" spans="7:12" x14ac:dyDescent="0.2">
      <c r="G5090" s="45"/>
      <c r="L5090" s="8"/>
    </row>
    <row r="5091" spans="7:12" x14ac:dyDescent="0.2">
      <c r="G5091" s="45"/>
      <c r="L5091" s="8"/>
    </row>
    <row r="5092" spans="7:12" x14ac:dyDescent="0.2">
      <c r="G5092" s="45"/>
      <c r="L5092" s="8"/>
    </row>
    <row r="5093" spans="7:12" x14ac:dyDescent="0.2">
      <c r="G5093" s="45"/>
      <c r="L5093" s="8"/>
    </row>
    <row r="5094" spans="7:12" x14ac:dyDescent="0.2">
      <c r="G5094" s="45"/>
      <c r="L5094" s="8"/>
    </row>
    <row r="5095" spans="7:12" x14ac:dyDescent="0.2">
      <c r="G5095" s="45"/>
      <c r="L5095" s="8"/>
    </row>
    <row r="5096" spans="7:12" x14ac:dyDescent="0.2">
      <c r="G5096" s="45"/>
      <c r="L5096" s="8"/>
    </row>
    <row r="5097" spans="7:12" x14ac:dyDescent="0.2">
      <c r="G5097" s="45"/>
      <c r="L5097" s="8"/>
    </row>
    <row r="5098" spans="7:12" x14ac:dyDescent="0.2">
      <c r="G5098" s="45"/>
      <c r="L5098" s="8"/>
    </row>
    <row r="5099" spans="7:12" x14ac:dyDescent="0.2">
      <c r="G5099" s="45"/>
      <c r="L5099" s="8"/>
    </row>
    <row r="5100" spans="7:12" x14ac:dyDescent="0.2">
      <c r="G5100" s="45"/>
      <c r="L5100" s="8"/>
    </row>
    <row r="5101" spans="7:12" x14ac:dyDescent="0.2">
      <c r="G5101" s="45"/>
      <c r="L5101" s="8"/>
    </row>
    <row r="5102" spans="7:12" x14ac:dyDescent="0.2">
      <c r="G5102" s="45"/>
      <c r="L5102" s="8"/>
    </row>
    <row r="5103" spans="7:12" x14ac:dyDescent="0.2">
      <c r="G5103" s="45"/>
      <c r="L5103" s="8"/>
    </row>
    <row r="5104" spans="7:12" x14ac:dyDescent="0.2">
      <c r="G5104" s="45"/>
      <c r="L5104" s="8"/>
    </row>
    <row r="5105" spans="7:12" x14ac:dyDescent="0.2">
      <c r="G5105" s="45"/>
      <c r="L5105" s="8"/>
    </row>
    <row r="5106" spans="7:12" x14ac:dyDescent="0.2">
      <c r="G5106" s="45"/>
      <c r="L5106" s="8"/>
    </row>
    <row r="5107" spans="7:12" x14ac:dyDescent="0.2">
      <c r="G5107" s="45"/>
      <c r="L5107" s="8"/>
    </row>
    <row r="5108" spans="7:12" x14ac:dyDescent="0.2">
      <c r="G5108" s="45"/>
      <c r="L5108" s="8"/>
    </row>
    <row r="5109" spans="7:12" x14ac:dyDescent="0.2">
      <c r="G5109" s="45"/>
      <c r="L5109" s="8"/>
    </row>
    <row r="5110" spans="7:12" x14ac:dyDescent="0.2">
      <c r="G5110" s="45"/>
      <c r="L5110" s="8"/>
    </row>
    <row r="5111" spans="7:12" x14ac:dyDescent="0.2">
      <c r="G5111" s="45"/>
      <c r="L5111" s="8"/>
    </row>
    <row r="5112" spans="7:12" x14ac:dyDescent="0.2">
      <c r="G5112" s="45"/>
      <c r="L5112" s="8"/>
    </row>
    <row r="5113" spans="7:12" x14ac:dyDescent="0.2">
      <c r="G5113" s="45"/>
      <c r="L5113" s="8"/>
    </row>
    <row r="5114" spans="7:12" x14ac:dyDescent="0.2">
      <c r="G5114" s="45"/>
      <c r="L5114" s="8"/>
    </row>
    <row r="5115" spans="7:12" x14ac:dyDescent="0.2">
      <c r="G5115" s="45"/>
      <c r="L5115" s="8"/>
    </row>
    <row r="5116" spans="7:12" x14ac:dyDescent="0.2">
      <c r="G5116" s="45"/>
      <c r="L5116" s="8"/>
    </row>
    <row r="5117" spans="7:12" x14ac:dyDescent="0.2">
      <c r="G5117" s="45"/>
      <c r="L5117" s="8"/>
    </row>
    <row r="5118" spans="7:12" x14ac:dyDescent="0.2">
      <c r="G5118" s="45"/>
      <c r="L5118" s="8"/>
    </row>
    <row r="5119" spans="7:12" x14ac:dyDescent="0.2">
      <c r="G5119" s="45"/>
      <c r="L5119" s="8"/>
    </row>
    <row r="5120" spans="7:12" x14ac:dyDescent="0.2">
      <c r="G5120" s="45"/>
      <c r="L5120" s="8"/>
    </row>
    <row r="5121" spans="7:12" x14ac:dyDescent="0.2">
      <c r="G5121" s="45"/>
      <c r="L5121" s="8"/>
    </row>
    <row r="5122" spans="7:12" x14ac:dyDescent="0.2">
      <c r="G5122" s="45"/>
      <c r="L5122" s="8"/>
    </row>
    <row r="5123" spans="7:12" x14ac:dyDescent="0.2">
      <c r="G5123" s="45"/>
      <c r="L5123" s="8"/>
    </row>
    <row r="5124" spans="7:12" x14ac:dyDescent="0.2">
      <c r="G5124" s="45"/>
      <c r="L5124" s="8"/>
    </row>
    <row r="5125" spans="7:12" x14ac:dyDescent="0.2">
      <c r="G5125" s="45"/>
      <c r="L5125" s="8"/>
    </row>
    <row r="5126" spans="7:12" x14ac:dyDescent="0.2">
      <c r="G5126" s="45"/>
      <c r="L5126" s="8"/>
    </row>
    <row r="5127" spans="7:12" x14ac:dyDescent="0.2">
      <c r="G5127" s="45"/>
      <c r="L5127" s="8"/>
    </row>
    <row r="5128" spans="7:12" x14ac:dyDescent="0.2">
      <c r="G5128" s="45"/>
      <c r="L5128" s="8"/>
    </row>
    <row r="5129" spans="7:12" x14ac:dyDescent="0.2">
      <c r="G5129" s="45"/>
      <c r="L5129" s="8"/>
    </row>
    <row r="5130" spans="7:12" x14ac:dyDescent="0.2">
      <c r="G5130" s="45"/>
      <c r="L5130" s="8"/>
    </row>
    <row r="5131" spans="7:12" x14ac:dyDescent="0.2">
      <c r="G5131" s="45"/>
      <c r="L5131" s="8"/>
    </row>
    <row r="5132" spans="7:12" x14ac:dyDescent="0.2">
      <c r="G5132" s="45"/>
      <c r="L5132" s="8"/>
    </row>
    <row r="5133" spans="7:12" x14ac:dyDescent="0.2">
      <c r="G5133" s="45"/>
      <c r="L5133" s="8"/>
    </row>
    <row r="5134" spans="7:12" x14ac:dyDescent="0.2">
      <c r="G5134" s="45"/>
      <c r="L5134" s="8"/>
    </row>
    <row r="5135" spans="7:12" x14ac:dyDescent="0.2">
      <c r="G5135" s="45"/>
      <c r="L5135" s="8"/>
    </row>
    <row r="5136" spans="7:12" x14ac:dyDescent="0.2">
      <c r="G5136" s="45"/>
      <c r="L5136" s="8"/>
    </row>
    <row r="5137" spans="7:12" x14ac:dyDescent="0.2">
      <c r="G5137" s="45"/>
      <c r="L5137" s="8"/>
    </row>
    <row r="5138" spans="7:12" x14ac:dyDescent="0.2">
      <c r="G5138" s="45"/>
      <c r="L5138" s="8"/>
    </row>
    <row r="5139" spans="7:12" x14ac:dyDescent="0.2">
      <c r="G5139" s="45"/>
      <c r="L5139" s="8"/>
    </row>
    <row r="5140" spans="7:12" x14ac:dyDescent="0.2">
      <c r="G5140" s="45"/>
      <c r="L5140" s="8"/>
    </row>
    <row r="5141" spans="7:12" x14ac:dyDescent="0.2">
      <c r="G5141" s="45"/>
      <c r="L5141" s="8"/>
    </row>
    <row r="5142" spans="7:12" x14ac:dyDescent="0.2">
      <c r="G5142" s="45"/>
      <c r="L5142" s="8"/>
    </row>
    <row r="5143" spans="7:12" x14ac:dyDescent="0.2">
      <c r="G5143" s="45"/>
      <c r="L5143" s="8"/>
    </row>
    <row r="5144" spans="7:12" x14ac:dyDescent="0.2">
      <c r="G5144" s="45"/>
      <c r="L5144" s="8"/>
    </row>
    <row r="5145" spans="7:12" x14ac:dyDescent="0.2">
      <c r="G5145" s="45"/>
      <c r="L5145" s="8"/>
    </row>
    <row r="5146" spans="7:12" x14ac:dyDescent="0.2">
      <c r="G5146" s="45"/>
      <c r="L5146" s="8"/>
    </row>
    <row r="5147" spans="7:12" x14ac:dyDescent="0.2">
      <c r="G5147" s="45"/>
      <c r="L5147" s="8"/>
    </row>
    <row r="5148" spans="7:12" x14ac:dyDescent="0.2">
      <c r="G5148" s="45"/>
      <c r="L5148" s="8"/>
    </row>
    <row r="5149" spans="7:12" x14ac:dyDescent="0.2">
      <c r="G5149" s="45"/>
      <c r="L5149" s="8"/>
    </row>
    <row r="5150" spans="7:12" x14ac:dyDescent="0.2">
      <c r="G5150" s="45"/>
      <c r="L5150" s="8"/>
    </row>
    <row r="5151" spans="7:12" x14ac:dyDescent="0.2">
      <c r="G5151" s="45"/>
      <c r="L5151" s="8"/>
    </row>
    <row r="5152" spans="7:12" x14ac:dyDescent="0.2">
      <c r="G5152" s="45"/>
      <c r="L5152" s="8"/>
    </row>
    <row r="5153" spans="7:12" x14ac:dyDescent="0.2">
      <c r="G5153" s="45"/>
      <c r="L5153" s="8"/>
    </row>
    <row r="5154" spans="7:12" x14ac:dyDescent="0.2">
      <c r="G5154" s="45"/>
      <c r="L5154" s="8"/>
    </row>
    <row r="5155" spans="7:12" x14ac:dyDescent="0.2">
      <c r="G5155" s="45"/>
      <c r="L5155" s="8"/>
    </row>
    <row r="5156" spans="7:12" x14ac:dyDescent="0.2">
      <c r="G5156" s="45"/>
      <c r="L5156" s="8"/>
    </row>
    <row r="5157" spans="7:12" x14ac:dyDescent="0.2">
      <c r="G5157" s="45"/>
      <c r="L5157" s="8"/>
    </row>
    <row r="5158" spans="7:12" x14ac:dyDescent="0.2">
      <c r="G5158" s="45"/>
      <c r="L5158" s="8"/>
    </row>
    <row r="5159" spans="7:12" x14ac:dyDescent="0.2">
      <c r="G5159" s="45"/>
      <c r="L5159" s="8"/>
    </row>
    <row r="5160" spans="7:12" x14ac:dyDescent="0.2">
      <c r="G5160" s="45"/>
      <c r="L5160" s="8"/>
    </row>
    <row r="5161" spans="7:12" x14ac:dyDescent="0.2">
      <c r="G5161" s="45"/>
      <c r="L5161" s="8"/>
    </row>
    <row r="5162" spans="7:12" x14ac:dyDescent="0.2">
      <c r="G5162" s="45"/>
      <c r="L5162" s="8"/>
    </row>
    <row r="5163" spans="7:12" x14ac:dyDescent="0.2">
      <c r="G5163" s="45"/>
      <c r="L5163" s="8"/>
    </row>
    <row r="5164" spans="7:12" x14ac:dyDescent="0.2">
      <c r="G5164" s="45"/>
      <c r="L5164" s="8"/>
    </row>
    <row r="5165" spans="7:12" x14ac:dyDescent="0.2">
      <c r="G5165" s="45"/>
      <c r="L5165" s="8"/>
    </row>
    <row r="5166" spans="7:12" x14ac:dyDescent="0.2">
      <c r="G5166" s="45"/>
      <c r="L5166" s="8"/>
    </row>
    <row r="5167" spans="7:12" x14ac:dyDescent="0.2">
      <c r="G5167" s="45"/>
      <c r="L5167" s="8"/>
    </row>
    <row r="5168" spans="7:12" x14ac:dyDescent="0.2">
      <c r="G5168" s="45"/>
      <c r="L5168" s="8"/>
    </row>
    <row r="5169" spans="7:12" x14ac:dyDescent="0.2">
      <c r="G5169" s="45"/>
      <c r="L5169" s="8"/>
    </row>
    <row r="5170" spans="7:12" x14ac:dyDescent="0.2">
      <c r="G5170" s="45"/>
      <c r="L5170" s="8"/>
    </row>
    <row r="5171" spans="7:12" x14ac:dyDescent="0.2">
      <c r="G5171" s="45"/>
      <c r="L5171" s="8"/>
    </row>
    <row r="5172" spans="7:12" x14ac:dyDescent="0.2">
      <c r="G5172" s="45"/>
      <c r="L5172" s="8"/>
    </row>
    <row r="5173" spans="7:12" x14ac:dyDescent="0.2">
      <c r="G5173" s="45"/>
      <c r="L5173" s="8"/>
    </row>
    <row r="5174" spans="7:12" x14ac:dyDescent="0.2">
      <c r="G5174" s="45"/>
      <c r="L5174" s="8"/>
    </row>
    <row r="5175" spans="7:12" x14ac:dyDescent="0.2">
      <c r="G5175" s="45"/>
      <c r="L5175" s="8"/>
    </row>
    <row r="5176" spans="7:12" x14ac:dyDescent="0.2">
      <c r="G5176" s="45"/>
      <c r="L5176" s="8"/>
    </row>
    <row r="5177" spans="7:12" x14ac:dyDescent="0.2">
      <c r="G5177" s="45"/>
      <c r="L5177" s="8"/>
    </row>
    <row r="5178" spans="7:12" x14ac:dyDescent="0.2">
      <c r="G5178" s="45"/>
      <c r="L5178" s="8"/>
    </row>
    <row r="5179" spans="7:12" x14ac:dyDescent="0.2">
      <c r="G5179" s="45"/>
      <c r="L5179" s="8"/>
    </row>
    <row r="5180" spans="7:12" x14ac:dyDescent="0.2">
      <c r="G5180" s="45"/>
      <c r="L5180" s="8"/>
    </row>
    <row r="5181" spans="7:12" x14ac:dyDescent="0.2">
      <c r="G5181" s="45"/>
      <c r="L5181" s="8"/>
    </row>
    <row r="5182" spans="7:12" x14ac:dyDescent="0.2">
      <c r="G5182" s="45"/>
      <c r="L5182" s="8"/>
    </row>
    <row r="5183" spans="7:12" x14ac:dyDescent="0.2">
      <c r="G5183" s="45"/>
      <c r="L5183" s="8"/>
    </row>
    <row r="5184" spans="7:12" x14ac:dyDescent="0.2">
      <c r="G5184" s="45"/>
      <c r="L5184" s="8"/>
    </row>
    <row r="5185" spans="7:12" x14ac:dyDescent="0.2">
      <c r="G5185" s="45"/>
      <c r="L5185" s="8"/>
    </row>
    <row r="5186" spans="7:12" x14ac:dyDescent="0.2">
      <c r="G5186" s="45"/>
      <c r="L5186" s="8"/>
    </row>
    <row r="5187" spans="7:12" x14ac:dyDescent="0.2">
      <c r="G5187" s="45"/>
      <c r="L5187" s="8"/>
    </row>
    <row r="5188" spans="7:12" x14ac:dyDescent="0.2">
      <c r="G5188" s="45"/>
      <c r="L5188" s="8"/>
    </row>
    <row r="5189" spans="7:12" x14ac:dyDescent="0.2">
      <c r="G5189" s="45"/>
      <c r="L5189" s="8"/>
    </row>
    <row r="5190" spans="7:12" x14ac:dyDescent="0.2">
      <c r="G5190" s="45"/>
      <c r="L5190" s="8"/>
    </row>
    <row r="5191" spans="7:12" x14ac:dyDescent="0.2">
      <c r="G5191" s="45"/>
      <c r="L5191" s="8"/>
    </row>
    <row r="5192" spans="7:12" x14ac:dyDescent="0.2">
      <c r="G5192" s="45"/>
      <c r="L5192" s="8"/>
    </row>
    <row r="5193" spans="7:12" x14ac:dyDescent="0.2">
      <c r="G5193" s="45"/>
      <c r="L5193" s="8"/>
    </row>
    <row r="5194" spans="7:12" x14ac:dyDescent="0.2">
      <c r="G5194" s="45"/>
      <c r="L5194" s="8"/>
    </row>
    <row r="5195" spans="7:12" x14ac:dyDescent="0.2">
      <c r="G5195" s="45"/>
      <c r="L5195" s="8"/>
    </row>
    <row r="5196" spans="7:12" x14ac:dyDescent="0.2">
      <c r="G5196" s="45"/>
      <c r="L5196" s="8"/>
    </row>
    <row r="5197" spans="7:12" x14ac:dyDescent="0.2">
      <c r="G5197" s="45"/>
      <c r="L5197" s="8"/>
    </row>
    <row r="5198" spans="7:12" x14ac:dyDescent="0.2">
      <c r="G5198" s="45"/>
      <c r="L5198" s="8"/>
    </row>
    <row r="5199" spans="7:12" x14ac:dyDescent="0.2">
      <c r="G5199" s="45"/>
      <c r="L5199" s="8"/>
    </row>
    <row r="5200" spans="7:12" x14ac:dyDescent="0.2">
      <c r="G5200" s="45"/>
      <c r="L5200" s="8"/>
    </row>
    <row r="5201" spans="7:12" x14ac:dyDescent="0.2">
      <c r="G5201" s="45"/>
      <c r="L5201" s="8"/>
    </row>
    <row r="5202" spans="7:12" x14ac:dyDescent="0.2">
      <c r="G5202" s="45"/>
      <c r="L5202" s="8"/>
    </row>
    <row r="5203" spans="7:12" x14ac:dyDescent="0.2">
      <c r="G5203" s="45"/>
      <c r="L5203" s="8"/>
    </row>
    <row r="5204" spans="7:12" x14ac:dyDescent="0.2">
      <c r="G5204" s="45"/>
      <c r="L5204" s="8"/>
    </row>
    <row r="5205" spans="7:12" x14ac:dyDescent="0.2">
      <c r="G5205" s="45"/>
      <c r="L5205" s="8"/>
    </row>
    <row r="5206" spans="7:12" x14ac:dyDescent="0.2">
      <c r="G5206" s="45"/>
      <c r="L5206" s="8"/>
    </row>
    <row r="5207" spans="7:12" x14ac:dyDescent="0.2">
      <c r="G5207" s="45"/>
      <c r="L5207" s="8"/>
    </row>
    <row r="5208" spans="7:12" x14ac:dyDescent="0.2">
      <c r="G5208" s="45"/>
      <c r="L5208" s="8"/>
    </row>
    <row r="5209" spans="7:12" x14ac:dyDescent="0.2">
      <c r="G5209" s="45"/>
      <c r="L5209" s="8"/>
    </row>
    <row r="5210" spans="7:12" x14ac:dyDescent="0.2">
      <c r="G5210" s="45"/>
      <c r="L5210" s="8"/>
    </row>
    <row r="5211" spans="7:12" x14ac:dyDescent="0.2">
      <c r="G5211" s="45"/>
      <c r="L5211" s="8"/>
    </row>
    <row r="5212" spans="7:12" x14ac:dyDescent="0.2">
      <c r="G5212" s="45"/>
      <c r="L5212" s="8"/>
    </row>
    <row r="5213" spans="7:12" x14ac:dyDescent="0.2">
      <c r="G5213" s="45"/>
      <c r="L5213" s="8"/>
    </row>
    <row r="5214" spans="7:12" x14ac:dyDescent="0.2">
      <c r="G5214" s="45"/>
      <c r="L5214" s="8"/>
    </row>
    <row r="5215" spans="7:12" x14ac:dyDescent="0.2">
      <c r="G5215" s="45"/>
      <c r="L5215" s="8"/>
    </row>
    <row r="5216" spans="7:12" x14ac:dyDescent="0.2">
      <c r="G5216" s="45"/>
      <c r="L5216" s="8"/>
    </row>
    <row r="5217" spans="7:12" x14ac:dyDescent="0.2">
      <c r="G5217" s="45"/>
      <c r="L5217" s="8"/>
    </row>
    <row r="5218" spans="7:12" x14ac:dyDescent="0.2">
      <c r="G5218" s="45"/>
      <c r="L5218" s="8"/>
    </row>
    <row r="5219" spans="7:12" x14ac:dyDescent="0.2">
      <c r="G5219" s="45"/>
      <c r="L5219" s="8"/>
    </row>
    <row r="5220" spans="7:12" x14ac:dyDescent="0.2">
      <c r="G5220" s="45"/>
      <c r="L5220" s="8"/>
    </row>
    <row r="5221" spans="7:12" x14ac:dyDescent="0.2">
      <c r="G5221" s="45"/>
      <c r="L5221" s="8"/>
    </row>
    <row r="5222" spans="7:12" x14ac:dyDescent="0.2">
      <c r="G5222" s="45"/>
      <c r="L5222" s="8"/>
    </row>
    <row r="5223" spans="7:12" x14ac:dyDescent="0.2">
      <c r="G5223" s="45"/>
      <c r="L5223" s="8"/>
    </row>
    <row r="5224" spans="7:12" x14ac:dyDescent="0.2">
      <c r="G5224" s="45"/>
      <c r="L5224" s="8"/>
    </row>
    <row r="5225" spans="7:12" x14ac:dyDescent="0.2">
      <c r="G5225" s="45"/>
      <c r="L5225" s="8"/>
    </row>
    <row r="5226" spans="7:12" x14ac:dyDescent="0.2">
      <c r="G5226" s="45"/>
      <c r="L5226" s="8"/>
    </row>
    <row r="5227" spans="7:12" x14ac:dyDescent="0.2">
      <c r="G5227" s="45"/>
      <c r="L5227" s="8"/>
    </row>
    <row r="5228" spans="7:12" x14ac:dyDescent="0.2">
      <c r="G5228" s="45"/>
      <c r="L5228" s="8"/>
    </row>
    <row r="5229" spans="7:12" x14ac:dyDescent="0.2">
      <c r="G5229" s="45"/>
      <c r="L5229" s="8"/>
    </row>
    <row r="5230" spans="7:12" x14ac:dyDescent="0.2">
      <c r="G5230" s="45"/>
      <c r="L5230" s="8"/>
    </row>
    <row r="5231" spans="7:12" x14ac:dyDescent="0.2">
      <c r="G5231" s="45"/>
      <c r="L5231" s="8"/>
    </row>
    <row r="5232" spans="7:12" x14ac:dyDescent="0.2">
      <c r="G5232" s="45"/>
      <c r="L5232" s="8"/>
    </row>
    <row r="5233" spans="7:12" x14ac:dyDescent="0.2">
      <c r="G5233" s="45"/>
      <c r="L5233" s="8"/>
    </row>
    <row r="5234" spans="7:12" x14ac:dyDescent="0.2">
      <c r="G5234" s="45"/>
      <c r="L5234" s="8"/>
    </row>
    <row r="5235" spans="7:12" x14ac:dyDescent="0.2">
      <c r="G5235" s="45"/>
      <c r="L5235" s="8"/>
    </row>
    <row r="5236" spans="7:12" x14ac:dyDescent="0.2">
      <c r="G5236" s="45"/>
      <c r="L5236" s="8"/>
    </row>
    <row r="5237" spans="7:12" x14ac:dyDescent="0.2">
      <c r="G5237" s="45"/>
      <c r="L5237" s="8"/>
    </row>
    <row r="5238" spans="7:12" x14ac:dyDescent="0.2">
      <c r="G5238" s="45"/>
      <c r="L5238" s="8"/>
    </row>
    <row r="5239" spans="7:12" x14ac:dyDescent="0.2">
      <c r="G5239" s="45"/>
      <c r="L5239" s="8"/>
    </row>
    <row r="5240" spans="7:12" x14ac:dyDescent="0.2">
      <c r="G5240" s="45"/>
      <c r="L5240" s="8"/>
    </row>
    <row r="5241" spans="7:12" x14ac:dyDescent="0.2">
      <c r="G5241" s="45"/>
      <c r="L5241" s="8"/>
    </row>
    <row r="5242" spans="7:12" x14ac:dyDescent="0.2">
      <c r="G5242" s="45"/>
      <c r="L5242" s="8"/>
    </row>
    <row r="5243" spans="7:12" x14ac:dyDescent="0.2">
      <c r="G5243" s="45"/>
      <c r="L5243" s="8"/>
    </row>
    <row r="5244" spans="7:12" x14ac:dyDescent="0.2">
      <c r="G5244" s="45"/>
      <c r="L5244" s="8"/>
    </row>
    <row r="5245" spans="7:12" x14ac:dyDescent="0.2">
      <c r="G5245" s="45"/>
      <c r="L5245" s="8"/>
    </row>
    <row r="5246" spans="7:12" x14ac:dyDescent="0.2">
      <c r="G5246" s="45"/>
      <c r="L5246" s="8"/>
    </row>
    <row r="5247" spans="7:12" x14ac:dyDescent="0.2">
      <c r="G5247" s="45"/>
      <c r="L5247" s="8"/>
    </row>
    <row r="5248" spans="7:12" x14ac:dyDescent="0.2">
      <c r="G5248" s="45"/>
      <c r="L5248" s="8"/>
    </row>
    <row r="5249" spans="7:12" x14ac:dyDescent="0.2">
      <c r="G5249" s="45"/>
      <c r="L5249" s="8"/>
    </row>
    <row r="5250" spans="7:12" x14ac:dyDescent="0.2">
      <c r="G5250" s="45"/>
      <c r="L5250" s="8"/>
    </row>
    <row r="5251" spans="7:12" x14ac:dyDescent="0.2">
      <c r="G5251" s="45"/>
      <c r="L5251" s="8"/>
    </row>
    <row r="5252" spans="7:12" x14ac:dyDescent="0.2">
      <c r="G5252" s="45"/>
      <c r="L5252" s="8"/>
    </row>
    <row r="5253" spans="7:12" x14ac:dyDescent="0.2">
      <c r="G5253" s="45"/>
      <c r="L5253" s="8"/>
    </row>
    <row r="5254" spans="7:12" x14ac:dyDescent="0.2">
      <c r="G5254" s="45"/>
      <c r="L5254" s="8"/>
    </row>
    <row r="5255" spans="7:12" x14ac:dyDescent="0.2">
      <c r="G5255" s="45"/>
      <c r="L5255" s="8"/>
    </row>
    <row r="5256" spans="7:12" x14ac:dyDescent="0.2">
      <c r="G5256" s="45"/>
      <c r="L5256" s="8"/>
    </row>
    <row r="5257" spans="7:12" x14ac:dyDescent="0.2">
      <c r="G5257" s="45"/>
      <c r="L5257" s="8"/>
    </row>
    <row r="5258" spans="7:12" x14ac:dyDescent="0.2">
      <c r="G5258" s="45"/>
      <c r="L5258" s="8"/>
    </row>
    <row r="5259" spans="7:12" x14ac:dyDescent="0.2">
      <c r="G5259" s="45"/>
      <c r="L5259" s="8"/>
    </row>
    <row r="5260" spans="7:12" x14ac:dyDescent="0.2">
      <c r="G5260" s="45"/>
      <c r="L5260" s="8"/>
    </row>
    <row r="5261" spans="7:12" x14ac:dyDescent="0.2">
      <c r="G5261" s="45"/>
      <c r="L5261" s="8"/>
    </row>
    <row r="5262" spans="7:12" x14ac:dyDescent="0.2">
      <c r="G5262" s="45"/>
      <c r="L5262" s="8"/>
    </row>
    <row r="5263" spans="7:12" x14ac:dyDescent="0.2">
      <c r="G5263" s="45"/>
      <c r="L5263" s="8"/>
    </row>
    <row r="5264" spans="7:12" x14ac:dyDescent="0.2">
      <c r="G5264" s="45"/>
      <c r="L5264" s="8"/>
    </row>
    <row r="5265" spans="7:12" x14ac:dyDescent="0.2">
      <c r="G5265" s="45"/>
      <c r="L5265" s="8"/>
    </row>
    <row r="5266" spans="7:12" x14ac:dyDescent="0.2">
      <c r="G5266" s="45"/>
      <c r="L5266" s="8"/>
    </row>
    <row r="5267" spans="7:12" x14ac:dyDescent="0.2">
      <c r="G5267" s="45"/>
      <c r="L5267" s="8"/>
    </row>
    <row r="5268" spans="7:12" x14ac:dyDescent="0.2">
      <c r="G5268" s="45"/>
      <c r="L5268" s="8"/>
    </row>
    <row r="5269" spans="7:12" x14ac:dyDescent="0.2">
      <c r="G5269" s="45"/>
      <c r="L5269" s="8"/>
    </row>
    <row r="5270" spans="7:12" x14ac:dyDescent="0.2">
      <c r="G5270" s="45"/>
      <c r="L5270" s="8"/>
    </row>
    <row r="5271" spans="7:12" x14ac:dyDescent="0.2">
      <c r="G5271" s="45"/>
      <c r="L5271" s="8"/>
    </row>
    <row r="5272" spans="7:12" x14ac:dyDescent="0.2">
      <c r="G5272" s="45"/>
      <c r="L5272" s="8"/>
    </row>
    <row r="5273" spans="7:12" x14ac:dyDescent="0.2">
      <c r="G5273" s="45"/>
      <c r="L5273" s="8"/>
    </row>
    <row r="5274" spans="7:12" x14ac:dyDescent="0.2">
      <c r="G5274" s="45"/>
      <c r="L5274" s="8"/>
    </row>
    <row r="5275" spans="7:12" x14ac:dyDescent="0.2">
      <c r="G5275" s="45"/>
      <c r="L5275" s="8"/>
    </row>
    <row r="5276" spans="7:12" x14ac:dyDescent="0.2">
      <c r="G5276" s="45"/>
      <c r="L5276" s="8"/>
    </row>
    <row r="5277" spans="7:12" x14ac:dyDescent="0.2">
      <c r="G5277" s="45"/>
      <c r="L5277" s="8"/>
    </row>
    <row r="5278" spans="7:12" x14ac:dyDescent="0.2">
      <c r="G5278" s="45"/>
      <c r="L5278" s="8"/>
    </row>
    <row r="5279" spans="7:12" x14ac:dyDescent="0.2">
      <c r="G5279" s="45"/>
      <c r="L5279" s="8"/>
    </row>
    <row r="5280" spans="7:12" x14ac:dyDescent="0.2">
      <c r="G5280" s="45"/>
      <c r="L5280" s="8"/>
    </row>
    <row r="5281" spans="7:12" x14ac:dyDescent="0.2">
      <c r="G5281" s="45"/>
      <c r="L5281" s="8"/>
    </row>
    <row r="5282" spans="7:12" x14ac:dyDescent="0.2">
      <c r="G5282" s="45"/>
      <c r="L5282" s="8"/>
    </row>
    <row r="5283" spans="7:12" x14ac:dyDescent="0.2">
      <c r="G5283" s="45"/>
      <c r="L5283" s="8"/>
    </row>
    <row r="5284" spans="7:12" x14ac:dyDescent="0.2">
      <c r="G5284" s="45"/>
      <c r="L5284" s="8"/>
    </row>
    <row r="5285" spans="7:12" x14ac:dyDescent="0.2">
      <c r="G5285" s="45"/>
      <c r="L5285" s="8"/>
    </row>
    <row r="5286" spans="7:12" x14ac:dyDescent="0.2">
      <c r="G5286" s="45"/>
      <c r="L5286" s="8"/>
    </row>
    <row r="5287" spans="7:12" x14ac:dyDescent="0.2">
      <c r="G5287" s="45"/>
      <c r="L5287" s="8"/>
    </row>
    <row r="5288" spans="7:12" x14ac:dyDescent="0.2">
      <c r="G5288" s="45"/>
      <c r="L5288" s="8"/>
    </row>
    <row r="5289" spans="7:12" x14ac:dyDescent="0.2">
      <c r="G5289" s="45"/>
      <c r="L5289" s="8"/>
    </row>
    <row r="5290" spans="7:12" x14ac:dyDescent="0.2">
      <c r="G5290" s="45"/>
      <c r="L5290" s="8"/>
    </row>
    <row r="5291" spans="7:12" x14ac:dyDescent="0.2">
      <c r="G5291" s="45"/>
      <c r="L5291" s="8"/>
    </row>
    <row r="5292" spans="7:12" x14ac:dyDescent="0.2">
      <c r="G5292" s="45"/>
      <c r="L5292" s="8"/>
    </row>
    <row r="5293" spans="7:12" x14ac:dyDescent="0.2">
      <c r="G5293" s="45"/>
      <c r="L5293" s="8"/>
    </row>
    <row r="5294" spans="7:12" x14ac:dyDescent="0.2">
      <c r="G5294" s="45"/>
      <c r="L5294" s="8"/>
    </row>
    <row r="5295" spans="7:12" x14ac:dyDescent="0.2">
      <c r="G5295" s="45"/>
      <c r="L5295" s="8"/>
    </row>
    <row r="5296" spans="7:12" x14ac:dyDescent="0.2">
      <c r="G5296" s="45"/>
      <c r="L5296" s="8"/>
    </row>
    <row r="5297" spans="7:12" x14ac:dyDescent="0.2">
      <c r="G5297" s="45"/>
      <c r="L5297" s="8"/>
    </row>
    <row r="5298" spans="7:12" x14ac:dyDescent="0.2">
      <c r="G5298" s="45"/>
      <c r="L5298" s="8"/>
    </row>
    <row r="5299" spans="7:12" x14ac:dyDescent="0.2">
      <c r="G5299" s="45"/>
      <c r="L5299" s="8"/>
    </row>
    <row r="5300" spans="7:12" x14ac:dyDescent="0.2">
      <c r="G5300" s="45"/>
      <c r="L5300" s="8"/>
    </row>
    <row r="5301" spans="7:12" x14ac:dyDescent="0.2">
      <c r="G5301" s="45"/>
      <c r="L5301" s="8"/>
    </row>
    <row r="5302" spans="7:12" x14ac:dyDescent="0.2">
      <c r="G5302" s="45"/>
      <c r="L5302" s="8"/>
    </row>
    <row r="5303" spans="7:12" x14ac:dyDescent="0.2">
      <c r="G5303" s="45"/>
      <c r="L5303" s="8"/>
    </row>
    <row r="5304" spans="7:12" x14ac:dyDescent="0.2">
      <c r="G5304" s="45"/>
      <c r="L5304" s="8"/>
    </row>
    <row r="5305" spans="7:12" x14ac:dyDescent="0.2">
      <c r="G5305" s="45"/>
      <c r="L5305" s="8"/>
    </row>
    <row r="5306" spans="7:12" x14ac:dyDescent="0.2">
      <c r="G5306" s="45"/>
      <c r="L5306" s="8"/>
    </row>
    <row r="5307" spans="7:12" x14ac:dyDescent="0.2">
      <c r="G5307" s="45"/>
      <c r="L5307" s="8"/>
    </row>
    <row r="5308" spans="7:12" x14ac:dyDescent="0.2">
      <c r="G5308" s="45"/>
      <c r="L5308" s="8"/>
    </row>
    <row r="5309" spans="7:12" x14ac:dyDescent="0.2">
      <c r="G5309" s="45"/>
      <c r="L5309" s="8"/>
    </row>
    <row r="5310" spans="7:12" x14ac:dyDescent="0.2">
      <c r="G5310" s="45"/>
      <c r="L5310" s="8"/>
    </row>
    <row r="5311" spans="7:12" x14ac:dyDescent="0.2">
      <c r="G5311" s="45"/>
      <c r="L5311" s="8"/>
    </row>
    <row r="5312" spans="7:12" x14ac:dyDescent="0.2">
      <c r="G5312" s="45"/>
      <c r="L5312" s="8"/>
    </row>
    <row r="5313" spans="7:12" x14ac:dyDescent="0.2">
      <c r="G5313" s="45"/>
      <c r="L5313" s="8"/>
    </row>
    <row r="5314" spans="7:12" x14ac:dyDescent="0.2">
      <c r="G5314" s="45"/>
      <c r="L5314" s="8"/>
    </row>
    <row r="5315" spans="7:12" x14ac:dyDescent="0.2">
      <c r="G5315" s="45"/>
      <c r="L5315" s="8"/>
    </row>
    <row r="5316" spans="7:12" x14ac:dyDescent="0.2">
      <c r="G5316" s="45"/>
      <c r="L5316" s="8"/>
    </row>
    <row r="5317" spans="7:12" x14ac:dyDescent="0.2">
      <c r="G5317" s="45"/>
      <c r="L5317" s="8"/>
    </row>
    <row r="5318" spans="7:12" x14ac:dyDescent="0.2">
      <c r="G5318" s="45"/>
      <c r="L5318" s="8"/>
    </row>
    <row r="5319" spans="7:12" x14ac:dyDescent="0.2">
      <c r="G5319" s="45"/>
      <c r="L5319" s="8"/>
    </row>
    <row r="5320" spans="7:12" x14ac:dyDescent="0.2">
      <c r="G5320" s="45"/>
      <c r="L5320" s="8"/>
    </row>
    <row r="5321" spans="7:12" x14ac:dyDescent="0.2">
      <c r="G5321" s="45"/>
      <c r="L5321" s="8"/>
    </row>
    <row r="5322" spans="7:12" x14ac:dyDescent="0.2">
      <c r="G5322" s="45"/>
      <c r="L5322" s="8"/>
    </row>
    <row r="5323" spans="7:12" x14ac:dyDescent="0.2">
      <c r="G5323" s="45"/>
      <c r="L5323" s="8"/>
    </row>
    <row r="5324" spans="7:12" x14ac:dyDescent="0.2">
      <c r="G5324" s="45"/>
      <c r="L5324" s="8"/>
    </row>
    <row r="5325" spans="7:12" x14ac:dyDescent="0.2">
      <c r="G5325" s="45"/>
      <c r="L5325" s="8"/>
    </row>
    <row r="5326" spans="7:12" x14ac:dyDescent="0.2">
      <c r="G5326" s="45"/>
      <c r="L5326" s="8"/>
    </row>
    <row r="5327" spans="7:12" x14ac:dyDescent="0.2">
      <c r="G5327" s="45"/>
      <c r="L5327" s="8"/>
    </row>
    <row r="5328" spans="7:12" x14ac:dyDescent="0.2">
      <c r="G5328" s="45"/>
      <c r="L5328" s="8"/>
    </row>
    <row r="5329" spans="7:12" x14ac:dyDescent="0.2">
      <c r="G5329" s="45"/>
      <c r="L5329" s="8"/>
    </row>
    <row r="5330" spans="7:12" x14ac:dyDescent="0.2">
      <c r="G5330" s="45"/>
      <c r="L5330" s="8"/>
    </row>
    <row r="5331" spans="7:12" x14ac:dyDescent="0.2">
      <c r="G5331" s="45"/>
      <c r="L5331" s="8"/>
    </row>
    <row r="5332" spans="7:12" x14ac:dyDescent="0.2">
      <c r="G5332" s="45"/>
      <c r="L5332" s="8"/>
    </row>
    <row r="5333" spans="7:12" x14ac:dyDescent="0.2">
      <c r="G5333" s="45"/>
      <c r="L5333" s="8"/>
    </row>
    <row r="5334" spans="7:12" x14ac:dyDescent="0.2">
      <c r="G5334" s="45"/>
      <c r="L5334" s="8"/>
    </row>
    <row r="5335" spans="7:12" x14ac:dyDescent="0.2">
      <c r="G5335" s="45"/>
      <c r="L5335" s="8"/>
    </row>
    <row r="5336" spans="7:12" x14ac:dyDescent="0.2">
      <c r="G5336" s="45"/>
      <c r="L5336" s="8"/>
    </row>
    <row r="5337" spans="7:12" x14ac:dyDescent="0.2">
      <c r="G5337" s="45"/>
      <c r="L5337" s="8"/>
    </row>
    <row r="5338" spans="7:12" x14ac:dyDescent="0.2">
      <c r="G5338" s="45"/>
      <c r="L5338" s="8"/>
    </row>
    <row r="5339" spans="7:12" x14ac:dyDescent="0.2">
      <c r="G5339" s="45"/>
      <c r="L5339" s="8"/>
    </row>
    <row r="5340" spans="7:12" x14ac:dyDescent="0.2">
      <c r="G5340" s="45"/>
      <c r="L5340" s="8"/>
    </row>
    <row r="5341" spans="7:12" x14ac:dyDescent="0.2">
      <c r="G5341" s="45"/>
      <c r="L5341" s="8"/>
    </row>
    <row r="5342" spans="7:12" x14ac:dyDescent="0.2">
      <c r="G5342" s="45"/>
      <c r="L5342" s="8"/>
    </row>
    <row r="5343" spans="7:12" x14ac:dyDescent="0.2">
      <c r="G5343" s="45"/>
      <c r="L5343" s="8"/>
    </row>
    <row r="5344" spans="7:12" x14ac:dyDescent="0.2">
      <c r="G5344" s="45"/>
      <c r="L5344" s="8"/>
    </row>
    <row r="5345" spans="7:12" x14ac:dyDescent="0.2">
      <c r="G5345" s="45"/>
      <c r="L5345" s="8"/>
    </row>
    <row r="5346" spans="7:12" x14ac:dyDescent="0.2">
      <c r="G5346" s="45"/>
      <c r="L5346" s="8"/>
    </row>
    <row r="5347" spans="7:12" x14ac:dyDescent="0.2">
      <c r="G5347" s="45"/>
      <c r="L5347" s="8"/>
    </row>
    <row r="5348" spans="7:12" x14ac:dyDescent="0.2">
      <c r="G5348" s="45"/>
      <c r="L5348" s="8"/>
    </row>
    <row r="5349" spans="7:12" x14ac:dyDescent="0.2">
      <c r="G5349" s="45"/>
      <c r="L5349" s="8"/>
    </row>
    <row r="5350" spans="7:12" x14ac:dyDescent="0.2">
      <c r="G5350" s="45"/>
      <c r="L5350" s="8"/>
    </row>
    <row r="5351" spans="7:12" x14ac:dyDescent="0.2">
      <c r="G5351" s="45"/>
      <c r="L5351" s="8"/>
    </row>
    <row r="5352" spans="7:12" x14ac:dyDescent="0.2">
      <c r="G5352" s="45"/>
      <c r="L5352" s="8"/>
    </row>
    <row r="5353" spans="7:12" x14ac:dyDescent="0.2">
      <c r="G5353" s="45"/>
      <c r="L5353" s="8"/>
    </row>
    <row r="5354" spans="7:12" x14ac:dyDescent="0.2">
      <c r="G5354" s="45"/>
      <c r="L5354" s="8"/>
    </row>
    <row r="5355" spans="7:12" x14ac:dyDescent="0.2">
      <c r="G5355" s="45"/>
      <c r="L5355" s="8"/>
    </row>
    <row r="5356" spans="7:12" x14ac:dyDescent="0.2">
      <c r="G5356" s="45"/>
      <c r="L5356" s="8"/>
    </row>
    <row r="5357" spans="7:12" x14ac:dyDescent="0.2">
      <c r="G5357" s="45"/>
      <c r="L5357" s="8"/>
    </row>
    <row r="5358" spans="7:12" x14ac:dyDescent="0.2">
      <c r="G5358" s="45"/>
      <c r="L5358" s="8"/>
    </row>
    <row r="5359" spans="7:12" x14ac:dyDescent="0.2">
      <c r="G5359" s="45"/>
      <c r="L5359" s="8"/>
    </row>
    <row r="5360" spans="7:12" x14ac:dyDescent="0.2">
      <c r="G5360" s="45"/>
      <c r="L5360" s="8"/>
    </row>
    <row r="5361" spans="7:12" x14ac:dyDescent="0.2">
      <c r="G5361" s="45"/>
      <c r="L5361" s="8"/>
    </row>
    <row r="5362" spans="7:12" x14ac:dyDescent="0.2">
      <c r="G5362" s="45"/>
      <c r="L5362" s="8"/>
    </row>
    <row r="5363" spans="7:12" x14ac:dyDescent="0.2">
      <c r="G5363" s="45"/>
      <c r="L5363" s="8"/>
    </row>
    <row r="5364" spans="7:12" x14ac:dyDescent="0.2">
      <c r="G5364" s="45"/>
      <c r="L5364" s="8"/>
    </row>
    <row r="5365" spans="7:12" x14ac:dyDescent="0.2">
      <c r="G5365" s="45"/>
      <c r="L5365" s="8"/>
    </row>
    <row r="5366" spans="7:12" x14ac:dyDescent="0.2">
      <c r="G5366" s="45"/>
      <c r="L5366" s="8"/>
    </row>
    <row r="5367" spans="7:12" x14ac:dyDescent="0.2">
      <c r="G5367" s="45"/>
      <c r="L5367" s="8"/>
    </row>
    <row r="5368" spans="7:12" x14ac:dyDescent="0.2">
      <c r="G5368" s="45"/>
      <c r="L5368" s="8"/>
    </row>
    <row r="5369" spans="7:12" x14ac:dyDescent="0.2">
      <c r="G5369" s="45"/>
      <c r="L5369" s="8"/>
    </row>
    <row r="5370" spans="7:12" x14ac:dyDescent="0.2">
      <c r="G5370" s="45"/>
      <c r="L5370" s="8"/>
    </row>
    <row r="5371" spans="7:12" x14ac:dyDescent="0.2">
      <c r="G5371" s="45"/>
      <c r="L5371" s="8"/>
    </row>
    <row r="5372" spans="7:12" x14ac:dyDescent="0.2">
      <c r="G5372" s="45"/>
      <c r="L5372" s="8"/>
    </row>
    <row r="5373" spans="7:12" x14ac:dyDescent="0.2">
      <c r="G5373" s="45"/>
      <c r="L5373" s="8"/>
    </row>
    <row r="5374" spans="7:12" x14ac:dyDescent="0.2">
      <c r="G5374" s="45"/>
      <c r="L5374" s="8"/>
    </row>
    <row r="5375" spans="7:12" x14ac:dyDescent="0.2">
      <c r="G5375" s="45"/>
      <c r="L5375" s="8"/>
    </row>
    <row r="5376" spans="7:12" x14ac:dyDescent="0.2">
      <c r="G5376" s="45"/>
      <c r="L5376" s="8"/>
    </row>
    <row r="5377" spans="7:12" x14ac:dyDescent="0.2">
      <c r="G5377" s="45"/>
      <c r="L5377" s="8"/>
    </row>
    <row r="5378" spans="7:12" x14ac:dyDescent="0.2">
      <c r="G5378" s="45"/>
      <c r="L5378" s="8"/>
    </row>
    <row r="5379" spans="7:12" x14ac:dyDescent="0.2">
      <c r="G5379" s="45"/>
      <c r="L5379" s="8"/>
    </row>
    <row r="5380" spans="7:12" x14ac:dyDescent="0.2">
      <c r="G5380" s="45"/>
      <c r="L5380" s="8"/>
    </row>
    <row r="5381" spans="7:12" x14ac:dyDescent="0.2">
      <c r="G5381" s="45"/>
      <c r="L5381" s="8"/>
    </row>
    <row r="5382" spans="7:12" x14ac:dyDescent="0.2">
      <c r="G5382" s="45"/>
      <c r="L5382" s="8"/>
    </row>
    <row r="5383" spans="7:12" x14ac:dyDescent="0.2">
      <c r="G5383" s="45"/>
      <c r="L5383" s="8"/>
    </row>
    <row r="5384" spans="7:12" x14ac:dyDescent="0.2">
      <c r="G5384" s="45"/>
      <c r="L5384" s="8"/>
    </row>
    <row r="5385" spans="7:12" x14ac:dyDescent="0.2">
      <c r="G5385" s="45"/>
      <c r="L5385" s="8"/>
    </row>
    <row r="5386" spans="7:12" x14ac:dyDescent="0.2">
      <c r="G5386" s="45"/>
      <c r="L5386" s="8"/>
    </row>
    <row r="5387" spans="7:12" x14ac:dyDescent="0.2">
      <c r="G5387" s="45"/>
      <c r="L5387" s="8"/>
    </row>
    <row r="5388" spans="7:12" x14ac:dyDescent="0.2">
      <c r="G5388" s="45"/>
      <c r="L5388" s="8"/>
    </row>
    <row r="5389" spans="7:12" x14ac:dyDescent="0.2">
      <c r="G5389" s="45"/>
      <c r="L5389" s="8"/>
    </row>
    <row r="5390" spans="7:12" x14ac:dyDescent="0.2">
      <c r="G5390" s="45"/>
      <c r="L5390" s="8"/>
    </row>
    <row r="5391" spans="7:12" x14ac:dyDescent="0.2">
      <c r="G5391" s="45"/>
      <c r="L5391" s="8"/>
    </row>
    <row r="5392" spans="7:12" x14ac:dyDescent="0.2">
      <c r="G5392" s="45"/>
      <c r="L5392" s="8"/>
    </row>
    <row r="5393" spans="7:12" x14ac:dyDescent="0.2">
      <c r="G5393" s="45"/>
      <c r="L5393" s="8"/>
    </row>
    <row r="5394" spans="7:12" x14ac:dyDescent="0.2">
      <c r="G5394" s="45"/>
      <c r="L5394" s="8"/>
    </row>
    <row r="5395" spans="7:12" x14ac:dyDescent="0.2">
      <c r="G5395" s="45"/>
      <c r="L5395" s="8"/>
    </row>
    <row r="5396" spans="7:12" x14ac:dyDescent="0.2">
      <c r="G5396" s="45"/>
      <c r="L5396" s="8"/>
    </row>
    <row r="5397" spans="7:12" x14ac:dyDescent="0.2">
      <c r="G5397" s="45"/>
      <c r="L5397" s="8"/>
    </row>
    <row r="5398" spans="7:12" x14ac:dyDescent="0.2">
      <c r="G5398" s="45"/>
      <c r="L5398" s="8"/>
    </row>
    <row r="5399" spans="7:12" x14ac:dyDescent="0.2">
      <c r="G5399" s="45"/>
      <c r="L5399" s="8"/>
    </row>
    <row r="5400" spans="7:12" x14ac:dyDescent="0.2">
      <c r="G5400" s="45"/>
      <c r="L5400" s="8"/>
    </row>
    <row r="5401" spans="7:12" x14ac:dyDescent="0.2">
      <c r="G5401" s="45"/>
      <c r="L5401" s="8"/>
    </row>
    <row r="5402" spans="7:12" x14ac:dyDescent="0.2">
      <c r="G5402" s="45"/>
      <c r="L5402" s="8"/>
    </row>
    <row r="5403" spans="7:12" x14ac:dyDescent="0.2">
      <c r="G5403" s="45"/>
      <c r="L5403" s="8"/>
    </row>
    <row r="5404" spans="7:12" x14ac:dyDescent="0.2">
      <c r="G5404" s="45"/>
      <c r="L5404" s="8"/>
    </row>
    <row r="5405" spans="7:12" x14ac:dyDescent="0.2">
      <c r="G5405" s="45"/>
      <c r="L5405" s="8"/>
    </row>
    <row r="5406" spans="7:12" x14ac:dyDescent="0.2">
      <c r="G5406" s="45"/>
      <c r="L5406" s="8"/>
    </row>
    <row r="5407" spans="7:12" x14ac:dyDescent="0.2">
      <c r="G5407" s="45"/>
      <c r="L5407" s="8"/>
    </row>
    <row r="5408" spans="7:12" x14ac:dyDescent="0.2">
      <c r="G5408" s="45"/>
      <c r="L5408" s="8"/>
    </row>
    <row r="5409" spans="7:12" x14ac:dyDescent="0.2">
      <c r="G5409" s="45"/>
      <c r="L5409" s="8"/>
    </row>
    <row r="5410" spans="7:12" x14ac:dyDescent="0.2">
      <c r="G5410" s="45"/>
      <c r="L5410" s="8"/>
    </row>
    <row r="5411" spans="7:12" x14ac:dyDescent="0.2">
      <c r="G5411" s="45"/>
      <c r="L5411" s="8"/>
    </row>
    <row r="5412" spans="7:12" x14ac:dyDescent="0.2">
      <c r="G5412" s="45"/>
      <c r="L5412" s="8"/>
    </row>
    <row r="5413" spans="7:12" x14ac:dyDescent="0.2">
      <c r="G5413" s="45"/>
      <c r="L5413" s="8"/>
    </row>
    <row r="5414" spans="7:12" x14ac:dyDescent="0.2">
      <c r="G5414" s="45"/>
      <c r="L5414" s="8"/>
    </row>
    <row r="5415" spans="7:12" x14ac:dyDescent="0.2">
      <c r="G5415" s="45"/>
      <c r="L5415" s="8"/>
    </row>
    <row r="5416" spans="7:12" x14ac:dyDescent="0.2">
      <c r="G5416" s="45"/>
      <c r="L5416" s="8"/>
    </row>
    <row r="5417" spans="7:12" x14ac:dyDescent="0.2">
      <c r="G5417" s="45"/>
      <c r="L5417" s="8"/>
    </row>
    <row r="5418" spans="7:12" x14ac:dyDescent="0.2">
      <c r="G5418" s="45"/>
      <c r="L5418" s="8"/>
    </row>
    <row r="5419" spans="7:12" x14ac:dyDescent="0.2">
      <c r="G5419" s="45"/>
      <c r="L5419" s="8"/>
    </row>
    <row r="5420" spans="7:12" x14ac:dyDescent="0.2">
      <c r="G5420" s="45"/>
      <c r="L5420" s="8"/>
    </row>
    <row r="5421" spans="7:12" x14ac:dyDescent="0.2">
      <c r="G5421" s="45"/>
      <c r="L5421" s="8"/>
    </row>
    <row r="5422" spans="7:12" x14ac:dyDescent="0.2">
      <c r="G5422" s="45"/>
      <c r="L5422" s="8"/>
    </row>
    <row r="5423" spans="7:12" x14ac:dyDescent="0.2">
      <c r="G5423" s="45"/>
      <c r="L5423" s="8"/>
    </row>
    <row r="5424" spans="7:12" x14ac:dyDescent="0.2">
      <c r="G5424" s="45"/>
      <c r="L5424" s="8"/>
    </row>
    <row r="5425" spans="7:12" x14ac:dyDescent="0.2">
      <c r="G5425" s="45"/>
      <c r="L5425" s="8"/>
    </row>
    <row r="5426" spans="7:12" x14ac:dyDescent="0.2">
      <c r="G5426" s="45"/>
      <c r="L5426" s="8"/>
    </row>
    <row r="5427" spans="7:12" x14ac:dyDescent="0.2">
      <c r="G5427" s="45"/>
      <c r="L5427" s="8"/>
    </row>
    <row r="5428" spans="7:12" x14ac:dyDescent="0.2">
      <c r="G5428" s="45"/>
      <c r="L5428" s="8"/>
    </row>
    <row r="5429" spans="7:12" x14ac:dyDescent="0.2">
      <c r="G5429" s="45"/>
      <c r="L5429" s="8"/>
    </row>
    <row r="5430" spans="7:12" x14ac:dyDescent="0.2">
      <c r="G5430" s="45"/>
      <c r="L5430" s="8"/>
    </row>
    <row r="5431" spans="7:12" x14ac:dyDescent="0.2">
      <c r="G5431" s="45"/>
      <c r="L5431" s="8"/>
    </row>
    <row r="5432" spans="7:12" x14ac:dyDescent="0.2">
      <c r="G5432" s="45"/>
      <c r="L5432" s="8"/>
    </row>
    <row r="5433" spans="7:12" x14ac:dyDescent="0.2">
      <c r="G5433" s="45"/>
      <c r="L5433" s="8"/>
    </row>
    <row r="5434" spans="7:12" x14ac:dyDescent="0.2">
      <c r="G5434" s="45"/>
      <c r="L5434" s="8"/>
    </row>
    <row r="5435" spans="7:12" x14ac:dyDescent="0.2">
      <c r="G5435" s="45"/>
      <c r="L5435" s="8"/>
    </row>
    <row r="5436" spans="7:12" x14ac:dyDescent="0.2">
      <c r="G5436" s="45"/>
      <c r="L5436" s="8"/>
    </row>
    <row r="5437" spans="7:12" x14ac:dyDescent="0.2">
      <c r="G5437" s="45"/>
      <c r="L5437" s="8"/>
    </row>
    <row r="5438" spans="7:12" x14ac:dyDescent="0.2">
      <c r="G5438" s="45"/>
      <c r="L5438" s="8"/>
    </row>
    <row r="5439" spans="7:12" x14ac:dyDescent="0.2">
      <c r="G5439" s="45"/>
      <c r="L5439" s="8"/>
    </row>
    <row r="5440" spans="7:12" x14ac:dyDescent="0.2">
      <c r="G5440" s="45"/>
      <c r="L5440" s="8"/>
    </row>
    <row r="5441" spans="7:12" x14ac:dyDescent="0.2">
      <c r="G5441" s="45"/>
      <c r="L5441" s="8"/>
    </row>
    <row r="5442" spans="7:12" x14ac:dyDescent="0.2">
      <c r="G5442" s="45"/>
      <c r="L5442" s="8"/>
    </row>
    <row r="5443" spans="7:12" x14ac:dyDescent="0.2">
      <c r="G5443" s="45"/>
      <c r="L5443" s="8"/>
    </row>
    <row r="5444" spans="7:12" x14ac:dyDescent="0.2">
      <c r="G5444" s="45"/>
      <c r="L5444" s="8"/>
    </row>
    <row r="5445" spans="7:12" x14ac:dyDescent="0.2">
      <c r="G5445" s="45"/>
      <c r="L5445" s="8"/>
    </row>
    <row r="5446" spans="7:12" x14ac:dyDescent="0.2">
      <c r="G5446" s="45"/>
      <c r="L5446" s="8"/>
    </row>
    <row r="5447" spans="7:12" x14ac:dyDescent="0.2">
      <c r="G5447" s="45"/>
      <c r="L5447" s="8"/>
    </row>
    <row r="5448" spans="7:12" x14ac:dyDescent="0.2">
      <c r="G5448" s="45"/>
      <c r="L5448" s="8"/>
    </row>
    <row r="5449" spans="7:12" x14ac:dyDescent="0.2">
      <c r="G5449" s="45"/>
      <c r="L5449" s="8"/>
    </row>
    <row r="5450" spans="7:12" x14ac:dyDescent="0.2">
      <c r="G5450" s="45"/>
      <c r="L5450" s="8"/>
    </row>
    <row r="5451" spans="7:12" x14ac:dyDescent="0.2">
      <c r="G5451" s="45"/>
      <c r="L5451" s="8"/>
    </row>
    <row r="5452" spans="7:12" x14ac:dyDescent="0.2">
      <c r="G5452" s="45"/>
      <c r="L5452" s="8"/>
    </row>
    <row r="5453" spans="7:12" x14ac:dyDescent="0.2">
      <c r="G5453" s="45"/>
      <c r="L5453" s="8"/>
    </row>
    <row r="5454" spans="7:12" x14ac:dyDescent="0.2">
      <c r="G5454" s="45"/>
      <c r="L5454" s="8"/>
    </row>
    <row r="5455" spans="7:12" x14ac:dyDescent="0.2">
      <c r="G5455" s="45"/>
      <c r="L5455" s="8"/>
    </row>
    <row r="5456" spans="7:12" x14ac:dyDescent="0.2">
      <c r="G5456" s="45"/>
      <c r="L5456" s="8"/>
    </row>
    <row r="5457" spans="7:12" x14ac:dyDescent="0.2">
      <c r="G5457" s="45"/>
      <c r="L5457" s="8"/>
    </row>
    <row r="5458" spans="7:12" x14ac:dyDescent="0.2">
      <c r="G5458" s="45"/>
      <c r="L5458" s="8"/>
    </row>
    <row r="5459" spans="7:12" x14ac:dyDescent="0.2">
      <c r="G5459" s="45"/>
      <c r="L5459" s="8"/>
    </row>
    <row r="5460" spans="7:12" x14ac:dyDescent="0.2">
      <c r="G5460" s="45"/>
      <c r="L5460" s="8"/>
    </row>
    <row r="5461" spans="7:12" x14ac:dyDescent="0.2">
      <c r="G5461" s="45"/>
      <c r="L5461" s="8"/>
    </row>
    <row r="5462" spans="7:12" x14ac:dyDescent="0.2">
      <c r="G5462" s="45"/>
      <c r="L5462" s="8"/>
    </row>
    <row r="5463" spans="7:12" x14ac:dyDescent="0.2">
      <c r="G5463" s="45"/>
      <c r="L5463" s="8"/>
    </row>
    <row r="5464" spans="7:12" x14ac:dyDescent="0.2">
      <c r="G5464" s="45"/>
      <c r="L5464" s="8"/>
    </row>
    <row r="5465" spans="7:12" x14ac:dyDescent="0.2">
      <c r="G5465" s="45"/>
      <c r="L5465" s="8"/>
    </row>
    <row r="5466" spans="7:12" x14ac:dyDescent="0.2">
      <c r="G5466" s="45"/>
      <c r="L5466" s="8"/>
    </row>
    <row r="5467" spans="7:12" x14ac:dyDescent="0.2">
      <c r="G5467" s="45"/>
      <c r="L5467" s="8"/>
    </row>
    <row r="5468" spans="7:12" x14ac:dyDescent="0.2">
      <c r="G5468" s="45"/>
      <c r="L5468" s="8"/>
    </row>
    <row r="5469" spans="7:12" x14ac:dyDescent="0.2">
      <c r="G5469" s="45"/>
      <c r="L5469" s="8"/>
    </row>
    <row r="5470" spans="7:12" x14ac:dyDescent="0.2">
      <c r="G5470" s="45"/>
      <c r="L5470" s="8"/>
    </row>
    <row r="5471" spans="7:12" x14ac:dyDescent="0.2">
      <c r="G5471" s="45"/>
      <c r="L5471" s="8"/>
    </row>
    <row r="5472" spans="7:12" x14ac:dyDescent="0.2">
      <c r="G5472" s="45"/>
      <c r="L5472" s="8"/>
    </row>
    <row r="5473" spans="7:12" x14ac:dyDescent="0.2">
      <c r="G5473" s="45"/>
      <c r="L5473" s="8"/>
    </row>
    <row r="5474" spans="7:12" x14ac:dyDescent="0.2">
      <c r="G5474" s="45"/>
      <c r="L5474" s="8"/>
    </row>
    <row r="5475" spans="7:12" x14ac:dyDescent="0.2">
      <c r="G5475" s="45"/>
      <c r="L5475" s="8"/>
    </row>
    <row r="5476" spans="7:12" x14ac:dyDescent="0.2">
      <c r="G5476" s="45"/>
      <c r="L5476" s="8"/>
    </row>
    <row r="5477" spans="7:12" x14ac:dyDescent="0.2">
      <c r="G5477" s="45"/>
      <c r="L5477" s="8"/>
    </row>
    <row r="5478" spans="7:12" x14ac:dyDescent="0.2">
      <c r="G5478" s="45"/>
      <c r="L5478" s="8"/>
    </row>
    <row r="5479" spans="7:12" x14ac:dyDescent="0.2">
      <c r="G5479" s="45"/>
      <c r="L5479" s="8"/>
    </row>
    <row r="5480" spans="7:12" x14ac:dyDescent="0.2">
      <c r="G5480" s="45"/>
      <c r="L5480" s="8"/>
    </row>
    <row r="5481" spans="7:12" x14ac:dyDescent="0.2">
      <c r="G5481" s="45"/>
      <c r="L5481" s="8"/>
    </row>
    <row r="5482" spans="7:12" x14ac:dyDescent="0.2">
      <c r="G5482" s="45"/>
      <c r="L5482" s="8"/>
    </row>
    <row r="5483" spans="7:12" x14ac:dyDescent="0.2">
      <c r="G5483" s="45"/>
      <c r="L5483" s="8"/>
    </row>
    <row r="5484" spans="7:12" x14ac:dyDescent="0.2">
      <c r="G5484" s="45"/>
      <c r="L5484" s="8"/>
    </row>
    <row r="5485" spans="7:12" x14ac:dyDescent="0.2">
      <c r="G5485" s="45"/>
      <c r="L5485" s="8"/>
    </row>
    <row r="5486" spans="7:12" x14ac:dyDescent="0.2">
      <c r="G5486" s="45"/>
      <c r="L5486" s="8"/>
    </row>
    <row r="5487" spans="7:12" x14ac:dyDescent="0.2">
      <c r="G5487" s="45"/>
      <c r="L5487" s="8"/>
    </row>
    <row r="5488" spans="7:12" x14ac:dyDescent="0.2">
      <c r="G5488" s="45"/>
      <c r="L5488" s="8"/>
    </row>
    <row r="5489" spans="7:12" x14ac:dyDescent="0.2">
      <c r="G5489" s="45"/>
      <c r="L5489" s="8"/>
    </row>
    <row r="5490" spans="7:12" x14ac:dyDescent="0.2">
      <c r="G5490" s="45"/>
      <c r="L5490" s="8"/>
    </row>
    <row r="5491" spans="7:12" x14ac:dyDescent="0.2">
      <c r="G5491" s="45"/>
      <c r="L5491" s="8"/>
    </row>
    <row r="5492" spans="7:12" x14ac:dyDescent="0.2">
      <c r="G5492" s="45"/>
      <c r="L5492" s="8"/>
    </row>
    <row r="5493" spans="7:12" x14ac:dyDescent="0.2">
      <c r="G5493" s="45"/>
      <c r="L5493" s="8"/>
    </row>
    <row r="5494" spans="7:12" x14ac:dyDescent="0.2">
      <c r="G5494" s="45"/>
      <c r="L5494" s="8"/>
    </row>
    <row r="5495" spans="7:12" x14ac:dyDescent="0.2">
      <c r="G5495" s="45"/>
      <c r="L5495" s="8"/>
    </row>
    <row r="5496" spans="7:12" x14ac:dyDescent="0.2">
      <c r="G5496" s="45"/>
      <c r="L5496" s="8"/>
    </row>
    <row r="5497" spans="7:12" x14ac:dyDescent="0.2">
      <c r="G5497" s="45"/>
      <c r="L5497" s="8"/>
    </row>
    <row r="5498" spans="7:12" x14ac:dyDescent="0.2">
      <c r="G5498" s="45"/>
      <c r="L5498" s="8"/>
    </row>
    <row r="5499" spans="7:12" x14ac:dyDescent="0.2">
      <c r="G5499" s="45"/>
      <c r="L5499" s="8"/>
    </row>
    <row r="5500" spans="7:12" x14ac:dyDescent="0.2">
      <c r="G5500" s="45"/>
      <c r="L5500" s="8"/>
    </row>
    <row r="5501" spans="7:12" x14ac:dyDescent="0.2">
      <c r="G5501" s="45"/>
      <c r="L5501" s="8"/>
    </row>
    <row r="5502" spans="7:12" x14ac:dyDescent="0.2">
      <c r="G5502" s="45"/>
      <c r="L5502" s="8"/>
    </row>
    <row r="5503" spans="7:12" x14ac:dyDescent="0.2">
      <c r="G5503" s="45"/>
      <c r="L5503" s="8"/>
    </row>
    <row r="5504" spans="7:12" x14ac:dyDescent="0.2">
      <c r="G5504" s="45"/>
      <c r="L5504" s="8"/>
    </row>
    <row r="5505" spans="7:12" x14ac:dyDescent="0.2">
      <c r="G5505" s="45"/>
      <c r="L5505" s="8"/>
    </row>
    <row r="5506" spans="7:12" x14ac:dyDescent="0.2">
      <c r="G5506" s="45"/>
      <c r="L5506" s="8"/>
    </row>
    <row r="5507" spans="7:12" x14ac:dyDescent="0.2">
      <c r="G5507" s="45"/>
      <c r="L5507" s="8"/>
    </row>
    <row r="5508" spans="7:12" x14ac:dyDescent="0.2">
      <c r="G5508" s="45"/>
      <c r="L5508" s="8"/>
    </row>
    <row r="5509" spans="7:12" x14ac:dyDescent="0.2">
      <c r="G5509" s="45"/>
      <c r="L5509" s="8"/>
    </row>
    <row r="5510" spans="7:12" x14ac:dyDescent="0.2">
      <c r="G5510" s="45"/>
      <c r="L5510" s="8"/>
    </row>
    <row r="5511" spans="7:12" x14ac:dyDescent="0.2">
      <c r="G5511" s="45"/>
      <c r="L5511" s="8"/>
    </row>
    <row r="5512" spans="7:12" x14ac:dyDescent="0.2">
      <c r="G5512" s="45"/>
      <c r="L5512" s="8"/>
    </row>
    <row r="5513" spans="7:12" x14ac:dyDescent="0.2">
      <c r="G5513" s="45"/>
      <c r="L5513" s="8"/>
    </row>
    <row r="5514" spans="7:12" x14ac:dyDescent="0.2">
      <c r="G5514" s="45"/>
      <c r="L5514" s="8"/>
    </row>
    <row r="5515" spans="7:12" x14ac:dyDescent="0.2">
      <c r="G5515" s="45"/>
      <c r="L5515" s="8"/>
    </row>
    <row r="5516" spans="7:12" x14ac:dyDescent="0.2">
      <c r="G5516" s="45"/>
      <c r="L5516" s="8"/>
    </row>
    <row r="5517" spans="7:12" x14ac:dyDescent="0.2">
      <c r="G5517" s="45"/>
      <c r="L5517" s="8"/>
    </row>
    <row r="5518" spans="7:12" x14ac:dyDescent="0.2">
      <c r="G5518" s="45"/>
      <c r="L5518" s="8"/>
    </row>
    <row r="5519" spans="7:12" x14ac:dyDescent="0.2">
      <c r="G5519" s="45"/>
      <c r="L5519" s="8"/>
    </row>
    <row r="5520" spans="7:12" x14ac:dyDescent="0.2">
      <c r="G5520" s="45"/>
      <c r="L5520" s="8"/>
    </row>
    <row r="5521" spans="7:12" x14ac:dyDescent="0.2">
      <c r="G5521" s="45"/>
      <c r="L5521" s="8"/>
    </row>
    <row r="5522" spans="7:12" x14ac:dyDescent="0.2">
      <c r="G5522" s="45"/>
      <c r="L5522" s="8"/>
    </row>
    <row r="5523" spans="7:12" x14ac:dyDescent="0.2">
      <c r="G5523" s="45"/>
      <c r="L5523" s="8"/>
    </row>
    <row r="5524" spans="7:12" x14ac:dyDescent="0.2">
      <c r="G5524" s="45"/>
      <c r="L5524" s="8"/>
    </row>
    <row r="5525" spans="7:12" x14ac:dyDescent="0.2">
      <c r="G5525" s="45"/>
      <c r="L5525" s="8"/>
    </row>
    <row r="5526" spans="7:12" x14ac:dyDescent="0.2">
      <c r="G5526" s="45"/>
      <c r="L5526" s="8"/>
    </row>
    <row r="5527" spans="7:12" x14ac:dyDescent="0.2">
      <c r="G5527" s="45"/>
      <c r="L5527" s="8"/>
    </row>
    <row r="5528" spans="7:12" x14ac:dyDescent="0.2">
      <c r="G5528" s="45"/>
      <c r="L5528" s="8"/>
    </row>
    <row r="5529" spans="7:12" x14ac:dyDescent="0.2">
      <c r="G5529" s="45"/>
      <c r="L5529" s="8"/>
    </row>
    <row r="5530" spans="7:12" x14ac:dyDescent="0.2">
      <c r="G5530" s="45"/>
      <c r="L5530" s="8"/>
    </row>
    <row r="5531" spans="7:12" x14ac:dyDescent="0.2">
      <c r="G5531" s="45"/>
      <c r="L5531" s="8"/>
    </row>
    <row r="5532" spans="7:12" x14ac:dyDescent="0.2">
      <c r="G5532" s="45"/>
      <c r="L5532" s="8"/>
    </row>
    <row r="5533" spans="7:12" x14ac:dyDescent="0.2">
      <c r="G5533" s="45"/>
      <c r="L5533" s="8"/>
    </row>
    <row r="5534" spans="7:12" x14ac:dyDescent="0.2">
      <c r="G5534" s="45"/>
      <c r="L5534" s="8"/>
    </row>
    <row r="5535" spans="7:12" x14ac:dyDescent="0.2">
      <c r="G5535" s="45"/>
      <c r="L5535" s="8"/>
    </row>
    <row r="5536" spans="7:12" x14ac:dyDescent="0.2">
      <c r="G5536" s="45"/>
      <c r="L5536" s="8"/>
    </row>
    <row r="5537" spans="7:12" x14ac:dyDescent="0.2">
      <c r="G5537" s="45"/>
      <c r="L5537" s="8"/>
    </row>
    <row r="5538" spans="7:12" x14ac:dyDescent="0.2">
      <c r="G5538" s="45"/>
      <c r="L5538" s="8"/>
    </row>
    <row r="5539" spans="7:12" x14ac:dyDescent="0.2">
      <c r="G5539" s="45"/>
      <c r="L5539" s="8"/>
    </row>
    <row r="5540" spans="7:12" x14ac:dyDescent="0.2">
      <c r="G5540" s="45"/>
      <c r="L5540" s="8"/>
    </row>
    <row r="5541" spans="7:12" x14ac:dyDescent="0.2">
      <c r="G5541" s="45"/>
      <c r="L5541" s="8"/>
    </row>
    <row r="5542" spans="7:12" x14ac:dyDescent="0.2">
      <c r="G5542" s="45"/>
      <c r="L5542" s="8"/>
    </row>
    <row r="5543" spans="7:12" x14ac:dyDescent="0.2">
      <c r="G5543" s="45"/>
      <c r="L5543" s="8"/>
    </row>
    <row r="5544" spans="7:12" x14ac:dyDescent="0.2">
      <c r="G5544" s="45"/>
      <c r="L5544" s="8"/>
    </row>
    <row r="5545" spans="7:12" x14ac:dyDescent="0.2">
      <c r="G5545" s="45"/>
      <c r="L5545" s="8"/>
    </row>
    <row r="5546" spans="7:12" x14ac:dyDescent="0.2">
      <c r="G5546" s="45"/>
      <c r="L5546" s="8"/>
    </row>
    <row r="5547" spans="7:12" x14ac:dyDescent="0.2">
      <c r="G5547" s="45"/>
      <c r="L5547" s="8"/>
    </row>
    <row r="5548" spans="7:12" x14ac:dyDescent="0.2">
      <c r="G5548" s="45"/>
      <c r="L5548" s="8"/>
    </row>
    <row r="5549" spans="7:12" x14ac:dyDescent="0.2">
      <c r="G5549" s="45"/>
      <c r="L5549" s="8"/>
    </row>
    <row r="5550" spans="7:12" x14ac:dyDescent="0.2">
      <c r="G5550" s="45"/>
      <c r="L5550" s="8"/>
    </row>
    <row r="5551" spans="7:12" x14ac:dyDescent="0.2">
      <c r="G5551" s="45"/>
      <c r="L5551" s="8"/>
    </row>
    <row r="5552" spans="7:12" x14ac:dyDescent="0.2">
      <c r="G5552" s="45"/>
      <c r="L5552" s="8"/>
    </row>
    <row r="5553" spans="7:12" x14ac:dyDescent="0.2">
      <c r="G5553" s="45"/>
      <c r="L5553" s="8"/>
    </row>
    <row r="5554" spans="7:12" x14ac:dyDescent="0.2">
      <c r="G5554" s="45"/>
      <c r="L5554" s="8"/>
    </row>
    <row r="5555" spans="7:12" x14ac:dyDescent="0.2">
      <c r="G5555" s="45"/>
      <c r="L5555" s="8"/>
    </row>
    <row r="5556" spans="7:12" x14ac:dyDescent="0.2">
      <c r="G5556" s="45"/>
      <c r="L5556" s="8"/>
    </row>
    <row r="5557" spans="7:12" x14ac:dyDescent="0.2">
      <c r="G5557" s="45"/>
      <c r="L5557" s="8"/>
    </row>
    <row r="5558" spans="7:12" x14ac:dyDescent="0.2">
      <c r="G5558" s="45"/>
      <c r="L5558" s="8"/>
    </row>
    <row r="5559" spans="7:12" x14ac:dyDescent="0.2">
      <c r="G5559" s="45"/>
      <c r="L5559" s="8"/>
    </row>
    <row r="5560" spans="7:12" x14ac:dyDescent="0.2">
      <c r="G5560" s="45"/>
      <c r="L5560" s="8"/>
    </row>
    <row r="5561" spans="7:12" x14ac:dyDescent="0.2">
      <c r="G5561" s="45"/>
      <c r="L5561" s="8"/>
    </row>
    <row r="5562" spans="7:12" x14ac:dyDescent="0.2">
      <c r="G5562" s="45"/>
      <c r="L5562" s="8"/>
    </row>
    <row r="5563" spans="7:12" x14ac:dyDescent="0.2">
      <c r="G5563" s="45"/>
      <c r="L5563" s="8"/>
    </row>
    <row r="5564" spans="7:12" x14ac:dyDescent="0.2">
      <c r="G5564" s="45"/>
      <c r="L5564" s="8"/>
    </row>
    <row r="5565" spans="7:12" x14ac:dyDescent="0.2">
      <c r="G5565" s="45"/>
      <c r="L5565" s="8"/>
    </row>
    <row r="5566" spans="7:12" x14ac:dyDescent="0.2">
      <c r="G5566" s="45"/>
      <c r="L5566" s="8"/>
    </row>
    <row r="5567" spans="7:12" x14ac:dyDescent="0.2">
      <c r="G5567" s="45"/>
      <c r="L5567" s="8"/>
    </row>
    <row r="5568" spans="7:12" x14ac:dyDescent="0.2">
      <c r="G5568" s="45"/>
      <c r="L5568" s="8"/>
    </row>
    <row r="5569" spans="7:12" x14ac:dyDescent="0.2">
      <c r="G5569" s="45"/>
      <c r="L5569" s="8"/>
    </row>
    <row r="5570" spans="7:12" x14ac:dyDescent="0.2">
      <c r="G5570" s="45"/>
      <c r="L5570" s="8"/>
    </row>
    <row r="5571" spans="7:12" x14ac:dyDescent="0.2">
      <c r="G5571" s="45"/>
      <c r="L5571" s="8"/>
    </row>
    <row r="5572" spans="7:12" x14ac:dyDescent="0.2">
      <c r="G5572" s="45"/>
      <c r="L5572" s="8"/>
    </row>
    <row r="5573" spans="7:12" x14ac:dyDescent="0.2">
      <c r="G5573" s="45"/>
      <c r="L5573" s="8"/>
    </row>
    <row r="5574" spans="7:12" x14ac:dyDescent="0.2">
      <c r="G5574" s="45"/>
      <c r="L5574" s="8"/>
    </row>
    <row r="5575" spans="7:12" x14ac:dyDescent="0.2">
      <c r="G5575" s="45"/>
      <c r="L5575" s="8"/>
    </row>
    <row r="5576" spans="7:12" x14ac:dyDescent="0.2">
      <c r="G5576" s="45"/>
      <c r="L5576" s="8"/>
    </row>
    <row r="5577" spans="7:12" x14ac:dyDescent="0.2">
      <c r="G5577" s="45"/>
      <c r="L5577" s="8"/>
    </row>
    <row r="5578" spans="7:12" x14ac:dyDescent="0.2">
      <c r="G5578" s="45"/>
      <c r="L5578" s="8"/>
    </row>
    <row r="5579" spans="7:12" x14ac:dyDescent="0.2">
      <c r="G5579" s="45"/>
      <c r="L5579" s="8"/>
    </row>
    <row r="5580" spans="7:12" x14ac:dyDescent="0.2">
      <c r="G5580" s="45"/>
      <c r="L5580" s="8"/>
    </row>
    <row r="5581" spans="7:12" x14ac:dyDescent="0.2">
      <c r="G5581" s="45"/>
      <c r="L5581" s="8"/>
    </row>
    <row r="5582" spans="7:12" x14ac:dyDescent="0.2">
      <c r="G5582" s="45"/>
      <c r="L5582" s="8"/>
    </row>
    <row r="5583" spans="7:12" x14ac:dyDescent="0.2">
      <c r="G5583" s="45"/>
      <c r="L5583" s="8"/>
    </row>
    <row r="5584" spans="7:12" x14ac:dyDescent="0.2">
      <c r="G5584" s="45"/>
      <c r="L5584" s="8"/>
    </row>
    <row r="5585" spans="7:12" x14ac:dyDescent="0.2">
      <c r="G5585" s="45"/>
      <c r="L5585" s="8"/>
    </row>
    <row r="5586" spans="7:12" x14ac:dyDescent="0.2">
      <c r="G5586" s="45"/>
      <c r="L5586" s="8"/>
    </row>
    <row r="5587" spans="7:12" x14ac:dyDescent="0.2">
      <c r="G5587" s="45"/>
      <c r="L5587" s="8"/>
    </row>
    <row r="5588" spans="7:12" x14ac:dyDescent="0.2">
      <c r="G5588" s="45"/>
      <c r="L5588" s="8"/>
    </row>
    <row r="5589" spans="7:12" x14ac:dyDescent="0.2">
      <c r="G5589" s="45"/>
      <c r="L5589" s="8"/>
    </row>
    <row r="5590" spans="7:12" x14ac:dyDescent="0.2">
      <c r="G5590" s="45"/>
      <c r="L5590" s="8"/>
    </row>
    <row r="5591" spans="7:12" x14ac:dyDescent="0.2">
      <c r="G5591" s="45"/>
      <c r="L5591" s="8"/>
    </row>
    <row r="5592" spans="7:12" x14ac:dyDescent="0.2">
      <c r="G5592" s="45"/>
      <c r="L5592" s="8"/>
    </row>
    <row r="5593" spans="7:12" x14ac:dyDescent="0.2">
      <c r="G5593" s="45"/>
      <c r="L5593" s="8"/>
    </row>
    <row r="5594" spans="7:12" x14ac:dyDescent="0.2">
      <c r="G5594" s="45"/>
      <c r="L5594" s="8"/>
    </row>
    <row r="5595" spans="7:12" x14ac:dyDescent="0.2">
      <c r="G5595" s="45"/>
      <c r="L5595" s="8"/>
    </row>
    <row r="5596" spans="7:12" x14ac:dyDescent="0.2">
      <c r="G5596" s="45"/>
      <c r="L5596" s="8"/>
    </row>
    <row r="5597" spans="7:12" x14ac:dyDescent="0.2">
      <c r="G5597" s="45"/>
      <c r="L5597" s="8"/>
    </row>
    <row r="5598" spans="7:12" x14ac:dyDescent="0.2">
      <c r="G5598" s="45"/>
      <c r="L5598" s="8"/>
    </row>
    <row r="5599" spans="7:12" x14ac:dyDescent="0.2">
      <c r="G5599" s="45"/>
      <c r="L5599" s="8"/>
    </row>
    <row r="5600" spans="7:12" x14ac:dyDescent="0.2">
      <c r="G5600" s="45"/>
      <c r="L5600" s="8"/>
    </row>
    <row r="5601" spans="7:12" x14ac:dyDescent="0.2">
      <c r="G5601" s="45"/>
      <c r="L5601" s="8"/>
    </row>
    <row r="5602" spans="7:12" x14ac:dyDescent="0.2">
      <c r="G5602" s="45"/>
      <c r="L5602" s="8"/>
    </row>
    <row r="5603" spans="7:12" x14ac:dyDescent="0.2">
      <c r="G5603" s="45"/>
      <c r="L5603" s="8"/>
    </row>
    <row r="5604" spans="7:12" x14ac:dyDescent="0.2">
      <c r="G5604" s="45"/>
      <c r="L5604" s="8"/>
    </row>
    <row r="5605" spans="7:12" x14ac:dyDescent="0.2">
      <c r="G5605" s="45"/>
      <c r="L5605" s="8"/>
    </row>
    <row r="5606" spans="7:12" x14ac:dyDescent="0.2">
      <c r="G5606" s="45"/>
      <c r="L5606" s="8"/>
    </row>
    <row r="5607" spans="7:12" x14ac:dyDescent="0.2">
      <c r="G5607" s="45"/>
      <c r="L5607" s="8"/>
    </row>
    <row r="5608" spans="7:12" x14ac:dyDescent="0.2">
      <c r="G5608" s="45"/>
      <c r="L5608" s="8"/>
    </row>
    <row r="5609" spans="7:12" x14ac:dyDescent="0.2">
      <c r="G5609" s="45"/>
      <c r="L5609" s="8"/>
    </row>
    <row r="5610" spans="7:12" x14ac:dyDescent="0.2">
      <c r="G5610" s="45"/>
      <c r="L5610" s="8"/>
    </row>
    <row r="5611" spans="7:12" x14ac:dyDescent="0.2">
      <c r="G5611" s="45"/>
      <c r="L5611" s="8"/>
    </row>
    <row r="5612" spans="7:12" x14ac:dyDescent="0.2">
      <c r="G5612" s="45"/>
      <c r="L5612" s="8"/>
    </row>
    <row r="5613" spans="7:12" x14ac:dyDescent="0.2">
      <c r="G5613" s="45"/>
      <c r="L5613" s="8"/>
    </row>
    <row r="5614" spans="7:12" x14ac:dyDescent="0.2">
      <c r="G5614" s="45"/>
      <c r="L5614" s="8"/>
    </row>
    <row r="5615" spans="7:12" x14ac:dyDescent="0.2">
      <c r="G5615" s="45"/>
      <c r="L5615" s="8"/>
    </row>
    <row r="5616" spans="7:12" x14ac:dyDescent="0.2">
      <c r="G5616" s="45"/>
      <c r="L5616" s="8"/>
    </row>
    <row r="5617" spans="7:12" x14ac:dyDescent="0.2">
      <c r="G5617" s="45"/>
      <c r="L5617" s="8"/>
    </row>
    <row r="5618" spans="7:12" x14ac:dyDescent="0.2">
      <c r="G5618" s="45"/>
      <c r="L5618" s="8"/>
    </row>
    <row r="5619" spans="7:12" x14ac:dyDescent="0.2">
      <c r="G5619" s="45"/>
      <c r="L5619" s="8"/>
    </row>
    <row r="5620" spans="7:12" x14ac:dyDescent="0.2">
      <c r="G5620" s="45"/>
      <c r="L5620" s="8"/>
    </row>
    <row r="5621" spans="7:12" x14ac:dyDescent="0.2">
      <c r="G5621" s="45"/>
      <c r="L5621" s="8"/>
    </row>
    <row r="5622" spans="7:12" x14ac:dyDescent="0.2">
      <c r="G5622" s="45"/>
      <c r="L5622" s="8"/>
    </row>
    <row r="5623" spans="7:12" x14ac:dyDescent="0.2">
      <c r="G5623" s="45"/>
      <c r="L5623" s="8"/>
    </row>
    <row r="5624" spans="7:12" x14ac:dyDescent="0.2">
      <c r="G5624" s="45"/>
      <c r="L5624" s="8"/>
    </row>
    <row r="5625" spans="7:12" x14ac:dyDescent="0.2">
      <c r="G5625" s="45"/>
      <c r="L5625" s="8"/>
    </row>
    <row r="5626" spans="7:12" x14ac:dyDescent="0.2">
      <c r="G5626" s="45"/>
      <c r="L5626" s="8"/>
    </row>
    <row r="5627" spans="7:12" x14ac:dyDescent="0.2">
      <c r="G5627" s="45"/>
      <c r="L5627" s="8"/>
    </row>
    <row r="5628" spans="7:12" x14ac:dyDescent="0.2">
      <c r="G5628" s="45"/>
      <c r="L5628" s="8"/>
    </row>
    <row r="5629" spans="7:12" x14ac:dyDescent="0.2">
      <c r="G5629" s="45"/>
      <c r="L5629" s="8"/>
    </row>
    <row r="5630" spans="7:12" x14ac:dyDescent="0.2">
      <c r="G5630" s="45"/>
      <c r="L5630" s="8"/>
    </row>
    <row r="5631" spans="7:12" x14ac:dyDescent="0.2">
      <c r="G5631" s="45"/>
      <c r="L5631" s="8"/>
    </row>
    <row r="5632" spans="7:12" x14ac:dyDescent="0.2">
      <c r="G5632" s="45"/>
      <c r="L5632" s="8"/>
    </row>
    <row r="5633" spans="7:12" x14ac:dyDescent="0.2">
      <c r="G5633" s="45"/>
      <c r="L5633" s="8"/>
    </row>
    <row r="5634" spans="7:12" x14ac:dyDescent="0.2">
      <c r="G5634" s="45"/>
      <c r="L5634" s="8"/>
    </row>
    <row r="5635" spans="7:12" x14ac:dyDescent="0.2">
      <c r="G5635" s="45"/>
      <c r="L5635" s="8"/>
    </row>
    <row r="5636" spans="7:12" x14ac:dyDescent="0.2">
      <c r="G5636" s="45"/>
      <c r="L5636" s="8"/>
    </row>
    <row r="5637" spans="7:12" x14ac:dyDescent="0.2">
      <c r="G5637" s="45"/>
      <c r="L5637" s="8"/>
    </row>
    <row r="5638" spans="7:12" x14ac:dyDescent="0.2">
      <c r="G5638" s="45"/>
      <c r="L5638" s="8"/>
    </row>
    <row r="5639" spans="7:12" x14ac:dyDescent="0.2">
      <c r="G5639" s="45"/>
      <c r="L5639" s="8"/>
    </row>
    <row r="5640" spans="7:12" x14ac:dyDescent="0.2">
      <c r="G5640" s="45"/>
      <c r="L5640" s="8"/>
    </row>
    <row r="5641" spans="7:12" x14ac:dyDescent="0.2">
      <c r="G5641" s="45"/>
      <c r="L5641" s="8"/>
    </row>
    <row r="5642" spans="7:12" x14ac:dyDescent="0.2">
      <c r="G5642" s="45"/>
      <c r="L5642" s="8"/>
    </row>
    <row r="5643" spans="7:12" x14ac:dyDescent="0.2">
      <c r="G5643" s="45"/>
      <c r="L5643" s="8"/>
    </row>
    <row r="5644" spans="7:12" x14ac:dyDescent="0.2">
      <c r="G5644" s="45"/>
      <c r="L5644" s="8"/>
    </row>
    <row r="5645" spans="7:12" x14ac:dyDescent="0.2">
      <c r="G5645" s="45"/>
      <c r="L5645" s="8"/>
    </row>
    <row r="5646" spans="7:12" x14ac:dyDescent="0.2">
      <c r="G5646" s="45"/>
      <c r="L5646" s="8"/>
    </row>
    <row r="5647" spans="7:12" x14ac:dyDescent="0.2">
      <c r="G5647" s="45"/>
      <c r="L5647" s="8"/>
    </row>
    <row r="5648" spans="7:12" x14ac:dyDescent="0.2">
      <c r="G5648" s="45"/>
      <c r="L5648" s="8"/>
    </row>
    <row r="5649" spans="7:12" x14ac:dyDescent="0.2">
      <c r="G5649" s="45"/>
      <c r="L5649" s="8"/>
    </row>
    <row r="5650" spans="7:12" x14ac:dyDescent="0.2">
      <c r="G5650" s="45"/>
      <c r="L5650" s="8"/>
    </row>
    <row r="5651" spans="7:12" x14ac:dyDescent="0.2">
      <c r="G5651" s="45"/>
      <c r="L5651" s="8"/>
    </row>
    <row r="5652" spans="7:12" x14ac:dyDescent="0.2">
      <c r="G5652" s="45"/>
      <c r="L5652" s="8"/>
    </row>
    <row r="5653" spans="7:12" x14ac:dyDescent="0.2">
      <c r="G5653" s="45"/>
      <c r="L5653" s="8"/>
    </row>
    <row r="5654" spans="7:12" x14ac:dyDescent="0.2">
      <c r="G5654" s="45"/>
      <c r="L5654" s="8"/>
    </row>
    <row r="5655" spans="7:12" x14ac:dyDescent="0.2">
      <c r="G5655" s="45"/>
      <c r="L5655" s="8"/>
    </row>
    <row r="5656" spans="7:12" x14ac:dyDescent="0.2">
      <c r="G5656" s="45"/>
      <c r="L5656" s="8"/>
    </row>
    <row r="5657" spans="7:12" x14ac:dyDescent="0.2">
      <c r="G5657" s="45"/>
      <c r="L5657" s="8"/>
    </row>
    <row r="5658" spans="7:12" x14ac:dyDescent="0.2">
      <c r="G5658" s="45"/>
      <c r="L5658" s="8"/>
    </row>
    <row r="5659" spans="7:12" x14ac:dyDescent="0.2">
      <c r="G5659" s="45"/>
      <c r="L5659" s="8"/>
    </row>
    <row r="5660" spans="7:12" x14ac:dyDescent="0.2">
      <c r="G5660" s="45"/>
      <c r="L5660" s="8"/>
    </row>
    <row r="5661" spans="7:12" x14ac:dyDescent="0.2">
      <c r="G5661" s="45"/>
      <c r="L5661" s="8"/>
    </row>
    <row r="5662" spans="7:12" x14ac:dyDescent="0.2">
      <c r="G5662" s="45"/>
      <c r="L5662" s="8"/>
    </row>
    <row r="5663" spans="7:12" x14ac:dyDescent="0.2">
      <c r="G5663" s="45"/>
      <c r="L5663" s="8"/>
    </row>
    <row r="5664" spans="7:12" x14ac:dyDescent="0.2">
      <c r="G5664" s="45"/>
      <c r="L5664" s="8"/>
    </row>
    <row r="5665" spans="7:12" x14ac:dyDescent="0.2">
      <c r="G5665" s="45"/>
      <c r="L5665" s="8"/>
    </row>
    <row r="5666" spans="7:12" x14ac:dyDescent="0.2">
      <c r="G5666" s="45"/>
      <c r="L5666" s="8"/>
    </row>
    <row r="5667" spans="7:12" x14ac:dyDescent="0.2">
      <c r="G5667" s="45"/>
      <c r="L5667" s="8"/>
    </row>
    <row r="5668" spans="7:12" x14ac:dyDescent="0.2">
      <c r="G5668" s="45"/>
      <c r="L5668" s="8"/>
    </row>
    <row r="5669" spans="7:12" x14ac:dyDescent="0.2">
      <c r="G5669" s="45"/>
      <c r="L5669" s="8"/>
    </row>
    <row r="5670" spans="7:12" x14ac:dyDescent="0.2">
      <c r="G5670" s="45"/>
      <c r="L5670" s="8"/>
    </row>
    <row r="5671" spans="7:12" x14ac:dyDescent="0.2">
      <c r="G5671" s="45"/>
      <c r="L5671" s="8"/>
    </row>
    <row r="5672" spans="7:12" x14ac:dyDescent="0.2">
      <c r="G5672" s="45"/>
      <c r="L5672" s="8"/>
    </row>
    <row r="5673" spans="7:12" x14ac:dyDescent="0.2">
      <c r="G5673" s="45"/>
      <c r="L5673" s="8"/>
    </row>
    <row r="5674" spans="7:12" x14ac:dyDescent="0.2">
      <c r="G5674" s="45"/>
      <c r="L5674" s="8"/>
    </row>
    <row r="5675" spans="7:12" x14ac:dyDescent="0.2">
      <c r="G5675" s="45"/>
      <c r="L5675" s="8"/>
    </row>
    <row r="5676" spans="7:12" x14ac:dyDescent="0.2">
      <c r="G5676" s="45"/>
      <c r="L5676" s="8"/>
    </row>
    <row r="5677" spans="7:12" x14ac:dyDescent="0.2">
      <c r="G5677" s="45"/>
      <c r="L5677" s="8"/>
    </row>
    <row r="5678" spans="7:12" x14ac:dyDescent="0.2">
      <c r="G5678" s="45"/>
      <c r="L5678" s="8"/>
    </row>
    <row r="5679" spans="7:12" x14ac:dyDescent="0.2">
      <c r="G5679" s="45"/>
      <c r="L5679" s="8"/>
    </row>
    <row r="5680" spans="7:12" x14ac:dyDescent="0.2">
      <c r="G5680" s="45"/>
      <c r="L5680" s="8"/>
    </row>
    <row r="5681" spans="7:12" x14ac:dyDescent="0.2">
      <c r="G5681" s="45"/>
      <c r="L5681" s="8"/>
    </row>
    <row r="5682" spans="7:12" x14ac:dyDescent="0.2">
      <c r="G5682" s="45"/>
      <c r="L5682" s="8"/>
    </row>
    <row r="5683" spans="7:12" x14ac:dyDescent="0.2">
      <c r="G5683" s="45"/>
      <c r="L5683" s="8"/>
    </row>
    <row r="5684" spans="7:12" x14ac:dyDescent="0.2">
      <c r="G5684" s="45"/>
      <c r="L5684" s="8"/>
    </row>
    <row r="5685" spans="7:12" x14ac:dyDescent="0.2">
      <c r="G5685" s="45"/>
      <c r="L5685" s="8"/>
    </row>
    <row r="5686" spans="7:12" x14ac:dyDescent="0.2">
      <c r="G5686" s="45"/>
      <c r="L5686" s="8"/>
    </row>
    <row r="5687" spans="7:12" x14ac:dyDescent="0.2">
      <c r="G5687" s="45"/>
      <c r="L5687" s="8"/>
    </row>
    <row r="5688" spans="7:12" x14ac:dyDescent="0.2">
      <c r="G5688" s="45"/>
      <c r="L5688" s="8"/>
    </row>
    <row r="5689" spans="7:12" x14ac:dyDescent="0.2">
      <c r="G5689" s="45"/>
      <c r="L5689" s="8"/>
    </row>
    <row r="5690" spans="7:12" x14ac:dyDescent="0.2">
      <c r="G5690" s="45"/>
      <c r="L5690" s="8"/>
    </row>
    <row r="5691" spans="7:12" x14ac:dyDescent="0.2">
      <c r="G5691" s="45"/>
      <c r="L5691" s="8"/>
    </row>
    <row r="5692" spans="7:12" x14ac:dyDescent="0.2">
      <c r="G5692" s="45"/>
      <c r="L5692" s="8"/>
    </row>
    <row r="5693" spans="7:12" x14ac:dyDescent="0.2">
      <c r="G5693" s="45"/>
      <c r="L5693" s="8"/>
    </row>
    <row r="5694" spans="7:12" x14ac:dyDescent="0.2">
      <c r="G5694" s="45"/>
      <c r="L5694" s="8"/>
    </row>
    <row r="5695" spans="7:12" x14ac:dyDescent="0.2">
      <c r="G5695" s="45"/>
      <c r="L5695" s="8"/>
    </row>
    <row r="5696" spans="7:12" x14ac:dyDescent="0.2">
      <c r="G5696" s="45"/>
      <c r="L5696" s="8"/>
    </row>
    <row r="5697" spans="7:12" x14ac:dyDescent="0.2">
      <c r="G5697" s="45"/>
      <c r="L5697" s="8"/>
    </row>
    <row r="5698" spans="7:12" x14ac:dyDescent="0.2">
      <c r="G5698" s="45"/>
      <c r="L5698" s="8"/>
    </row>
    <row r="5699" spans="7:12" x14ac:dyDescent="0.2">
      <c r="G5699" s="45"/>
      <c r="L5699" s="8"/>
    </row>
    <row r="5700" spans="7:12" x14ac:dyDescent="0.2">
      <c r="G5700" s="45"/>
      <c r="L5700" s="8"/>
    </row>
    <row r="5701" spans="7:12" x14ac:dyDescent="0.2">
      <c r="G5701" s="45"/>
      <c r="L5701" s="8"/>
    </row>
    <row r="5702" spans="7:12" x14ac:dyDescent="0.2">
      <c r="G5702" s="45"/>
      <c r="L5702" s="8"/>
    </row>
    <row r="5703" spans="7:12" x14ac:dyDescent="0.2">
      <c r="G5703" s="45"/>
      <c r="L5703" s="8"/>
    </row>
    <row r="5704" spans="7:12" x14ac:dyDescent="0.2">
      <c r="G5704" s="45"/>
      <c r="L5704" s="8"/>
    </row>
    <row r="5705" spans="7:12" x14ac:dyDescent="0.2">
      <c r="G5705" s="45"/>
      <c r="L5705" s="8"/>
    </row>
    <row r="5706" spans="7:12" x14ac:dyDescent="0.2">
      <c r="G5706" s="45"/>
      <c r="L5706" s="8"/>
    </row>
    <row r="5707" spans="7:12" x14ac:dyDescent="0.2">
      <c r="G5707" s="45"/>
      <c r="L5707" s="8"/>
    </row>
    <row r="5708" spans="7:12" x14ac:dyDescent="0.2">
      <c r="G5708" s="45"/>
      <c r="L5708" s="8"/>
    </row>
    <row r="5709" spans="7:12" x14ac:dyDescent="0.2">
      <c r="G5709" s="45"/>
      <c r="L5709" s="8"/>
    </row>
    <row r="5710" spans="7:12" x14ac:dyDescent="0.2">
      <c r="G5710" s="45"/>
      <c r="L5710" s="8"/>
    </row>
    <row r="5711" spans="7:12" x14ac:dyDescent="0.2">
      <c r="G5711" s="45"/>
      <c r="L5711" s="8"/>
    </row>
    <row r="5712" spans="7:12" x14ac:dyDescent="0.2">
      <c r="G5712" s="45"/>
      <c r="L5712" s="8"/>
    </row>
    <row r="5713" spans="7:12" x14ac:dyDescent="0.2">
      <c r="G5713" s="45"/>
      <c r="L5713" s="8"/>
    </row>
    <row r="5714" spans="7:12" x14ac:dyDescent="0.2">
      <c r="G5714" s="45"/>
      <c r="L5714" s="8"/>
    </row>
    <row r="5715" spans="7:12" x14ac:dyDescent="0.2">
      <c r="G5715" s="45"/>
      <c r="L5715" s="8"/>
    </row>
    <row r="5716" spans="7:12" x14ac:dyDescent="0.2">
      <c r="G5716" s="45"/>
      <c r="L5716" s="8"/>
    </row>
    <row r="5717" spans="7:12" x14ac:dyDescent="0.2">
      <c r="G5717" s="45"/>
      <c r="L5717" s="8"/>
    </row>
    <row r="5718" spans="7:12" x14ac:dyDescent="0.2">
      <c r="G5718" s="45"/>
      <c r="L5718" s="8"/>
    </row>
    <row r="5719" spans="7:12" x14ac:dyDescent="0.2">
      <c r="G5719" s="45"/>
      <c r="L5719" s="8"/>
    </row>
    <row r="5720" spans="7:12" x14ac:dyDescent="0.2">
      <c r="G5720" s="45"/>
      <c r="L5720" s="8"/>
    </row>
    <row r="5721" spans="7:12" x14ac:dyDescent="0.2">
      <c r="G5721" s="45"/>
      <c r="L5721" s="8"/>
    </row>
    <row r="5722" spans="7:12" x14ac:dyDescent="0.2">
      <c r="G5722" s="45"/>
      <c r="L5722" s="8"/>
    </row>
    <row r="5723" spans="7:12" x14ac:dyDescent="0.2">
      <c r="G5723" s="45"/>
      <c r="L5723" s="8"/>
    </row>
    <row r="5724" spans="7:12" x14ac:dyDescent="0.2">
      <c r="G5724" s="45"/>
      <c r="L5724" s="8"/>
    </row>
    <row r="5725" spans="7:12" x14ac:dyDescent="0.2">
      <c r="G5725" s="45"/>
      <c r="L5725" s="8"/>
    </row>
    <row r="5726" spans="7:12" x14ac:dyDescent="0.2">
      <c r="G5726" s="45"/>
      <c r="L5726" s="8"/>
    </row>
    <row r="5727" spans="7:12" x14ac:dyDescent="0.2">
      <c r="G5727" s="45"/>
      <c r="L5727" s="8"/>
    </row>
    <row r="5728" spans="7:12" x14ac:dyDescent="0.2">
      <c r="G5728" s="45"/>
      <c r="L5728" s="8"/>
    </row>
    <row r="5729" spans="7:12" x14ac:dyDescent="0.2">
      <c r="G5729" s="45"/>
      <c r="L5729" s="8"/>
    </row>
    <row r="5730" spans="7:12" x14ac:dyDescent="0.2">
      <c r="G5730" s="45"/>
      <c r="L5730" s="8"/>
    </row>
    <row r="5731" spans="7:12" x14ac:dyDescent="0.2">
      <c r="G5731" s="45"/>
      <c r="L5731" s="8"/>
    </row>
    <row r="5732" spans="7:12" x14ac:dyDescent="0.2">
      <c r="G5732" s="45"/>
      <c r="L5732" s="8"/>
    </row>
    <row r="5733" spans="7:12" x14ac:dyDescent="0.2">
      <c r="G5733" s="45"/>
      <c r="L5733" s="8"/>
    </row>
    <row r="5734" spans="7:12" x14ac:dyDescent="0.2">
      <c r="G5734" s="45"/>
      <c r="L5734" s="8"/>
    </row>
    <row r="5735" spans="7:12" x14ac:dyDescent="0.2">
      <c r="G5735" s="45"/>
      <c r="L5735" s="8"/>
    </row>
    <row r="5736" spans="7:12" x14ac:dyDescent="0.2">
      <c r="G5736" s="45"/>
      <c r="L5736" s="8"/>
    </row>
    <row r="5737" spans="7:12" x14ac:dyDescent="0.2">
      <c r="G5737" s="45"/>
      <c r="L5737" s="8"/>
    </row>
    <row r="5738" spans="7:12" x14ac:dyDescent="0.2">
      <c r="G5738" s="45"/>
      <c r="L5738" s="8"/>
    </row>
    <row r="5739" spans="7:12" x14ac:dyDescent="0.2">
      <c r="G5739" s="45"/>
      <c r="L5739" s="8"/>
    </row>
    <row r="5740" spans="7:12" x14ac:dyDescent="0.2">
      <c r="G5740" s="45"/>
      <c r="L5740" s="8"/>
    </row>
    <row r="5741" spans="7:12" x14ac:dyDescent="0.2">
      <c r="G5741" s="45"/>
      <c r="L5741" s="8"/>
    </row>
    <row r="5742" spans="7:12" x14ac:dyDescent="0.2">
      <c r="G5742" s="45"/>
      <c r="L5742" s="8"/>
    </row>
    <row r="5743" spans="7:12" x14ac:dyDescent="0.2">
      <c r="G5743" s="45"/>
      <c r="L5743" s="8"/>
    </row>
    <row r="5744" spans="7:12" x14ac:dyDescent="0.2">
      <c r="G5744" s="45"/>
      <c r="L5744" s="8"/>
    </row>
    <row r="5745" spans="7:12" x14ac:dyDescent="0.2">
      <c r="G5745" s="45"/>
      <c r="L5745" s="8"/>
    </row>
    <row r="5746" spans="7:12" x14ac:dyDescent="0.2">
      <c r="G5746" s="45"/>
      <c r="L5746" s="8"/>
    </row>
    <row r="5747" spans="7:12" x14ac:dyDescent="0.2">
      <c r="G5747" s="45"/>
      <c r="L5747" s="8"/>
    </row>
    <row r="5748" spans="7:12" x14ac:dyDescent="0.2">
      <c r="G5748" s="45"/>
      <c r="L5748" s="8"/>
    </row>
    <row r="5749" spans="7:12" x14ac:dyDescent="0.2">
      <c r="G5749" s="45"/>
      <c r="L5749" s="8"/>
    </row>
    <row r="5750" spans="7:12" x14ac:dyDescent="0.2">
      <c r="G5750" s="45"/>
      <c r="L5750" s="8"/>
    </row>
    <row r="5751" spans="7:12" x14ac:dyDescent="0.2">
      <c r="G5751" s="45"/>
      <c r="L5751" s="8"/>
    </row>
    <row r="5752" spans="7:12" x14ac:dyDescent="0.2">
      <c r="G5752" s="45"/>
      <c r="L5752" s="8"/>
    </row>
    <row r="5753" spans="7:12" x14ac:dyDescent="0.2">
      <c r="G5753" s="45"/>
      <c r="L5753" s="8"/>
    </row>
    <row r="5754" spans="7:12" x14ac:dyDescent="0.2">
      <c r="G5754" s="45"/>
      <c r="L5754" s="8"/>
    </row>
    <row r="5755" spans="7:12" x14ac:dyDescent="0.2">
      <c r="G5755" s="45"/>
      <c r="L5755" s="8"/>
    </row>
    <row r="5756" spans="7:12" x14ac:dyDescent="0.2">
      <c r="G5756" s="45"/>
      <c r="L5756" s="8"/>
    </row>
    <row r="5757" spans="7:12" x14ac:dyDescent="0.2">
      <c r="G5757" s="45"/>
      <c r="L5757" s="8"/>
    </row>
    <row r="5758" spans="7:12" x14ac:dyDescent="0.2">
      <c r="G5758" s="45"/>
      <c r="L5758" s="8"/>
    </row>
    <row r="5759" spans="7:12" x14ac:dyDescent="0.2">
      <c r="G5759" s="45"/>
      <c r="L5759" s="8"/>
    </row>
    <row r="5760" spans="7:12" x14ac:dyDescent="0.2">
      <c r="G5760" s="45"/>
      <c r="L5760" s="8"/>
    </row>
    <row r="5761" spans="7:12" x14ac:dyDescent="0.2">
      <c r="G5761" s="45"/>
      <c r="L5761" s="8"/>
    </row>
    <row r="5762" spans="7:12" x14ac:dyDescent="0.2">
      <c r="G5762" s="45"/>
      <c r="L5762" s="8"/>
    </row>
    <row r="5763" spans="7:12" x14ac:dyDescent="0.2">
      <c r="G5763" s="45"/>
      <c r="L5763" s="8"/>
    </row>
    <row r="5764" spans="7:12" x14ac:dyDescent="0.2">
      <c r="G5764" s="45"/>
      <c r="L5764" s="8"/>
    </row>
    <row r="5765" spans="7:12" x14ac:dyDescent="0.2">
      <c r="G5765" s="45"/>
      <c r="L5765" s="8"/>
    </row>
    <row r="5766" spans="7:12" x14ac:dyDescent="0.2">
      <c r="G5766" s="45"/>
      <c r="L5766" s="8"/>
    </row>
    <row r="5767" spans="7:12" x14ac:dyDescent="0.2">
      <c r="G5767" s="45"/>
      <c r="L5767" s="8"/>
    </row>
    <row r="5768" spans="7:12" x14ac:dyDescent="0.2">
      <c r="G5768" s="45"/>
      <c r="L5768" s="8"/>
    </row>
    <row r="5769" spans="7:12" x14ac:dyDescent="0.2">
      <c r="G5769" s="45"/>
      <c r="L5769" s="8"/>
    </row>
    <row r="5770" spans="7:12" x14ac:dyDescent="0.2">
      <c r="G5770" s="45"/>
      <c r="L5770" s="8"/>
    </row>
    <row r="5771" spans="7:12" x14ac:dyDescent="0.2">
      <c r="G5771" s="45"/>
      <c r="L5771" s="8"/>
    </row>
    <row r="5772" spans="7:12" x14ac:dyDescent="0.2">
      <c r="G5772" s="45"/>
      <c r="L5772" s="8"/>
    </row>
    <row r="5773" spans="7:12" x14ac:dyDescent="0.2">
      <c r="G5773" s="45"/>
      <c r="L5773" s="8"/>
    </row>
    <row r="5774" spans="7:12" x14ac:dyDescent="0.2">
      <c r="G5774" s="45"/>
      <c r="L5774" s="8"/>
    </row>
    <row r="5775" spans="7:12" x14ac:dyDescent="0.2">
      <c r="G5775" s="45"/>
      <c r="L5775" s="8"/>
    </row>
    <row r="5776" spans="7:12" x14ac:dyDescent="0.2">
      <c r="G5776" s="45"/>
      <c r="L5776" s="8"/>
    </row>
    <row r="5777" spans="7:12" x14ac:dyDescent="0.2">
      <c r="G5777" s="45"/>
      <c r="L5777" s="8"/>
    </row>
    <row r="5778" spans="7:12" x14ac:dyDescent="0.2">
      <c r="G5778" s="45"/>
      <c r="L5778" s="8"/>
    </row>
    <row r="5779" spans="7:12" x14ac:dyDescent="0.2">
      <c r="G5779" s="45"/>
      <c r="L5779" s="8"/>
    </row>
    <row r="5780" spans="7:12" x14ac:dyDescent="0.2">
      <c r="G5780" s="45"/>
      <c r="L5780" s="8"/>
    </row>
    <row r="5781" spans="7:12" x14ac:dyDescent="0.2">
      <c r="G5781" s="45"/>
      <c r="L5781" s="8"/>
    </row>
    <row r="5782" spans="7:12" x14ac:dyDescent="0.2">
      <c r="G5782" s="45"/>
      <c r="L5782" s="8"/>
    </row>
    <row r="5783" spans="7:12" x14ac:dyDescent="0.2">
      <c r="G5783" s="45"/>
      <c r="L5783" s="8"/>
    </row>
    <row r="5784" spans="7:12" x14ac:dyDescent="0.2">
      <c r="G5784" s="45"/>
      <c r="L5784" s="8"/>
    </row>
    <row r="5785" spans="7:12" x14ac:dyDescent="0.2">
      <c r="G5785" s="45"/>
      <c r="L5785" s="8"/>
    </row>
    <row r="5786" spans="7:12" x14ac:dyDescent="0.2">
      <c r="G5786" s="45"/>
      <c r="L5786" s="8"/>
    </row>
    <row r="5787" spans="7:12" x14ac:dyDescent="0.2">
      <c r="G5787" s="45"/>
      <c r="L5787" s="8"/>
    </row>
    <row r="5788" spans="7:12" x14ac:dyDescent="0.2">
      <c r="G5788" s="45"/>
      <c r="L5788" s="8"/>
    </row>
    <row r="5789" spans="7:12" x14ac:dyDescent="0.2">
      <c r="G5789" s="45"/>
      <c r="L5789" s="8"/>
    </row>
    <row r="5790" spans="7:12" x14ac:dyDescent="0.2">
      <c r="G5790" s="45"/>
      <c r="L5790" s="8"/>
    </row>
    <row r="5791" spans="7:12" x14ac:dyDescent="0.2">
      <c r="G5791" s="45"/>
      <c r="L5791" s="8"/>
    </row>
    <row r="5792" spans="7:12" x14ac:dyDescent="0.2">
      <c r="G5792" s="45"/>
      <c r="L5792" s="8"/>
    </row>
    <row r="5793" spans="7:12" x14ac:dyDescent="0.2">
      <c r="G5793" s="45"/>
      <c r="L5793" s="8"/>
    </row>
    <row r="5794" spans="7:12" x14ac:dyDescent="0.2">
      <c r="G5794" s="45"/>
      <c r="L5794" s="8"/>
    </row>
    <row r="5795" spans="7:12" x14ac:dyDescent="0.2">
      <c r="G5795" s="45"/>
      <c r="L5795" s="8"/>
    </row>
    <row r="5796" spans="7:12" x14ac:dyDescent="0.2">
      <c r="G5796" s="45"/>
      <c r="L5796" s="8"/>
    </row>
    <row r="5797" spans="7:12" x14ac:dyDescent="0.2">
      <c r="G5797" s="45"/>
      <c r="L5797" s="8"/>
    </row>
    <row r="5798" spans="7:12" x14ac:dyDescent="0.2">
      <c r="G5798" s="45"/>
      <c r="L5798" s="8"/>
    </row>
    <row r="5799" spans="7:12" x14ac:dyDescent="0.2">
      <c r="G5799" s="45"/>
      <c r="L5799" s="8"/>
    </row>
    <row r="5800" spans="7:12" x14ac:dyDescent="0.2">
      <c r="G5800" s="45"/>
      <c r="L5800" s="8"/>
    </row>
    <row r="5801" spans="7:12" x14ac:dyDescent="0.2">
      <c r="G5801" s="45"/>
      <c r="L5801" s="8"/>
    </row>
    <row r="5802" spans="7:12" x14ac:dyDescent="0.2">
      <c r="G5802" s="45"/>
      <c r="L5802" s="8"/>
    </row>
    <row r="5803" spans="7:12" x14ac:dyDescent="0.2">
      <c r="G5803" s="45"/>
      <c r="L5803" s="8"/>
    </row>
    <row r="5804" spans="7:12" x14ac:dyDescent="0.2">
      <c r="G5804" s="45"/>
      <c r="L5804" s="8"/>
    </row>
    <row r="5805" spans="7:12" x14ac:dyDescent="0.2">
      <c r="G5805" s="45"/>
      <c r="L5805" s="8"/>
    </row>
    <row r="5806" spans="7:12" x14ac:dyDescent="0.2">
      <c r="G5806" s="45"/>
      <c r="L5806" s="8"/>
    </row>
    <row r="5807" spans="7:12" x14ac:dyDescent="0.2">
      <c r="G5807" s="45"/>
      <c r="L5807" s="8"/>
    </row>
    <row r="5808" spans="7:12" x14ac:dyDescent="0.2">
      <c r="G5808" s="45"/>
      <c r="L5808" s="8"/>
    </row>
    <row r="5809" spans="7:12" x14ac:dyDescent="0.2">
      <c r="G5809" s="45"/>
      <c r="L5809" s="8"/>
    </row>
    <row r="5810" spans="7:12" x14ac:dyDescent="0.2">
      <c r="G5810" s="45"/>
      <c r="L5810" s="8"/>
    </row>
    <row r="5811" spans="7:12" x14ac:dyDescent="0.2">
      <c r="G5811" s="45"/>
      <c r="L5811" s="8"/>
    </row>
    <row r="5812" spans="7:12" x14ac:dyDescent="0.2">
      <c r="G5812" s="45"/>
      <c r="L5812" s="8"/>
    </row>
    <row r="5813" spans="7:12" x14ac:dyDescent="0.2">
      <c r="G5813" s="45"/>
      <c r="L5813" s="8"/>
    </row>
    <row r="5814" spans="7:12" x14ac:dyDescent="0.2">
      <c r="G5814" s="45"/>
      <c r="L5814" s="8"/>
    </row>
    <row r="5815" spans="7:12" x14ac:dyDescent="0.2">
      <c r="G5815" s="45"/>
      <c r="L5815" s="8"/>
    </row>
    <row r="5816" spans="7:12" x14ac:dyDescent="0.2">
      <c r="G5816" s="45"/>
      <c r="L5816" s="8"/>
    </row>
    <row r="5817" spans="7:12" x14ac:dyDescent="0.2">
      <c r="G5817" s="45"/>
      <c r="L5817" s="8"/>
    </row>
    <row r="5818" spans="7:12" x14ac:dyDescent="0.2">
      <c r="G5818" s="45"/>
      <c r="L5818" s="8"/>
    </row>
    <row r="5819" spans="7:12" x14ac:dyDescent="0.2">
      <c r="G5819" s="45"/>
      <c r="L5819" s="8"/>
    </row>
    <row r="5820" spans="7:12" x14ac:dyDescent="0.2">
      <c r="G5820" s="45"/>
      <c r="L5820" s="8"/>
    </row>
    <row r="5821" spans="7:12" x14ac:dyDescent="0.2">
      <c r="G5821" s="45"/>
      <c r="L5821" s="8"/>
    </row>
    <row r="5822" spans="7:12" x14ac:dyDescent="0.2">
      <c r="G5822" s="45"/>
      <c r="L5822" s="8"/>
    </row>
    <row r="5823" spans="7:12" x14ac:dyDescent="0.2">
      <c r="G5823" s="45"/>
      <c r="L5823" s="8"/>
    </row>
    <row r="5824" spans="7:12" x14ac:dyDescent="0.2">
      <c r="G5824" s="45"/>
      <c r="L5824" s="8"/>
    </row>
    <row r="5825" spans="7:12" x14ac:dyDescent="0.2">
      <c r="G5825" s="45"/>
      <c r="L5825" s="8"/>
    </row>
    <row r="5826" spans="7:12" x14ac:dyDescent="0.2">
      <c r="G5826" s="45"/>
      <c r="L5826" s="8"/>
    </row>
    <row r="5827" spans="7:12" x14ac:dyDescent="0.2">
      <c r="G5827" s="45"/>
      <c r="L5827" s="8"/>
    </row>
    <row r="5828" spans="7:12" x14ac:dyDescent="0.2">
      <c r="G5828" s="45"/>
      <c r="L5828" s="8"/>
    </row>
    <row r="5829" spans="7:12" x14ac:dyDescent="0.2">
      <c r="G5829" s="45"/>
      <c r="L5829" s="8"/>
    </row>
    <row r="5830" spans="7:12" x14ac:dyDescent="0.2">
      <c r="G5830" s="45"/>
      <c r="L5830" s="8"/>
    </row>
    <row r="5831" spans="7:12" x14ac:dyDescent="0.2">
      <c r="G5831" s="45"/>
      <c r="L5831" s="8"/>
    </row>
    <row r="5832" spans="7:12" x14ac:dyDescent="0.2">
      <c r="G5832" s="45"/>
      <c r="L5832" s="8"/>
    </row>
    <row r="5833" spans="7:12" x14ac:dyDescent="0.2">
      <c r="G5833" s="45"/>
      <c r="L5833" s="8"/>
    </row>
    <row r="5834" spans="7:12" x14ac:dyDescent="0.2">
      <c r="G5834" s="45"/>
      <c r="L5834" s="8"/>
    </row>
    <row r="5835" spans="7:12" x14ac:dyDescent="0.2">
      <c r="G5835" s="45"/>
      <c r="L5835" s="8"/>
    </row>
    <row r="5836" spans="7:12" x14ac:dyDescent="0.2">
      <c r="G5836" s="45"/>
      <c r="L5836" s="8"/>
    </row>
    <row r="5837" spans="7:12" x14ac:dyDescent="0.2">
      <c r="G5837" s="45"/>
      <c r="L5837" s="8"/>
    </row>
    <row r="5838" spans="7:12" x14ac:dyDescent="0.2">
      <c r="G5838" s="45"/>
      <c r="L5838" s="8"/>
    </row>
    <row r="5839" spans="7:12" x14ac:dyDescent="0.2">
      <c r="G5839" s="45"/>
      <c r="L5839" s="8"/>
    </row>
    <row r="5840" spans="7:12" x14ac:dyDescent="0.2">
      <c r="G5840" s="45"/>
      <c r="L5840" s="8"/>
    </row>
    <row r="5841" spans="7:12" x14ac:dyDescent="0.2">
      <c r="G5841" s="45"/>
      <c r="L5841" s="8"/>
    </row>
    <row r="5842" spans="7:12" x14ac:dyDescent="0.2">
      <c r="G5842" s="45"/>
      <c r="L5842" s="8"/>
    </row>
    <row r="5843" spans="7:12" x14ac:dyDescent="0.2">
      <c r="G5843" s="45"/>
      <c r="L5843" s="8"/>
    </row>
    <row r="5844" spans="7:12" x14ac:dyDescent="0.2">
      <c r="G5844" s="45"/>
      <c r="L5844" s="8"/>
    </row>
    <row r="5845" spans="7:12" x14ac:dyDescent="0.2">
      <c r="G5845" s="45"/>
      <c r="L5845" s="8"/>
    </row>
    <row r="5846" spans="7:12" x14ac:dyDescent="0.2">
      <c r="G5846" s="45"/>
      <c r="L5846" s="8"/>
    </row>
    <row r="5847" spans="7:12" x14ac:dyDescent="0.2">
      <c r="G5847" s="45"/>
      <c r="L5847" s="8"/>
    </row>
    <row r="5848" spans="7:12" x14ac:dyDescent="0.2">
      <c r="G5848" s="45"/>
      <c r="L5848" s="8"/>
    </row>
    <row r="5849" spans="7:12" x14ac:dyDescent="0.2">
      <c r="G5849" s="45"/>
      <c r="L5849" s="8"/>
    </row>
    <row r="5850" spans="7:12" x14ac:dyDescent="0.2">
      <c r="G5850" s="45"/>
      <c r="L5850" s="8"/>
    </row>
    <row r="5851" spans="7:12" x14ac:dyDescent="0.2">
      <c r="G5851" s="45"/>
      <c r="L5851" s="8"/>
    </row>
    <row r="5852" spans="7:12" x14ac:dyDescent="0.2">
      <c r="G5852" s="45"/>
      <c r="L5852" s="8"/>
    </row>
    <row r="5853" spans="7:12" x14ac:dyDescent="0.2">
      <c r="G5853" s="45"/>
      <c r="L5853" s="8"/>
    </row>
    <row r="5854" spans="7:12" x14ac:dyDescent="0.2">
      <c r="G5854" s="45"/>
      <c r="L5854" s="8"/>
    </row>
    <row r="5855" spans="7:12" x14ac:dyDescent="0.2">
      <c r="G5855" s="45"/>
      <c r="L5855" s="8"/>
    </row>
    <row r="5856" spans="7:12" x14ac:dyDescent="0.2">
      <c r="G5856" s="45"/>
      <c r="L5856" s="8"/>
    </row>
    <row r="5857" spans="7:12" x14ac:dyDescent="0.2">
      <c r="G5857" s="45"/>
      <c r="L5857" s="8"/>
    </row>
    <row r="5858" spans="7:12" x14ac:dyDescent="0.2">
      <c r="G5858" s="45"/>
      <c r="L5858" s="8"/>
    </row>
    <row r="5859" spans="7:12" x14ac:dyDescent="0.2">
      <c r="G5859" s="45"/>
      <c r="L5859" s="8"/>
    </row>
    <row r="5860" spans="7:12" x14ac:dyDescent="0.2">
      <c r="G5860" s="45"/>
      <c r="L5860" s="8"/>
    </row>
    <row r="5861" spans="7:12" x14ac:dyDescent="0.2">
      <c r="G5861" s="45"/>
      <c r="L5861" s="8"/>
    </row>
    <row r="5862" spans="7:12" x14ac:dyDescent="0.2">
      <c r="G5862" s="45"/>
      <c r="L5862" s="8"/>
    </row>
    <row r="5863" spans="7:12" x14ac:dyDescent="0.2">
      <c r="G5863" s="45"/>
      <c r="L5863" s="8"/>
    </row>
    <row r="5864" spans="7:12" x14ac:dyDescent="0.2">
      <c r="G5864" s="45"/>
      <c r="L5864" s="8"/>
    </row>
    <row r="5865" spans="7:12" x14ac:dyDescent="0.2">
      <c r="G5865" s="45"/>
      <c r="L5865" s="8"/>
    </row>
    <row r="5866" spans="7:12" x14ac:dyDescent="0.2">
      <c r="G5866" s="45"/>
      <c r="L5866" s="8"/>
    </row>
    <row r="5867" spans="7:12" x14ac:dyDescent="0.2">
      <c r="G5867" s="45"/>
      <c r="L5867" s="8"/>
    </row>
    <row r="5868" spans="7:12" x14ac:dyDescent="0.2">
      <c r="G5868" s="45"/>
      <c r="L5868" s="8"/>
    </row>
    <row r="5869" spans="7:12" x14ac:dyDescent="0.2">
      <c r="G5869" s="45"/>
      <c r="L5869" s="8"/>
    </row>
    <row r="5870" spans="7:12" x14ac:dyDescent="0.2">
      <c r="G5870" s="45"/>
      <c r="L5870" s="8"/>
    </row>
    <row r="5871" spans="7:12" x14ac:dyDescent="0.2">
      <c r="G5871" s="45"/>
      <c r="L5871" s="8"/>
    </row>
    <row r="5872" spans="7:12" x14ac:dyDescent="0.2">
      <c r="G5872" s="45"/>
      <c r="L5872" s="8"/>
    </row>
    <row r="5873" spans="7:12" x14ac:dyDescent="0.2">
      <c r="G5873" s="45"/>
      <c r="L5873" s="8"/>
    </row>
    <row r="5874" spans="7:12" x14ac:dyDescent="0.2">
      <c r="G5874" s="45"/>
      <c r="L5874" s="8"/>
    </row>
    <row r="5875" spans="7:12" x14ac:dyDescent="0.2">
      <c r="G5875" s="45"/>
      <c r="L5875" s="8"/>
    </row>
    <row r="5876" spans="7:12" x14ac:dyDescent="0.2">
      <c r="G5876" s="45"/>
      <c r="L5876" s="8"/>
    </row>
    <row r="5877" spans="7:12" x14ac:dyDescent="0.2">
      <c r="G5877" s="45"/>
      <c r="L5877" s="8"/>
    </row>
    <row r="5878" spans="7:12" x14ac:dyDescent="0.2">
      <c r="G5878" s="45"/>
      <c r="L5878" s="8"/>
    </row>
    <row r="5879" spans="7:12" x14ac:dyDescent="0.2">
      <c r="G5879" s="45"/>
      <c r="L5879" s="8"/>
    </row>
    <row r="5880" spans="7:12" x14ac:dyDescent="0.2">
      <c r="G5880" s="45"/>
      <c r="L5880" s="8"/>
    </row>
    <row r="5881" spans="7:12" x14ac:dyDescent="0.2">
      <c r="G5881" s="45"/>
      <c r="L5881" s="8"/>
    </row>
    <row r="5882" spans="7:12" x14ac:dyDescent="0.2">
      <c r="G5882" s="45"/>
      <c r="L5882" s="8"/>
    </row>
    <row r="5883" spans="7:12" x14ac:dyDescent="0.2">
      <c r="G5883" s="45"/>
      <c r="L5883" s="8"/>
    </row>
    <row r="5884" spans="7:12" x14ac:dyDescent="0.2">
      <c r="G5884" s="45"/>
      <c r="L5884" s="8"/>
    </row>
    <row r="5885" spans="7:12" x14ac:dyDescent="0.2">
      <c r="G5885" s="45"/>
      <c r="L5885" s="8"/>
    </row>
    <row r="5886" spans="7:12" x14ac:dyDescent="0.2">
      <c r="G5886" s="45"/>
      <c r="L5886" s="8"/>
    </row>
    <row r="5887" spans="7:12" x14ac:dyDescent="0.2">
      <c r="G5887" s="45"/>
      <c r="L5887" s="8"/>
    </row>
    <row r="5888" spans="7:12" x14ac:dyDescent="0.2">
      <c r="G5888" s="45"/>
      <c r="L5888" s="8"/>
    </row>
    <row r="5889" spans="7:12" x14ac:dyDescent="0.2">
      <c r="G5889" s="45"/>
      <c r="L5889" s="8"/>
    </row>
    <row r="5890" spans="7:12" x14ac:dyDescent="0.2">
      <c r="G5890" s="45"/>
      <c r="L5890" s="8"/>
    </row>
    <row r="5891" spans="7:12" x14ac:dyDescent="0.2">
      <c r="G5891" s="45"/>
      <c r="L5891" s="8"/>
    </row>
    <row r="5892" spans="7:12" x14ac:dyDescent="0.2">
      <c r="G5892" s="45"/>
      <c r="L5892" s="8"/>
    </row>
    <row r="5893" spans="7:12" x14ac:dyDescent="0.2">
      <c r="G5893" s="45"/>
      <c r="L5893" s="8"/>
    </row>
    <row r="5894" spans="7:12" x14ac:dyDescent="0.2">
      <c r="G5894" s="45"/>
      <c r="L5894" s="8"/>
    </row>
    <row r="5895" spans="7:12" x14ac:dyDescent="0.2">
      <c r="G5895" s="45"/>
      <c r="L5895" s="8"/>
    </row>
    <row r="5896" spans="7:12" x14ac:dyDescent="0.2">
      <c r="G5896" s="45"/>
      <c r="L5896" s="8"/>
    </row>
    <row r="5897" spans="7:12" x14ac:dyDescent="0.2">
      <c r="G5897" s="45"/>
      <c r="L5897" s="8"/>
    </row>
    <row r="5898" spans="7:12" x14ac:dyDescent="0.2">
      <c r="G5898" s="45"/>
      <c r="L5898" s="8"/>
    </row>
    <row r="5899" spans="7:12" x14ac:dyDescent="0.2">
      <c r="G5899" s="45"/>
      <c r="L5899" s="8"/>
    </row>
    <row r="5900" spans="7:12" x14ac:dyDescent="0.2">
      <c r="G5900" s="45"/>
      <c r="L5900" s="8"/>
    </row>
    <row r="5901" spans="7:12" x14ac:dyDescent="0.2">
      <c r="G5901" s="45"/>
      <c r="L5901" s="8"/>
    </row>
    <row r="5902" spans="7:12" x14ac:dyDescent="0.2">
      <c r="G5902" s="45"/>
      <c r="L5902" s="8"/>
    </row>
    <row r="5903" spans="7:12" x14ac:dyDescent="0.2">
      <c r="G5903" s="45"/>
      <c r="L5903" s="8"/>
    </row>
    <row r="5904" spans="7:12" x14ac:dyDescent="0.2">
      <c r="G5904" s="45"/>
      <c r="L5904" s="8"/>
    </row>
    <row r="5905" spans="7:12" x14ac:dyDescent="0.2">
      <c r="G5905" s="45"/>
      <c r="L5905" s="8"/>
    </row>
    <row r="5906" spans="7:12" x14ac:dyDescent="0.2">
      <c r="G5906" s="45"/>
      <c r="L5906" s="8"/>
    </row>
    <row r="5907" spans="7:12" x14ac:dyDescent="0.2">
      <c r="G5907" s="45"/>
      <c r="L5907" s="8"/>
    </row>
    <row r="5908" spans="7:12" x14ac:dyDescent="0.2">
      <c r="G5908" s="45"/>
      <c r="L5908" s="8"/>
    </row>
    <row r="5909" spans="7:12" x14ac:dyDescent="0.2">
      <c r="G5909" s="45"/>
      <c r="L5909" s="8"/>
    </row>
    <row r="5910" spans="7:12" x14ac:dyDescent="0.2">
      <c r="G5910" s="45"/>
      <c r="L5910" s="8"/>
    </row>
    <row r="5911" spans="7:12" x14ac:dyDescent="0.2">
      <c r="G5911" s="45"/>
      <c r="L5911" s="8"/>
    </row>
    <row r="5912" spans="7:12" x14ac:dyDescent="0.2">
      <c r="G5912" s="45"/>
      <c r="L5912" s="8"/>
    </row>
    <row r="5913" spans="7:12" x14ac:dyDescent="0.2">
      <c r="G5913" s="45"/>
      <c r="L5913" s="8"/>
    </row>
    <row r="5914" spans="7:12" x14ac:dyDescent="0.2">
      <c r="G5914" s="45"/>
      <c r="L5914" s="8"/>
    </row>
    <row r="5915" spans="7:12" x14ac:dyDescent="0.2">
      <c r="G5915" s="45"/>
      <c r="L5915" s="8"/>
    </row>
    <row r="5916" spans="7:12" x14ac:dyDescent="0.2">
      <c r="G5916" s="45"/>
      <c r="L5916" s="8"/>
    </row>
    <row r="5917" spans="7:12" x14ac:dyDescent="0.2">
      <c r="G5917" s="45"/>
      <c r="L5917" s="8"/>
    </row>
    <row r="5918" spans="7:12" x14ac:dyDescent="0.2">
      <c r="G5918" s="45"/>
      <c r="L5918" s="8"/>
    </row>
    <row r="5919" spans="7:12" x14ac:dyDescent="0.2">
      <c r="G5919" s="45"/>
      <c r="L5919" s="8"/>
    </row>
    <row r="5920" spans="7:12" x14ac:dyDescent="0.2">
      <c r="G5920" s="45"/>
      <c r="L5920" s="8"/>
    </row>
    <row r="5921" spans="7:12" x14ac:dyDescent="0.2">
      <c r="G5921" s="45"/>
      <c r="L5921" s="8"/>
    </row>
    <row r="5922" spans="7:12" x14ac:dyDescent="0.2">
      <c r="G5922" s="45"/>
      <c r="L5922" s="8"/>
    </row>
    <row r="5923" spans="7:12" x14ac:dyDescent="0.2">
      <c r="G5923" s="45"/>
      <c r="L5923" s="8"/>
    </row>
    <row r="5924" spans="7:12" x14ac:dyDescent="0.2">
      <c r="G5924" s="45"/>
      <c r="L5924" s="8"/>
    </row>
    <row r="5925" spans="7:12" x14ac:dyDescent="0.2">
      <c r="G5925" s="45"/>
      <c r="L5925" s="8"/>
    </row>
    <row r="5926" spans="7:12" x14ac:dyDescent="0.2">
      <c r="G5926" s="45"/>
      <c r="L5926" s="8"/>
    </row>
    <row r="5927" spans="7:12" x14ac:dyDescent="0.2">
      <c r="G5927" s="45"/>
      <c r="L5927" s="8"/>
    </row>
    <row r="5928" spans="7:12" x14ac:dyDescent="0.2">
      <c r="G5928" s="45"/>
      <c r="L5928" s="8"/>
    </row>
    <row r="5929" spans="7:12" x14ac:dyDescent="0.2">
      <c r="G5929" s="45"/>
      <c r="L5929" s="8"/>
    </row>
    <row r="5930" spans="7:12" x14ac:dyDescent="0.2">
      <c r="G5930" s="45"/>
      <c r="L5930" s="8"/>
    </row>
    <row r="5931" spans="7:12" x14ac:dyDescent="0.2">
      <c r="G5931" s="45"/>
      <c r="L5931" s="8"/>
    </row>
    <row r="5932" spans="7:12" x14ac:dyDescent="0.2">
      <c r="G5932" s="45"/>
      <c r="L5932" s="8"/>
    </row>
    <row r="5933" spans="7:12" x14ac:dyDescent="0.2">
      <c r="G5933" s="45"/>
      <c r="L5933" s="8"/>
    </row>
    <row r="5934" spans="7:12" x14ac:dyDescent="0.2">
      <c r="G5934" s="45"/>
      <c r="L5934" s="8"/>
    </row>
    <row r="5935" spans="7:12" x14ac:dyDescent="0.2">
      <c r="G5935" s="45"/>
      <c r="L5935" s="8"/>
    </row>
    <row r="5936" spans="7:12" x14ac:dyDescent="0.2">
      <c r="G5936" s="45"/>
      <c r="L5936" s="8"/>
    </row>
    <row r="5937" spans="7:12" x14ac:dyDescent="0.2">
      <c r="G5937" s="45"/>
      <c r="L5937" s="8"/>
    </row>
    <row r="5938" spans="7:12" x14ac:dyDescent="0.2">
      <c r="G5938" s="45"/>
      <c r="L5938" s="8"/>
    </row>
    <row r="5939" spans="7:12" x14ac:dyDescent="0.2">
      <c r="G5939" s="45"/>
      <c r="L5939" s="8"/>
    </row>
    <row r="5940" spans="7:12" x14ac:dyDescent="0.2">
      <c r="G5940" s="45"/>
      <c r="L5940" s="8"/>
    </row>
    <row r="5941" spans="7:12" x14ac:dyDescent="0.2">
      <c r="G5941" s="45"/>
      <c r="L5941" s="8"/>
    </row>
    <row r="5942" spans="7:12" x14ac:dyDescent="0.2">
      <c r="G5942" s="45"/>
      <c r="L5942" s="8"/>
    </row>
    <row r="5943" spans="7:12" x14ac:dyDescent="0.2">
      <c r="G5943" s="45"/>
      <c r="L5943" s="8"/>
    </row>
    <row r="5944" spans="7:12" x14ac:dyDescent="0.2">
      <c r="G5944" s="45"/>
      <c r="L5944" s="8"/>
    </row>
    <row r="5945" spans="7:12" x14ac:dyDescent="0.2">
      <c r="G5945" s="45"/>
      <c r="L5945" s="8"/>
    </row>
    <row r="5946" spans="7:12" x14ac:dyDescent="0.2">
      <c r="G5946" s="45"/>
      <c r="L5946" s="8"/>
    </row>
    <row r="5947" spans="7:12" x14ac:dyDescent="0.2">
      <c r="G5947" s="45"/>
      <c r="L5947" s="8"/>
    </row>
    <row r="5948" spans="7:12" x14ac:dyDescent="0.2">
      <c r="G5948" s="45"/>
      <c r="L5948" s="8"/>
    </row>
    <row r="5949" spans="7:12" x14ac:dyDescent="0.2">
      <c r="G5949" s="45"/>
      <c r="L5949" s="8"/>
    </row>
    <row r="5950" spans="7:12" x14ac:dyDescent="0.2">
      <c r="G5950" s="45"/>
      <c r="L5950" s="8"/>
    </row>
    <row r="5951" spans="7:12" x14ac:dyDescent="0.2">
      <c r="G5951" s="45"/>
      <c r="L5951" s="8"/>
    </row>
    <row r="5952" spans="7:12" x14ac:dyDescent="0.2">
      <c r="G5952" s="45"/>
      <c r="L5952" s="8"/>
    </row>
    <row r="5953" spans="7:12" x14ac:dyDescent="0.2">
      <c r="G5953" s="45"/>
      <c r="L5953" s="8"/>
    </row>
    <row r="5954" spans="7:12" x14ac:dyDescent="0.2">
      <c r="G5954" s="45"/>
      <c r="L5954" s="8"/>
    </row>
    <row r="5955" spans="7:12" x14ac:dyDescent="0.2">
      <c r="G5955" s="45"/>
      <c r="L5955" s="8"/>
    </row>
    <row r="5956" spans="7:12" x14ac:dyDescent="0.2">
      <c r="G5956" s="45"/>
      <c r="L5956" s="8"/>
    </row>
    <row r="5957" spans="7:12" x14ac:dyDescent="0.2">
      <c r="G5957" s="45"/>
      <c r="L5957" s="8"/>
    </row>
    <row r="5958" spans="7:12" x14ac:dyDescent="0.2">
      <c r="G5958" s="45"/>
      <c r="L5958" s="8"/>
    </row>
    <row r="5959" spans="7:12" x14ac:dyDescent="0.2">
      <c r="G5959" s="45"/>
      <c r="L5959" s="8"/>
    </row>
    <row r="5960" spans="7:12" x14ac:dyDescent="0.2">
      <c r="G5960" s="45"/>
      <c r="L5960" s="8"/>
    </row>
    <row r="5961" spans="7:12" x14ac:dyDescent="0.2">
      <c r="G5961" s="45"/>
      <c r="L5961" s="8"/>
    </row>
    <row r="5962" spans="7:12" x14ac:dyDescent="0.2">
      <c r="G5962" s="45"/>
      <c r="L5962" s="8"/>
    </row>
    <row r="5963" spans="7:12" x14ac:dyDescent="0.2">
      <c r="G5963" s="45"/>
      <c r="L5963" s="8"/>
    </row>
    <row r="5964" spans="7:12" x14ac:dyDescent="0.2">
      <c r="G5964" s="45"/>
      <c r="L5964" s="8"/>
    </row>
    <row r="5965" spans="7:12" x14ac:dyDescent="0.2">
      <c r="G5965" s="45"/>
      <c r="L5965" s="8"/>
    </row>
    <row r="5966" spans="7:12" x14ac:dyDescent="0.2">
      <c r="G5966" s="45"/>
      <c r="L5966" s="8"/>
    </row>
    <row r="5967" spans="7:12" x14ac:dyDescent="0.2">
      <c r="G5967" s="45"/>
      <c r="L5967" s="8"/>
    </row>
    <row r="5968" spans="7:12" x14ac:dyDescent="0.2">
      <c r="G5968" s="45"/>
      <c r="L5968" s="8"/>
    </row>
    <row r="5969" spans="7:12" x14ac:dyDescent="0.2">
      <c r="G5969" s="45"/>
      <c r="L5969" s="8"/>
    </row>
    <row r="5970" spans="7:12" x14ac:dyDescent="0.2">
      <c r="G5970" s="45"/>
      <c r="L5970" s="8"/>
    </row>
    <row r="5971" spans="7:12" x14ac:dyDescent="0.2">
      <c r="G5971" s="45"/>
      <c r="L5971" s="8"/>
    </row>
    <row r="5972" spans="7:12" x14ac:dyDescent="0.2">
      <c r="G5972" s="45"/>
      <c r="L5972" s="8"/>
    </row>
    <row r="5973" spans="7:12" x14ac:dyDescent="0.2">
      <c r="G5973" s="45"/>
      <c r="L5973" s="8"/>
    </row>
    <row r="5974" spans="7:12" x14ac:dyDescent="0.2">
      <c r="G5974" s="45"/>
      <c r="L5974" s="8"/>
    </row>
    <row r="5975" spans="7:12" x14ac:dyDescent="0.2">
      <c r="G5975" s="45"/>
      <c r="L5975" s="8"/>
    </row>
    <row r="5976" spans="7:12" x14ac:dyDescent="0.2">
      <c r="G5976" s="45"/>
      <c r="L5976" s="8"/>
    </row>
    <row r="5977" spans="7:12" x14ac:dyDescent="0.2">
      <c r="G5977" s="45"/>
      <c r="L5977" s="8"/>
    </row>
    <row r="5978" spans="7:12" x14ac:dyDescent="0.2">
      <c r="G5978" s="45"/>
      <c r="L5978" s="8"/>
    </row>
    <row r="5979" spans="7:12" x14ac:dyDescent="0.2">
      <c r="G5979" s="45"/>
      <c r="L5979" s="8"/>
    </row>
    <row r="5980" spans="7:12" x14ac:dyDescent="0.2">
      <c r="G5980" s="45"/>
      <c r="L5980" s="8"/>
    </row>
    <row r="5981" spans="7:12" x14ac:dyDescent="0.2">
      <c r="G5981" s="45"/>
      <c r="L5981" s="8"/>
    </row>
    <row r="5982" spans="7:12" x14ac:dyDescent="0.2">
      <c r="G5982" s="45"/>
      <c r="L5982" s="8"/>
    </row>
    <row r="5983" spans="7:12" x14ac:dyDescent="0.2">
      <c r="G5983" s="45"/>
      <c r="L5983" s="8"/>
    </row>
    <row r="5984" spans="7:12" x14ac:dyDescent="0.2">
      <c r="G5984" s="45"/>
      <c r="L5984" s="8"/>
    </row>
    <row r="5985" spans="7:12" x14ac:dyDescent="0.2">
      <c r="G5985" s="45"/>
      <c r="L5985" s="8"/>
    </row>
    <row r="5986" spans="7:12" x14ac:dyDescent="0.2">
      <c r="G5986" s="45"/>
      <c r="L5986" s="8"/>
    </row>
    <row r="5987" spans="7:12" x14ac:dyDescent="0.2">
      <c r="G5987" s="45"/>
      <c r="L5987" s="8"/>
    </row>
    <row r="5988" spans="7:12" x14ac:dyDescent="0.2">
      <c r="G5988" s="45"/>
      <c r="L5988" s="8"/>
    </row>
    <row r="5989" spans="7:12" x14ac:dyDescent="0.2">
      <c r="G5989" s="45"/>
      <c r="L5989" s="8"/>
    </row>
    <row r="5990" spans="7:12" x14ac:dyDescent="0.2">
      <c r="G5990" s="45"/>
      <c r="L5990" s="8"/>
    </row>
    <row r="5991" spans="7:12" x14ac:dyDescent="0.2">
      <c r="G5991" s="45"/>
      <c r="L5991" s="8"/>
    </row>
    <row r="5992" spans="7:12" x14ac:dyDescent="0.2">
      <c r="G5992" s="45"/>
      <c r="L5992" s="8"/>
    </row>
    <row r="5993" spans="7:12" x14ac:dyDescent="0.2">
      <c r="G5993" s="45"/>
      <c r="L5993" s="8"/>
    </row>
    <row r="5994" spans="7:12" x14ac:dyDescent="0.2">
      <c r="G5994" s="45"/>
      <c r="L5994" s="8"/>
    </row>
    <row r="5995" spans="7:12" x14ac:dyDescent="0.2">
      <c r="G5995" s="45"/>
      <c r="L5995" s="8"/>
    </row>
    <row r="5996" spans="7:12" x14ac:dyDescent="0.2">
      <c r="G5996" s="45"/>
      <c r="L5996" s="8"/>
    </row>
    <row r="5997" spans="7:12" x14ac:dyDescent="0.2">
      <c r="G5997" s="45"/>
      <c r="L5997" s="8"/>
    </row>
    <row r="5998" spans="7:12" x14ac:dyDescent="0.2">
      <c r="G5998" s="45"/>
      <c r="L5998" s="8"/>
    </row>
    <row r="5999" spans="7:12" x14ac:dyDescent="0.2">
      <c r="G5999" s="45"/>
      <c r="L5999" s="8"/>
    </row>
    <row r="6000" spans="7:12" x14ac:dyDescent="0.2">
      <c r="G6000" s="45"/>
      <c r="L6000" s="8"/>
    </row>
    <row r="6001" spans="7:12" x14ac:dyDescent="0.2">
      <c r="G6001" s="45"/>
      <c r="L6001" s="8"/>
    </row>
    <row r="6002" spans="7:12" x14ac:dyDescent="0.2">
      <c r="G6002" s="45"/>
      <c r="L6002" s="8"/>
    </row>
    <row r="6003" spans="7:12" x14ac:dyDescent="0.2">
      <c r="G6003" s="45"/>
      <c r="L6003" s="8"/>
    </row>
    <row r="6004" spans="7:12" x14ac:dyDescent="0.2">
      <c r="G6004" s="45"/>
      <c r="L6004" s="8"/>
    </row>
    <row r="6005" spans="7:12" x14ac:dyDescent="0.2">
      <c r="G6005" s="45"/>
      <c r="L6005" s="8"/>
    </row>
    <row r="6006" spans="7:12" x14ac:dyDescent="0.2">
      <c r="G6006" s="45"/>
      <c r="L6006" s="8"/>
    </row>
    <row r="6007" spans="7:12" x14ac:dyDescent="0.2">
      <c r="G6007" s="45"/>
      <c r="L6007" s="8"/>
    </row>
    <row r="6008" spans="7:12" x14ac:dyDescent="0.2">
      <c r="G6008" s="45"/>
      <c r="L6008" s="8"/>
    </row>
    <row r="6009" spans="7:12" x14ac:dyDescent="0.2">
      <c r="G6009" s="45"/>
      <c r="L6009" s="8"/>
    </row>
    <row r="6010" spans="7:12" x14ac:dyDescent="0.2">
      <c r="G6010" s="45"/>
      <c r="L6010" s="8"/>
    </row>
    <row r="6011" spans="7:12" x14ac:dyDescent="0.2">
      <c r="G6011" s="45"/>
      <c r="L6011" s="8"/>
    </row>
    <row r="6012" spans="7:12" x14ac:dyDescent="0.2">
      <c r="G6012" s="45"/>
      <c r="L6012" s="8"/>
    </row>
    <row r="6013" spans="7:12" x14ac:dyDescent="0.2">
      <c r="G6013" s="45"/>
      <c r="L6013" s="8"/>
    </row>
    <row r="6014" spans="7:12" x14ac:dyDescent="0.2">
      <c r="G6014" s="45"/>
      <c r="L6014" s="8"/>
    </row>
    <row r="6015" spans="7:12" x14ac:dyDescent="0.2">
      <c r="G6015" s="45"/>
      <c r="L6015" s="8"/>
    </row>
    <row r="6016" spans="7:12" x14ac:dyDescent="0.2">
      <c r="G6016" s="45"/>
      <c r="L6016" s="8"/>
    </row>
    <row r="6017" spans="7:12" x14ac:dyDescent="0.2">
      <c r="G6017" s="45"/>
      <c r="L6017" s="8"/>
    </row>
    <row r="6018" spans="7:12" x14ac:dyDescent="0.2">
      <c r="G6018" s="45"/>
      <c r="L6018" s="8"/>
    </row>
    <row r="6019" spans="7:12" x14ac:dyDescent="0.2">
      <c r="G6019" s="45"/>
      <c r="L6019" s="8"/>
    </row>
    <row r="6020" spans="7:12" x14ac:dyDescent="0.2">
      <c r="G6020" s="45"/>
      <c r="L6020" s="8"/>
    </row>
    <row r="6021" spans="7:12" x14ac:dyDescent="0.2">
      <c r="G6021" s="45"/>
      <c r="L6021" s="8"/>
    </row>
    <row r="6022" spans="7:12" x14ac:dyDescent="0.2">
      <c r="G6022" s="45"/>
      <c r="L6022" s="8"/>
    </row>
    <row r="6023" spans="7:12" x14ac:dyDescent="0.2">
      <c r="G6023" s="45"/>
      <c r="L6023" s="8"/>
    </row>
    <row r="6024" spans="7:12" x14ac:dyDescent="0.2">
      <c r="G6024" s="45"/>
      <c r="L6024" s="8"/>
    </row>
    <row r="6025" spans="7:12" x14ac:dyDescent="0.2">
      <c r="G6025" s="45"/>
      <c r="L6025" s="8"/>
    </row>
    <row r="6026" spans="7:12" x14ac:dyDescent="0.2">
      <c r="G6026" s="45"/>
      <c r="L6026" s="8"/>
    </row>
    <row r="6027" spans="7:12" x14ac:dyDescent="0.2">
      <c r="G6027" s="45"/>
      <c r="L6027" s="8"/>
    </row>
    <row r="6028" spans="7:12" x14ac:dyDescent="0.2">
      <c r="G6028" s="45"/>
      <c r="L6028" s="8"/>
    </row>
    <row r="6029" spans="7:12" x14ac:dyDescent="0.2">
      <c r="G6029" s="45"/>
      <c r="L6029" s="8"/>
    </row>
    <row r="6030" spans="7:12" x14ac:dyDescent="0.2">
      <c r="G6030" s="45"/>
      <c r="L6030" s="8"/>
    </row>
    <row r="6031" spans="7:12" x14ac:dyDescent="0.2">
      <c r="G6031" s="45"/>
      <c r="L6031" s="8"/>
    </row>
    <row r="6032" spans="7:12" x14ac:dyDescent="0.2">
      <c r="G6032" s="45"/>
      <c r="L6032" s="8"/>
    </row>
    <row r="6033" spans="7:12" x14ac:dyDescent="0.2">
      <c r="G6033" s="45"/>
      <c r="L6033" s="8"/>
    </row>
    <row r="6034" spans="7:12" x14ac:dyDescent="0.2">
      <c r="G6034" s="45"/>
      <c r="L6034" s="8"/>
    </row>
    <row r="6035" spans="7:12" x14ac:dyDescent="0.2">
      <c r="G6035" s="45"/>
      <c r="L6035" s="8"/>
    </row>
    <row r="6036" spans="7:12" x14ac:dyDescent="0.2">
      <c r="G6036" s="45"/>
      <c r="L6036" s="8"/>
    </row>
    <row r="6037" spans="7:12" x14ac:dyDescent="0.2">
      <c r="G6037" s="45"/>
      <c r="L6037" s="8"/>
    </row>
    <row r="6038" spans="7:12" x14ac:dyDescent="0.2">
      <c r="G6038" s="45"/>
      <c r="L6038" s="8"/>
    </row>
    <row r="6039" spans="7:12" x14ac:dyDescent="0.2">
      <c r="G6039" s="45"/>
      <c r="L6039" s="8"/>
    </row>
    <row r="6040" spans="7:12" x14ac:dyDescent="0.2">
      <c r="G6040" s="45"/>
      <c r="L6040" s="8"/>
    </row>
    <row r="6041" spans="7:12" x14ac:dyDescent="0.2">
      <c r="G6041" s="45"/>
      <c r="L6041" s="8"/>
    </row>
    <row r="6042" spans="7:12" x14ac:dyDescent="0.2">
      <c r="G6042" s="45"/>
      <c r="L6042" s="8"/>
    </row>
    <row r="6043" spans="7:12" x14ac:dyDescent="0.2">
      <c r="G6043" s="45"/>
      <c r="L6043" s="8"/>
    </row>
    <row r="6044" spans="7:12" x14ac:dyDescent="0.2">
      <c r="G6044" s="45"/>
      <c r="L6044" s="8"/>
    </row>
    <row r="6045" spans="7:12" x14ac:dyDescent="0.2">
      <c r="G6045" s="45"/>
      <c r="L6045" s="8"/>
    </row>
    <row r="6046" spans="7:12" x14ac:dyDescent="0.2">
      <c r="G6046" s="45"/>
      <c r="L6046" s="8"/>
    </row>
    <row r="6047" spans="7:12" x14ac:dyDescent="0.2">
      <c r="G6047" s="45"/>
      <c r="L6047" s="8"/>
    </row>
    <row r="6048" spans="7:12" x14ac:dyDescent="0.2">
      <c r="G6048" s="45"/>
      <c r="L6048" s="8"/>
    </row>
    <row r="6049" spans="7:12" x14ac:dyDescent="0.2">
      <c r="G6049" s="45"/>
      <c r="L6049" s="8"/>
    </row>
    <row r="6050" spans="7:12" x14ac:dyDescent="0.2">
      <c r="G6050" s="45"/>
      <c r="L6050" s="8"/>
    </row>
    <row r="6051" spans="7:12" x14ac:dyDescent="0.2">
      <c r="G6051" s="45"/>
      <c r="L6051" s="8"/>
    </row>
    <row r="6052" spans="7:12" x14ac:dyDescent="0.2">
      <c r="G6052" s="45"/>
      <c r="L6052" s="8"/>
    </row>
    <row r="6053" spans="7:12" x14ac:dyDescent="0.2">
      <c r="G6053" s="45"/>
      <c r="L6053" s="8"/>
    </row>
    <row r="6054" spans="7:12" x14ac:dyDescent="0.2">
      <c r="G6054" s="45"/>
      <c r="L6054" s="8"/>
    </row>
    <row r="6055" spans="7:12" x14ac:dyDescent="0.2">
      <c r="G6055" s="45"/>
      <c r="L6055" s="8"/>
    </row>
    <row r="6056" spans="7:12" x14ac:dyDescent="0.2">
      <c r="G6056" s="45"/>
      <c r="L6056" s="8"/>
    </row>
    <row r="6057" spans="7:12" x14ac:dyDescent="0.2">
      <c r="G6057" s="45"/>
      <c r="L6057" s="8"/>
    </row>
    <row r="6058" spans="7:12" x14ac:dyDescent="0.2">
      <c r="G6058" s="45"/>
      <c r="L6058" s="8"/>
    </row>
    <row r="6059" spans="7:12" x14ac:dyDescent="0.2">
      <c r="G6059" s="45"/>
      <c r="L6059" s="8"/>
    </row>
    <row r="6060" spans="7:12" x14ac:dyDescent="0.2">
      <c r="G6060" s="45"/>
      <c r="L6060" s="8"/>
    </row>
    <row r="6061" spans="7:12" x14ac:dyDescent="0.2">
      <c r="G6061" s="45"/>
      <c r="L6061" s="8"/>
    </row>
    <row r="6062" spans="7:12" x14ac:dyDescent="0.2">
      <c r="G6062" s="45"/>
      <c r="L6062" s="8"/>
    </row>
    <row r="6063" spans="7:12" x14ac:dyDescent="0.2">
      <c r="G6063" s="45"/>
      <c r="L6063" s="8"/>
    </row>
    <row r="6064" spans="7:12" x14ac:dyDescent="0.2">
      <c r="G6064" s="45"/>
      <c r="L6064" s="8"/>
    </row>
    <row r="6065" spans="7:12" x14ac:dyDescent="0.2">
      <c r="G6065" s="45"/>
      <c r="L6065" s="8"/>
    </row>
    <row r="6066" spans="7:12" x14ac:dyDescent="0.2">
      <c r="G6066" s="45"/>
      <c r="L6066" s="8"/>
    </row>
    <row r="6067" spans="7:12" x14ac:dyDescent="0.2">
      <c r="G6067" s="45"/>
      <c r="L6067" s="8"/>
    </row>
    <row r="6068" spans="7:12" x14ac:dyDescent="0.2">
      <c r="G6068" s="45"/>
      <c r="L6068" s="8"/>
    </row>
    <row r="6069" spans="7:12" x14ac:dyDescent="0.2">
      <c r="G6069" s="45"/>
      <c r="L6069" s="8"/>
    </row>
    <row r="6070" spans="7:12" x14ac:dyDescent="0.2">
      <c r="G6070" s="45"/>
      <c r="L6070" s="8"/>
    </row>
    <row r="6071" spans="7:12" x14ac:dyDescent="0.2">
      <c r="G6071" s="45"/>
      <c r="L6071" s="8"/>
    </row>
    <row r="6072" spans="7:12" x14ac:dyDescent="0.2">
      <c r="G6072" s="45"/>
      <c r="L6072" s="8"/>
    </row>
    <row r="6073" spans="7:12" x14ac:dyDescent="0.2">
      <c r="G6073" s="45"/>
      <c r="L6073" s="8"/>
    </row>
    <row r="6074" spans="7:12" x14ac:dyDescent="0.2">
      <c r="G6074" s="45"/>
      <c r="L6074" s="8"/>
    </row>
    <row r="6075" spans="7:12" x14ac:dyDescent="0.2">
      <c r="G6075" s="45"/>
      <c r="L6075" s="8"/>
    </row>
    <row r="6076" spans="7:12" x14ac:dyDescent="0.2">
      <c r="G6076" s="45"/>
      <c r="L6076" s="8"/>
    </row>
    <row r="6077" spans="7:12" x14ac:dyDescent="0.2">
      <c r="G6077" s="45"/>
      <c r="L6077" s="8"/>
    </row>
    <row r="6078" spans="7:12" x14ac:dyDescent="0.2">
      <c r="G6078" s="45"/>
      <c r="L6078" s="8"/>
    </row>
    <row r="6079" spans="7:12" x14ac:dyDescent="0.2">
      <c r="G6079" s="45"/>
      <c r="L6079" s="8"/>
    </row>
    <row r="6080" spans="7:12" x14ac:dyDescent="0.2">
      <c r="G6080" s="45"/>
      <c r="L6080" s="8"/>
    </row>
    <row r="6081" spans="7:12" x14ac:dyDescent="0.2">
      <c r="G6081" s="45"/>
      <c r="L6081" s="8"/>
    </row>
    <row r="6082" spans="7:12" x14ac:dyDescent="0.2">
      <c r="G6082" s="45"/>
      <c r="L6082" s="8"/>
    </row>
    <row r="6083" spans="7:12" x14ac:dyDescent="0.2">
      <c r="G6083" s="45"/>
      <c r="L6083" s="8"/>
    </row>
    <row r="6084" spans="7:12" x14ac:dyDescent="0.2">
      <c r="G6084" s="45"/>
      <c r="L6084" s="8"/>
    </row>
    <row r="6085" spans="7:12" x14ac:dyDescent="0.2">
      <c r="G6085" s="45"/>
      <c r="L6085" s="8"/>
    </row>
    <row r="6086" spans="7:12" x14ac:dyDescent="0.2">
      <c r="G6086" s="45"/>
      <c r="L6086" s="8"/>
    </row>
    <row r="6087" spans="7:12" x14ac:dyDescent="0.2">
      <c r="G6087" s="45"/>
      <c r="L6087" s="8"/>
    </row>
    <row r="6088" spans="7:12" x14ac:dyDescent="0.2">
      <c r="G6088" s="45"/>
      <c r="L6088" s="8"/>
    </row>
    <row r="6089" spans="7:12" x14ac:dyDescent="0.2">
      <c r="G6089" s="45"/>
      <c r="L6089" s="8"/>
    </row>
    <row r="6090" spans="7:12" x14ac:dyDescent="0.2">
      <c r="G6090" s="45"/>
      <c r="L6090" s="8"/>
    </row>
    <row r="6091" spans="7:12" x14ac:dyDescent="0.2">
      <c r="G6091" s="45"/>
      <c r="L6091" s="8"/>
    </row>
    <row r="6092" spans="7:12" x14ac:dyDescent="0.2">
      <c r="G6092" s="45"/>
      <c r="L6092" s="8"/>
    </row>
    <row r="6093" spans="7:12" x14ac:dyDescent="0.2">
      <c r="G6093" s="45"/>
      <c r="L6093" s="8"/>
    </row>
    <row r="6094" spans="7:12" x14ac:dyDescent="0.2">
      <c r="G6094" s="45"/>
      <c r="L6094" s="8"/>
    </row>
    <row r="6095" spans="7:12" x14ac:dyDescent="0.2">
      <c r="G6095" s="45"/>
      <c r="L6095" s="8"/>
    </row>
    <row r="6096" spans="7:12" x14ac:dyDescent="0.2">
      <c r="G6096" s="45"/>
      <c r="L6096" s="8"/>
    </row>
    <row r="6097" spans="7:12" x14ac:dyDescent="0.2">
      <c r="G6097" s="45"/>
      <c r="L6097" s="8"/>
    </row>
    <row r="6098" spans="7:12" x14ac:dyDescent="0.2">
      <c r="G6098" s="45"/>
      <c r="L6098" s="8"/>
    </row>
    <row r="6099" spans="7:12" x14ac:dyDescent="0.2">
      <c r="G6099" s="45"/>
      <c r="L6099" s="8"/>
    </row>
    <row r="6100" spans="7:12" x14ac:dyDescent="0.2">
      <c r="G6100" s="45"/>
      <c r="L6100" s="8"/>
    </row>
    <row r="6101" spans="7:12" x14ac:dyDescent="0.2">
      <c r="G6101" s="45"/>
      <c r="L6101" s="8"/>
    </row>
    <row r="6102" spans="7:12" x14ac:dyDescent="0.2">
      <c r="G6102" s="45"/>
      <c r="L6102" s="8"/>
    </row>
    <row r="6103" spans="7:12" x14ac:dyDescent="0.2">
      <c r="G6103" s="45"/>
      <c r="L6103" s="8"/>
    </row>
    <row r="6104" spans="7:12" x14ac:dyDescent="0.2">
      <c r="G6104" s="45"/>
      <c r="L6104" s="8"/>
    </row>
    <row r="6105" spans="7:12" x14ac:dyDescent="0.2">
      <c r="G6105" s="45"/>
      <c r="L6105" s="8"/>
    </row>
    <row r="6106" spans="7:12" x14ac:dyDescent="0.2">
      <c r="G6106" s="45"/>
      <c r="L6106" s="8"/>
    </row>
    <row r="6107" spans="7:12" x14ac:dyDescent="0.2">
      <c r="G6107" s="45"/>
      <c r="L6107" s="8"/>
    </row>
    <row r="6108" spans="7:12" x14ac:dyDescent="0.2">
      <c r="G6108" s="45"/>
      <c r="L6108" s="8"/>
    </row>
    <row r="6109" spans="7:12" x14ac:dyDescent="0.2">
      <c r="G6109" s="45"/>
      <c r="L6109" s="8"/>
    </row>
    <row r="6110" spans="7:12" x14ac:dyDescent="0.2">
      <c r="G6110" s="45"/>
      <c r="L6110" s="8"/>
    </row>
    <row r="6111" spans="7:12" x14ac:dyDescent="0.2">
      <c r="G6111" s="45"/>
      <c r="L6111" s="8"/>
    </row>
    <row r="6112" spans="7:12" x14ac:dyDescent="0.2">
      <c r="G6112" s="45"/>
      <c r="L6112" s="8"/>
    </row>
    <row r="6113" spans="7:12" x14ac:dyDescent="0.2">
      <c r="G6113" s="45"/>
      <c r="L6113" s="8"/>
    </row>
    <row r="6114" spans="7:12" x14ac:dyDescent="0.2">
      <c r="G6114" s="45"/>
      <c r="L6114" s="8"/>
    </row>
    <row r="6115" spans="7:12" x14ac:dyDescent="0.2">
      <c r="G6115" s="45"/>
      <c r="L6115" s="8"/>
    </row>
    <row r="6116" spans="7:12" x14ac:dyDescent="0.2">
      <c r="G6116" s="45"/>
      <c r="L6116" s="8"/>
    </row>
    <row r="6117" spans="7:12" x14ac:dyDescent="0.2">
      <c r="G6117" s="45"/>
      <c r="L6117" s="8"/>
    </row>
    <row r="6118" spans="7:12" x14ac:dyDescent="0.2">
      <c r="G6118" s="45"/>
      <c r="L6118" s="8"/>
    </row>
    <row r="6119" spans="7:12" x14ac:dyDescent="0.2">
      <c r="G6119" s="45"/>
      <c r="L6119" s="8"/>
    </row>
    <row r="6120" spans="7:12" x14ac:dyDescent="0.2">
      <c r="G6120" s="45"/>
      <c r="L6120" s="8"/>
    </row>
    <row r="6121" spans="7:12" x14ac:dyDescent="0.2">
      <c r="G6121" s="45"/>
      <c r="L6121" s="8"/>
    </row>
    <row r="6122" spans="7:12" x14ac:dyDescent="0.2">
      <c r="G6122" s="45"/>
      <c r="L6122" s="8"/>
    </row>
    <row r="6123" spans="7:12" x14ac:dyDescent="0.2">
      <c r="G6123" s="45"/>
      <c r="L6123" s="8"/>
    </row>
    <row r="6124" spans="7:12" x14ac:dyDescent="0.2">
      <c r="G6124" s="45"/>
      <c r="L6124" s="8"/>
    </row>
    <row r="6125" spans="7:12" x14ac:dyDescent="0.2">
      <c r="G6125" s="45"/>
      <c r="L6125" s="8"/>
    </row>
    <row r="6126" spans="7:12" x14ac:dyDescent="0.2">
      <c r="G6126" s="45"/>
      <c r="L6126" s="8"/>
    </row>
    <row r="6127" spans="7:12" x14ac:dyDescent="0.2">
      <c r="G6127" s="45"/>
      <c r="L6127" s="8"/>
    </row>
    <row r="6128" spans="7:12" x14ac:dyDescent="0.2">
      <c r="G6128" s="45"/>
      <c r="L6128" s="8"/>
    </row>
    <row r="6129" spans="7:12" x14ac:dyDescent="0.2">
      <c r="G6129" s="45"/>
      <c r="L6129" s="8"/>
    </row>
    <row r="6130" spans="7:12" x14ac:dyDescent="0.2">
      <c r="G6130" s="45"/>
      <c r="L6130" s="8"/>
    </row>
    <row r="6131" spans="7:12" x14ac:dyDescent="0.2">
      <c r="G6131" s="45"/>
      <c r="L6131" s="8"/>
    </row>
    <row r="6132" spans="7:12" x14ac:dyDescent="0.2">
      <c r="G6132" s="45"/>
      <c r="L6132" s="8"/>
    </row>
    <row r="6133" spans="7:12" x14ac:dyDescent="0.2">
      <c r="G6133" s="45"/>
      <c r="L6133" s="8"/>
    </row>
    <row r="6134" spans="7:12" x14ac:dyDescent="0.2">
      <c r="G6134" s="45"/>
      <c r="L6134" s="8"/>
    </row>
    <row r="6135" spans="7:12" x14ac:dyDescent="0.2">
      <c r="G6135" s="45"/>
      <c r="L6135" s="8"/>
    </row>
    <row r="6136" spans="7:12" x14ac:dyDescent="0.2">
      <c r="G6136" s="45"/>
      <c r="L6136" s="8"/>
    </row>
    <row r="6137" spans="7:12" x14ac:dyDescent="0.2">
      <c r="G6137" s="45"/>
      <c r="L6137" s="8"/>
    </row>
    <row r="6138" spans="7:12" x14ac:dyDescent="0.2">
      <c r="G6138" s="45"/>
      <c r="L6138" s="8"/>
    </row>
    <row r="6139" spans="7:12" x14ac:dyDescent="0.2">
      <c r="G6139" s="45"/>
      <c r="L6139" s="8"/>
    </row>
    <row r="6140" spans="7:12" x14ac:dyDescent="0.2">
      <c r="G6140" s="45"/>
      <c r="L6140" s="8"/>
    </row>
    <row r="6141" spans="7:12" x14ac:dyDescent="0.2">
      <c r="G6141" s="45"/>
      <c r="L6141" s="8"/>
    </row>
    <row r="6142" spans="7:12" x14ac:dyDescent="0.2">
      <c r="G6142" s="45"/>
      <c r="L6142" s="8"/>
    </row>
    <row r="6143" spans="7:12" x14ac:dyDescent="0.2">
      <c r="G6143" s="45"/>
      <c r="L6143" s="8"/>
    </row>
    <row r="6144" spans="7:12" x14ac:dyDescent="0.2">
      <c r="G6144" s="45"/>
      <c r="L6144" s="8"/>
    </row>
    <row r="6145" spans="7:12" x14ac:dyDescent="0.2">
      <c r="G6145" s="45"/>
      <c r="L6145" s="8"/>
    </row>
    <row r="6146" spans="7:12" x14ac:dyDescent="0.2">
      <c r="G6146" s="45"/>
      <c r="L6146" s="8"/>
    </row>
    <row r="6147" spans="7:12" x14ac:dyDescent="0.2">
      <c r="G6147" s="45"/>
      <c r="L6147" s="8"/>
    </row>
    <row r="6148" spans="7:12" x14ac:dyDescent="0.2">
      <c r="G6148" s="45"/>
      <c r="L6148" s="8"/>
    </row>
    <row r="6149" spans="7:12" x14ac:dyDescent="0.2">
      <c r="G6149" s="45"/>
      <c r="L6149" s="8"/>
    </row>
    <row r="6150" spans="7:12" x14ac:dyDescent="0.2">
      <c r="G6150" s="45"/>
      <c r="L6150" s="8"/>
    </row>
    <row r="6151" spans="7:12" x14ac:dyDescent="0.2">
      <c r="G6151" s="45"/>
      <c r="L6151" s="8"/>
    </row>
    <row r="6152" spans="7:12" x14ac:dyDescent="0.2">
      <c r="G6152" s="45"/>
      <c r="L6152" s="8"/>
    </row>
    <row r="6153" spans="7:12" x14ac:dyDescent="0.2">
      <c r="G6153" s="45"/>
      <c r="L6153" s="8"/>
    </row>
    <row r="6154" spans="7:12" x14ac:dyDescent="0.2">
      <c r="G6154" s="45"/>
      <c r="L6154" s="8"/>
    </row>
    <row r="6155" spans="7:12" x14ac:dyDescent="0.2">
      <c r="G6155" s="45"/>
      <c r="L6155" s="8"/>
    </row>
    <row r="6156" spans="7:12" x14ac:dyDescent="0.2">
      <c r="G6156" s="45"/>
      <c r="L6156" s="8"/>
    </row>
    <row r="6157" spans="7:12" x14ac:dyDescent="0.2">
      <c r="G6157" s="45"/>
      <c r="L6157" s="8"/>
    </row>
    <row r="6158" spans="7:12" x14ac:dyDescent="0.2">
      <c r="G6158" s="45"/>
      <c r="L6158" s="8"/>
    </row>
    <row r="6159" spans="7:12" x14ac:dyDescent="0.2">
      <c r="G6159" s="45"/>
      <c r="L6159" s="8"/>
    </row>
    <row r="6160" spans="7:12" x14ac:dyDescent="0.2">
      <c r="G6160" s="45"/>
      <c r="L6160" s="8"/>
    </row>
    <row r="6161" spans="7:12" x14ac:dyDescent="0.2">
      <c r="G6161" s="45"/>
      <c r="L6161" s="8"/>
    </row>
    <row r="6162" spans="7:12" x14ac:dyDescent="0.2">
      <c r="G6162" s="45"/>
      <c r="L6162" s="8"/>
    </row>
    <row r="6163" spans="7:12" x14ac:dyDescent="0.2">
      <c r="G6163" s="45"/>
      <c r="L6163" s="8"/>
    </row>
    <row r="6164" spans="7:12" x14ac:dyDescent="0.2">
      <c r="G6164" s="45"/>
      <c r="L6164" s="8"/>
    </row>
    <row r="6165" spans="7:12" x14ac:dyDescent="0.2">
      <c r="G6165" s="45"/>
      <c r="L6165" s="8"/>
    </row>
    <row r="6166" spans="7:12" x14ac:dyDescent="0.2">
      <c r="G6166" s="45"/>
      <c r="L6166" s="8"/>
    </row>
    <row r="6167" spans="7:12" x14ac:dyDescent="0.2">
      <c r="G6167" s="45"/>
      <c r="L6167" s="8"/>
    </row>
    <row r="6168" spans="7:12" x14ac:dyDescent="0.2">
      <c r="G6168" s="45"/>
      <c r="L6168" s="8"/>
    </row>
    <row r="6169" spans="7:12" x14ac:dyDescent="0.2">
      <c r="G6169" s="45"/>
      <c r="L6169" s="8"/>
    </row>
    <row r="6170" spans="7:12" x14ac:dyDescent="0.2">
      <c r="G6170" s="45"/>
      <c r="L6170" s="8"/>
    </row>
    <row r="6171" spans="7:12" x14ac:dyDescent="0.2">
      <c r="G6171" s="45"/>
      <c r="L6171" s="8"/>
    </row>
    <row r="6172" spans="7:12" x14ac:dyDescent="0.2">
      <c r="G6172" s="45"/>
      <c r="L6172" s="8"/>
    </row>
    <row r="6173" spans="7:12" x14ac:dyDescent="0.2">
      <c r="G6173" s="45"/>
      <c r="L6173" s="8"/>
    </row>
    <row r="6174" spans="7:12" x14ac:dyDescent="0.2">
      <c r="G6174" s="45"/>
      <c r="L6174" s="8"/>
    </row>
    <row r="6175" spans="7:12" x14ac:dyDescent="0.2">
      <c r="G6175" s="45"/>
      <c r="L6175" s="8"/>
    </row>
    <row r="6176" spans="7:12" x14ac:dyDescent="0.2">
      <c r="G6176" s="45"/>
      <c r="L6176" s="8"/>
    </row>
    <row r="6177" spans="7:12" x14ac:dyDescent="0.2">
      <c r="G6177" s="45"/>
      <c r="L6177" s="8"/>
    </row>
    <row r="6178" spans="7:12" x14ac:dyDescent="0.2">
      <c r="G6178" s="45"/>
      <c r="L6178" s="8"/>
    </row>
    <row r="6179" spans="7:12" x14ac:dyDescent="0.2">
      <c r="G6179" s="45"/>
      <c r="L6179" s="8"/>
    </row>
    <row r="6180" spans="7:12" x14ac:dyDescent="0.2">
      <c r="G6180" s="45"/>
      <c r="L6180" s="8"/>
    </row>
    <row r="6181" spans="7:12" x14ac:dyDescent="0.2">
      <c r="G6181" s="45"/>
      <c r="L6181" s="8"/>
    </row>
    <row r="6182" spans="7:12" x14ac:dyDescent="0.2">
      <c r="G6182" s="45"/>
      <c r="L6182" s="8"/>
    </row>
    <row r="6183" spans="7:12" x14ac:dyDescent="0.2">
      <c r="G6183" s="45"/>
      <c r="L6183" s="8"/>
    </row>
    <row r="6184" spans="7:12" x14ac:dyDescent="0.2">
      <c r="G6184" s="45"/>
      <c r="L6184" s="8"/>
    </row>
    <row r="6185" spans="7:12" x14ac:dyDescent="0.2">
      <c r="G6185" s="45"/>
      <c r="L6185" s="8"/>
    </row>
    <row r="6186" spans="7:12" x14ac:dyDescent="0.2">
      <c r="G6186" s="45"/>
      <c r="L6186" s="8"/>
    </row>
    <row r="6187" spans="7:12" x14ac:dyDescent="0.2">
      <c r="G6187" s="45"/>
      <c r="L6187" s="8"/>
    </row>
    <row r="6188" spans="7:12" x14ac:dyDescent="0.2">
      <c r="G6188" s="45"/>
      <c r="L6188" s="8"/>
    </row>
    <row r="6189" spans="7:12" x14ac:dyDescent="0.2">
      <c r="G6189" s="45"/>
      <c r="L6189" s="8"/>
    </row>
    <row r="6190" spans="7:12" x14ac:dyDescent="0.2">
      <c r="G6190" s="45"/>
      <c r="L6190" s="8"/>
    </row>
    <row r="6191" spans="7:12" x14ac:dyDescent="0.2">
      <c r="G6191" s="45"/>
      <c r="L6191" s="8"/>
    </row>
    <row r="6192" spans="7:12" x14ac:dyDescent="0.2">
      <c r="G6192" s="45"/>
      <c r="L6192" s="8"/>
    </row>
    <row r="6193" spans="7:12" x14ac:dyDescent="0.2">
      <c r="G6193" s="45"/>
      <c r="L6193" s="8"/>
    </row>
    <row r="6194" spans="7:12" x14ac:dyDescent="0.2">
      <c r="G6194" s="45"/>
      <c r="L6194" s="8"/>
    </row>
    <row r="6195" spans="7:12" x14ac:dyDescent="0.2">
      <c r="G6195" s="45"/>
      <c r="L6195" s="8"/>
    </row>
    <row r="6196" spans="7:12" x14ac:dyDescent="0.2">
      <c r="G6196" s="45"/>
      <c r="L6196" s="8"/>
    </row>
    <row r="6197" spans="7:12" x14ac:dyDescent="0.2">
      <c r="G6197" s="45"/>
      <c r="L6197" s="8"/>
    </row>
    <row r="6198" spans="7:12" x14ac:dyDescent="0.2">
      <c r="G6198" s="45"/>
      <c r="L6198" s="8"/>
    </row>
    <row r="6199" spans="7:12" x14ac:dyDescent="0.2">
      <c r="G6199" s="45"/>
      <c r="L6199" s="8"/>
    </row>
    <row r="6200" spans="7:12" x14ac:dyDescent="0.2">
      <c r="G6200" s="45"/>
      <c r="L6200" s="8"/>
    </row>
    <row r="6201" spans="7:12" x14ac:dyDescent="0.2">
      <c r="G6201" s="45"/>
      <c r="L6201" s="8"/>
    </row>
    <row r="6202" spans="7:12" x14ac:dyDescent="0.2">
      <c r="G6202" s="45"/>
      <c r="L6202" s="8"/>
    </row>
    <row r="6203" spans="7:12" x14ac:dyDescent="0.2">
      <c r="G6203" s="45"/>
      <c r="L6203" s="8"/>
    </row>
    <row r="6204" spans="7:12" x14ac:dyDescent="0.2">
      <c r="G6204" s="45"/>
      <c r="L6204" s="8"/>
    </row>
    <row r="6205" spans="7:12" x14ac:dyDescent="0.2">
      <c r="G6205" s="45"/>
      <c r="L6205" s="8"/>
    </row>
    <row r="6206" spans="7:12" x14ac:dyDescent="0.2">
      <c r="G6206" s="45"/>
      <c r="L6206" s="8"/>
    </row>
    <row r="6207" spans="7:12" x14ac:dyDescent="0.2">
      <c r="G6207" s="45"/>
      <c r="L6207" s="8"/>
    </row>
    <row r="6208" spans="7:12" x14ac:dyDescent="0.2">
      <c r="G6208" s="45"/>
      <c r="L6208" s="8"/>
    </row>
    <row r="6209" spans="7:12" x14ac:dyDescent="0.2">
      <c r="G6209" s="45"/>
      <c r="L6209" s="8"/>
    </row>
    <row r="6210" spans="7:12" x14ac:dyDescent="0.2">
      <c r="G6210" s="45"/>
      <c r="L6210" s="8"/>
    </row>
    <row r="6211" spans="7:12" x14ac:dyDescent="0.2">
      <c r="G6211" s="45"/>
      <c r="L6211" s="8"/>
    </row>
    <row r="6212" spans="7:12" x14ac:dyDescent="0.2">
      <c r="G6212" s="45"/>
      <c r="L6212" s="8"/>
    </row>
    <row r="6213" spans="7:12" x14ac:dyDescent="0.2">
      <c r="G6213" s="45"/>
      <c r="L6213" s="8"/>
    </row>
    <row r="6214" spans="7:12" x14ac:dyDescent="0.2">
      <c r="G6214" s="45"/>
      <c r="L6214" s="8"/>
    </row>
    <row r="6215" spans="7:12" x14ac:dyDescent="0.2">
      <c r="G6215" s="45"/>
      <c r="L6215" s="8"/>
    </row>
    <row r="6216" spans="7:12" x14ac:dyDescent="0.2">
      <c r="G6216" s="45"/>
      <c r="L6216" s="8"/>
    </row>
    <row r="6217" spans="7:12" x14ac:dyDescent="0.2">
      <c r="G6217" s="45"/>
      <c r="L6217" s="8"/>
    </row>
    <row r="6218" spans="7:12" x14ac:dyDescent="0.2">
      <c r="G6218" s="45"/>
      <c r="L6218" s="8"/>
    </row>
    <row r="6219" spans="7:12" x14ac:dyDescent="0.2">
      <c r="G6219" s="45"/>
      <c r="L6219" s="8"/>
    </row>
    <row r="6220" spans="7:12" x14ac:dyDescent="0.2">
      <c r="G6220" s="45"/>
      <c r="L6220" s="8"/>
    </row>
    <row r="6221" spans="7:12" x14ac:dyDescent="0.2">
      <c r="G6221" s="45"/>
      <c r="L6221" s="8"/>
    </row>
    <row r="6222" spans="7:12" x14ac:dyDescent="0.2">
      <c r="G6222" s="45"/>
      <c r="L6222" s="8"/>
    </row>
    <row r="6223" spans="7:12" x14ac:dyDescent="0.2">
      <c r="G6223" s="45"/>
      <c r="L6223" s="8"/>
    </row>
    <row r="6224" spans="7:12" x14ac:dyDescent="0.2">
      <c r="G6224" s="45"/>
      <c r="L6224" s="8"/>
    </row>
    <row r="6225" spans="7:12" x14ac:dyDescent="0.2">
      <c r="G6225" s="45"/>
      <c r="L6225" s="8"/>
    </row>
    <row r="6226" spans="7:12" x14ac:dyDescent="0.2">
      <c r="G6226" s="45"/>
      <c r="L6226" s="8"/>
    </row>
    <row r="6227" spans="7:12" x14ac:dyDescent="0.2">
      <c r="G6227" s="45"/>
      <c r="L6227" s="8"/>
    </row>
    <row r="6228" spans="7:12" x14ac:dyDescent="0.2">
      <c r="G6228" s="45"/>
      <c r="L6228" s="8"/>
    </row>
    <row r="6229" spans="7:12" x14ac:dyDescent="0.2">
      <c r="G6229" s="45"/>
      <c r="L6229" s="8"/>
    </row>
    <row r="6230" spans="7:12" x14ac:dyDescent="0.2">
      <c r="G6230" s="45"/>
      <c r="L6230" s="8"/>
    </row>
    <row r="6231" spans="7:12" x14ac:dyDescent="0.2">
      <c r="G6231" s="45"/>
      <c r="L6231" s="8"/>
    </row>
    <row r="6232" spans="7:12" x14ac:dyDescent="0.2">
      <c r="G6232" s="45"/>
      <c r="L6232" s="8"/>
    </row>
    <row r="6233" spans="7:12" x14ac:dyDescent="0.2">
      <c r="G6233" s="45"/>
      <c r="L6233" s="8"/>
    </row>
    <row r="6234" spans="7:12" x14ac:dyDescent="0.2">
      <c r="G6234" s="45"/>
      <c r="L6234" s="8"/>
    </row>
    <row r="6235" spans="7:12" x14ac:dyDescent="0.2">
      <c r="G6235" s="45"/>
      <c r="L6235" s="8"/>
    </row>
    <row r="6236" spans="7:12" x14ac:dyDescent="0.2">
      <c r="G6236" s="45"/>
      <c r="L6236" s="8"/>
    </row>
    <row r="6237" spans="7:12" x14ac:dyDescent="0.2">
      <c r="G6237" s="45"/>
      <c r="L6237" s="8"/>
    </row>
    <row r="6238" spans="7:12" x14ac:dyDescent="0.2">
      <c r="G6238" s="45"/>
      <c r="L6238" s="8"/>
    </row>
    <row r="6239" spans="7:12" x14ac:dyDescent="0.2">
      <c r="G6239" s="45"/>
      <c r="L6239" s="8"/>
    </row>
    <row r="6240" spans="7:12" x14ac:dyDescent="0.2">
      <c r="G6240" s="45"/>
      <c r="L6240" s="8"/>
    </row>
    <row r="6241" spans="7:12" x14ac:dyDescent="0.2">
      <c r="G6241" s="45"/>
      <c r="L6241" s="8"/>
    </row>
    <row r="6242" spans="7:12" x14ac:dyDescent="0.2">
      <c r="G6242" s="45"/>
      <c r="L6242" s="8"/>
    </row>
    <row r="6243" spans="7:12" x14ac:dyDescent="0.2">
      <c r="G6243" s="45"/>
      <c r="L6243" s="8"/>
    </row>
    <row r="6244" spans="7:12" x14ac:dyDescent="0.2">
      <c r="G6244" s="45"/>
      <c r="L6244" s="8"/>
    </row>
    <row r="6245" spans="7:12" x14ac:dyDescent="0.2">
      <c r="G6245" s="45"/>
      <c r="L6245" s="8"/>
    </row>
    <row r="6246" spans="7:12" x14ac:dyDescent="0.2">
      <c r="G6246" s="45"/>
      <c r="L6246" s="8"/>
    </row>
    <row r="6247" spans="7:12" x14ac:dyDescent="0.2">
      <c r="G6247" s="45"/>
      <c r="L6247" s="8"/>
    </row>
    <row r="6248" spans="7:12" x14ac:dyDescent="0.2">
      <c r="G6248" s="45"/>
      <c r="L6248" s="8"/>
    </row>
    <row r="6249" spans="7:12" x14ac:dyDescent="0.2">
      <c r="G6249" s="45"/>
      <c r="L6249" s="8"/>
    </row>
    <row r="6250" spans="7:12" x14ac:dyDescent="0.2">
      <c r="G6250" s="45"/>
      <c r="L6250" s="8"/>
    </row>
    <row r="6251" spans="7:12" x14ac:dyDescent="0.2">
      <c r="G6251" s="45"/>
      <c r="L6251" s="8"/>
    </row>
    <row r="6252" spans="7:12" x14ac:dyDescent="0.2">
      <c r="G6252" s="45"/>
      <c r="L6252" s="8"/>
    </row>
    <row r="6253" spans="7:12" x14ac:dyDescent="0.2">
      <c r="G6253" s="45"/>
      <c r="L6253" s="8"/>
    </row>
    <row r="6254" spans="7:12" x14ac:dyDescent="0.2">
      <c r="G6254" s="45"/>
      <c r="L6254" s="8"/>
    </row>
    <row r="6255" spans="7:12" x14ac:dyDescent="0.2">
      <c r="G6255" s="45"/>
      <c r="L6255" s="8"/>
    </row>
    <row r="6256" spans="7:12" x14ac:dyDescent="0.2">
      <c r="G6256" s="45"/>
      <c r="L6256" s="8"/>
    </row>
    <row r="6257" spans="7:12" x14ac:dyDescent="0.2">
      <c r="G6257" s="45"/>
      <c r="L6257" s="8"/>
    </row>
    <row r="6258" spans="7:12" x14ac:dyDescent="0.2">
      <c r="G6258" s="45"/>
      <c r="L6258" s="8"/>
    </row>
    <row r="6259" spans="7:12" x14ac:dyDescent="0.2">
      <c r="G6259" s="45"/>
      <c r="L6259" s="8"/>
    </row>
    <row r="6260" spans="7:12" x14ac:dyDescent="0.2">
      <c r="G6260" s="45"/>
      <c r="L6260" s="8"/>
    </row>
    <row r="6261" spans="7:12" x14ac:dyDescent="0.2">
      <c r="G6261" s="45"/>
      <c r="L6261" s="8"/>
    </row>
    <row r="6262" spans="7:12" x14ac:dyDescent="0.2">
      <c r="G6262" s="45"/>
      <c r="L6262" s="8"/>
    </row>
    <row r="6263" spans="7:12" x14ac:dyDescent="0.2">
      <c r="G6263" s="45"/>
      <c r="L6263" s="8"/>
    </row>
    <row r="6264" spans="7:12" x14ac:dyDescent="0.2">
      <c r="G6264" s="45"/>
      <c r="L6264" s="8"/>
    </row>
    <row r="6265" spans="7:12" x14ac:dyDescent="0.2">
      <c r="G6265" s="45"/>
      <c r="L6265" s="8"/>
    </row>
    <row r="6266" spans="7:12" x14ac:dyDescent="0.2">
      <c r="G6266" s="45"/>
      <c r="L6266" s="8"/>
    </row>
    <row r="6267" spans="7:12" x14ac:dyDescent="0.2">
      <c r="G6267" s="45"/>
      <c r="L6267" s="8"/>
    </row>
    <row r="6268" spans="7:12" x14ac:dyDescent="0.2">
      <c r="G6268" s="45"/>
      <c r="L6268" s="8"/>
    </row>
    <row r="6269" spans="7:12" x14ac:dyDescent="0.2">
      <c r="G6269" s="45"/>
      <c r="L6269" s="8"/>
    </row>
    <row r="6270" spans="7:12" x14ac:dyDescent="0.2">
      <c r="G6270" s="45"/>
      <c r="L6270" s="8"/>
    </row>
    <row r="6271" spans="7:12" x14ac:dyDescent="0.2">
      <c r="G6271" s="45"/>
      <c r="L6271" s="8"/>
    </row>
    <row r="6272" spans="7:12" x14ac:dyDescent="0.2">
      <c r="G6272" s="45"/>
      <c r="L6272" s="8"/>
    </row>
    <row r="6273" spans="7:12" x14ac:dyDescent="0.2">
      <c r="G6273" s="45"/>
      <c r="L6273" s="8"/>
    </row>
    <row r="6274" spans="7:12" x14ac:dyDescent="0.2">
      <c r="G6274" s="45"/>
      <c r="L6274" s="8"/>
    </row>
    <row r="6275" spans="7:12" x14ac:dyDescent="0.2">
      <c r="G6275" s="45"/>
      <c r="L6275" s="8"/>
    </row>
    <row r="6276" spans="7:12" x14ac:dyDescent="0.2">
      <c r="G6276" s="45"/>
      <c r="L6276" s="8"/>
    </row>
    <row r="6277" spans="7:12" x14ac:dyDescent="0.2">
      <c r="G6277" s="45"/>
      <c r="L6277" s="8"/>
    </row>
    <row r="6278" spans="7:12" x14ac:dyDescent="0.2">
      <c r="G6278" s="45"/>
      <c r="L6278" s="8"/>
    </row>
    <row r="6279" spans="7:12" x14ac:dyDescent="0.2">
      <c r="G6279" s="45"/>
      <c r="L6279" s="8"/>
    </row>
    <row r="6280" spans="7:12" x14ac:dyDescent="0.2">
      <c r="G6280" s="45"/>
      <c r="L6280" s="8"/>
    </row>
    <row r="6281" spans="7:12" x14ac:dyDescent="0.2">
      <c r="G6281" s="45"/>
      <c r="L6281" s="8"/>
    </row>
    <row r="6282" spans="7:12" x14ac:dyDescent="0.2">
      <c r="G6282" s="45"/>
      <c r="L6282" s="8"/>
    </row>
    <row r="6283" spans="7:12" x14ac:dyDescent="0.2">
      <c r="G6283" s="45"/>
      <c r="L6283" s="8"/>
    </row>
    <row r="6284" spans="7:12" x14ac:dyDescent="0.2">
      <c r="G6284" s="45"/>
      <c r="L6284" s="8"/>
    </row>
    <row r="6285" spans="7:12" x14ac:dyDescent="0.2">
      <c r="G6285" s="45"/>
      <c r="L6285" s="8"/>
    </row>
    <row r="6286" spans="7:12" x14ac:dyDescent="0.2">
      <c r="G6286" s="45"/>
      <c r="L6286" s="8"/>
    </row>
    <row r="6287" spans="7:12" x14ac:dyDescent="0.2">
      <c r="G6287" s="45"/>
      <c r="L6287" s="8"/>
    </row>
    <row r="6288" spans="7:12" x14ac:dyDescent="0.2">
      <c r="G6288" s="45"/>
      <c r="L6288" s="8"/>
    </row>
    <row r="6289" spans="7:12" x14ac:dyDescent="0.2">
      <c r="G6289" s="45"/>
      <c r="L6289" s="8"/>
    </row>
    <row r="6290" spans="7:12" x14ac:dyDescent="0.2">
      <c r="G6290" s="45"/>
      <c r="L6290" s="8"/>
    </row>
    <row r="6291" spans="7:12" x14ac:dyDescent="0.2">
      <c r="G6291" s="45"/>
      <c r="L6291" s="8"/>
    </row>
    <row r="6292" spans="7:12" x14ac:dyDescent="0.2">
      <c r="G6292" s="45"/>
      <c r="L6292" s="8"/>
    </row>
    <row r="6293" spans="7:12" x14ac:dyDescent="0.2">
      <c r="G6293" s="45"/>
      <c r="L6293" s="8"/>
    </row>
    <row r="6294" spans="7:12" x14ac:dyDescent="0.2">
      <c r="G6294" s="45"/>
      <c r="L6294" s="8"/>
    </row>
    <row r="6295" spans="7:12" x14ac:dyDescent="0.2">
      <c r="G6295" s="45"/>
      <c r="L6295" s="8"/>
    </row>
    <row r="6296" spans="7:12" x14ac:dyDescent="0.2">
      <c r="G6296" s="45"/>
      <c r="L6296" s="8"/>
    </row>
    <row r="6297" spans="7:12" x14ac:dyDescent="0.2">
      <c r="G6297" s="45"/>
      <c r="L6297" s="8"/>
    </row>
    <row r="6298" spans="7:12" x14ac:dyDescent="0.2">
      <c r="G6298" s="45"/>
      <c r="L6298" s="8"/>
    </row>
    <row r="6299" spans="7:12" x14ac:dyDescent="0.2">
      <c r="G6299" s="45"/>
      <c r="L6299" s="8"/>
    </row>
    <row r="6300" spans="7:12" x14ac:dyDescent="0.2">
      <c r="G6300" s="45"/>
      <c r="L6300" s="8"/>
    </row>
    <row r="6301" spans="7:12" x14ac:dyDescent="0.2">
      <c r="G6301" s="45"/>
      <c r="L6301" s="8"/>
    </row>
    <row r="6302" spans="7:12" x14ac:dyDescent="0.2">
      <c r="G6302" s="45"/>
      <c r="L6302" s="8"/>
    </row>
    <row r="6303" spans="7:12" x14ac:dyDescent="0.2">
      <c r="G6303" s="45"/>
      <c r="L6303" s="8"/>
    </row>
    <row r="6304" spans="7:12" x14ac:dyDescent="0.2">
      <c r="G6304" s="45"/>
      <c r="L6304" s="8"/>
    </row>
    <row r="6305" spans="7:12" x14ac:dyDescent="0.2">
      <c r="G6305" s="45"/>
      <c r="L6305" s="8"/>
    </row>
    <row r="6306" spans="7:12" x14ac:dyDescent="0.2">
      <c r="G6306" s="45"/>
      <c r="L6306" s="8"/>
    </row>
    <row r="6307" spans="7:12" x14ac:dyDescent="0.2">
      <c r="G6307" s="45"/>
      <c r="L6307" s="8"/>
    </row>
    <row r="6308" spans="7:12" x14ac:dyDescent="0.2">
      <c r="G6308" s="45"/>
      <c r="L6308" s="8"/>
    </row>
    <row r="6309" spans="7:12" x14ac:dyDescent="0.2">
      <c r="G6309" s="45"/>
      <c r="L6309" s="8"/>
    </row>
    <row r="6310" spans="7:12" x14ac:dyDescent="0.2">
      <c r="G6310" s="45"/>
      <c r="L6310" s="8"/>
    </row>
    <row r="6311" spans="7:12" x14ac:dyDescent="0.2">
      <c r="G6311" s="45"/>
      <c r="L6311" s="8"/>
    </row>
    <row r="6312" spans="7:12" x14ac:dyDescent="0.2">
      <c r="G6312" s="45"/>
      <c r="L6312" s="8"/>
    </row>
    <row r="6313" spans="7:12" x14ac:dyDescent="0.2">
      <c r="G6313" s="45"/>
      <c r="L6313" s="8"/>
    </row>
    <row r="6314" spans="7:12" x14ac:dyDescent="0.2">
      <c r="G6314" s="45"/>
      <c r="L6314" s="8"/>
    </row>
    <row r="6315" spans="7:12" x14ac:dyDescent="0.2">
      <c r="G6315" s="45"/>
      <c r="L6315" s="8"/>
    </row>
    <row r="6316" spans="7:12" x14ac:dyDescent="0.2">
      <c r="G6316" s="45"/>
      <c r="L6316" s="8"/>
    </row>
    <row r="6317" spans="7:12" x14ac:dyDescent="0.2">
      <c r="G6317" s="45"/>
      <c r="L6317" s="8"/>
    </row>
    <row r="6318" spans="7:12" x14ac:dyDescent="0.2">
      <c r="G6318" s="45"/>
      <c r="L6318" s="8"/>
    </row>
    <row r="6319" spans="7:12" x14ac:dyDescent="0.2">
      <c r="G6319" s="45"/>
      <c r="L6319" s="8"/>
    </row>
    <row r="6320" spans="7:12" x14ac:dyDescent="0.2">
      <c r="G6320" s="45"/>
      <c r="L6320" s="8"/>
    </row>
    <row r="6321" spans="7:12" x14ac:dyDescent="0.2">
      <c r="G6321" s="45"/>
      <c r="L6321" s="8"/>
    </row>
    <row r="6322" spans="7:12" x14ac:dyDescent="0.2">
      <c r="G6322" s="45"/>
      <c r="L6322" s="8"/>
    </row>
    <row r="6323" spans="7:12" x14ac:dyDescent="0.2">
      <c r="G6323" s="45"/>
      <c r="L6323" s="8"/>
    </row>
    <row r="6324" spans="7:12" x14ac:dyDescent="0.2">
      <c r="G6324" s="45"/>
      <c r="L6324" s="8"/>
    </row>
    <row r="6325" spans="7:12" x14ac:dyDescent="0.2">
      <c r="G6325" s="45"/>
      <c r="L6325" s="8"/>
    </row>
    <row r="6326" spans="7:12" x14ac:dyDescent="0.2">
      <c r="G6326" s="45"/>
      <c r="L6326" s="8"/>
    </row>
    <row r="6327" spans="7:12" x14ac:dyDescent="0.2">
      <c r="G6327" s="45"/>
      <c r="L6327" s="8"/>
    </row>
    <row r="6328" spans="7:12" x14ac:dyDescent="0.2">
      <c r="G6328" s="45"/>
      <c r="L6328" s="8"/>
    </row>
    <row r="6329" spans="7:12" x14ac:dyDescent="0.2">
      <c r="G6329" s="45"/>
      <c r="L6329" s="8"/>
    </row>
    <row r="6330" spans="7:12" x14ac:dyDescent="0.2">
      <c r="G6330" s="45"/>
      <c r="L6330" s="8"/>
    </row>
    <row r="6331" spans="7:12" x14ac:dyDescent="0.2">
      <c r="G6331" s="45"/>
      <c r="L6331" s="8"/>
    </row>
    <row r="6332" spans="7:12" x14ac:dyDescent="0.2">
      <c r="G6332" s="45"/>
      <c r="L6332" s="8"/>
    </row>
    <row r="6333" spans="7:12" x14ac:dyDescent="0.2">
      <c r="G6333" s="45"/>
      <c r="L6333" s="8"/>
    </row>
    <row r="6334" spans="7:12" x14ac:dyDescent="0.2">
      <c r="G6334" s="45"/>
      <c r="L6334" s="8"/>
    </row>
    <row r="6335" spans="7:12" x14ac:dyDescent="0.2">
      <c r="G6335" s="45"/>
      <c r="L6335" s="8"/>
    </row>
    <row r="6336" spans="7:12" x14ac:dyDescent="0.2">
      <c r="G6336" s="45"/>
      <c r="L6336" s="8"/>
    </row>
    <row r="6337" spans="7:12" x14ac:dyDescent="0.2">
      <c r="G6337" s="45"/>
      <c r="L6337" s="8"/>
    </row>
    <row r="6338" spans="7:12" x14ac:dyDescent="0.2">
      <c r="G6338" s="45"/>
      <c r="L6338" s="8"/>
    </row>
    <row r="6339" spans="7:12" x14ac:dyDescent="0.2">
      <c r="G6339" s="45"/>
      <c r="L6339" s="8"/>
    </row>
    <row r="6340" spans="7:12" x14ac:dyDescent="0.2">
      <c r="G6340" s="45"/>
      <c r="L6340" s="8"/>
    </row>
    <row r="6341" spans="7:12" x14ac:dyDescent="0.2">
      <c r="G6341" s="45"/>
      <c r="L6341" s="8"/>
    </row>
    <row r="6342" spans="7:12" x14ac:dyDescent="0.2">
      <c r="G6342" s="45"/>
      <c r="L6342" s="8"/>
    </row>
    <row r="6343" spans="7:12" x14ac:dyDescent="0.2">
      <c r="G6343" s="45"/>
      <c r="L6343" s="8"/>
    </row>
    <row r="6344" spans="7:12" x14ac:dyDescent="0.2">
      <c r="G6344" s="45"/>
      <c r="L6344" s="8"/>
    </row>
    <row r="6345" spans="7:12" x14ac:dyDescent="0.2">
      <c r="G6345" s="45"/>
      <c r="L6345" s="8"/>
    </row>
    <row r="6346" spans="7:12" x14ac:dyDescent="0.2">
      <c r="G6346" s="45"/>
      <c r="L6346" s="8"/>
    </row>
    <row r="6347" spans="7:12" x14ac:dyDescent="0.2">
      <c r="G6347" s="45"/>
      <c r="L6347" s="8"/>
    </row>
    <row r="6348" spans="7:12" x14ac:dyDescent="0.2">
      <c r="G6348" s="45"/>
      <c r="L6348" s="8"/>
    </row>
    <row r="6349" spans="7:12" x14ac:dyDescent="0.2">
      <c r="G6349" s="45"/>
      <c r="L6349" s="8"/>
    </row>
    <row r="6350" spans="7:12" x14ac:dyDescent="0.2">
      <c r="G6350" s="45"/>
      <c r="L6350" s="8"/>
    </row>
    <row r="6351" spans="7:12" x14ac:dyDescent="0.2">
      <c r="G6351" s="45"/>
      <c r="L6351" s="8"/>
    </row>
    <row r="6352" spans="7:12" x14ac:dyDescent="0.2">
      <c r="G6352" s="45"/>
      <c r="L6352" s="8"/>
    </row>
    <row r="6353" spans="7:12" x14ac:dyDescent="0.2">
      <c r="G6353" s="45"/>
      <c r="L6353" s="8"/>
    </row>
    <row r="6354" spans="7:12" x14ac:dyDescent="0.2">
      <c r="G6354" s="45"/>
      <c r="L6354" s="8"/>
    </row>
    <row r="6355" spans="7:12" x14ac:dyDescent="0.2">
      <c r="G6355" s="45"/>
      <c r="L6355" s="8"/>
    </row>
    <row r="6356" spans="7:12" x14ac:dyDescent="0.2">
      <c r="G6356" s="45"/>
      <c r="L6356" s="8"/>
    </row>
    <row r="6357" spans="7:12" x14ac:dyDescent="0.2">
      <c r="G6357" s="45"/>
      <c r="L6357" s="8"/>
    </row>
    <row r="6358" spans="7:12" x14ac:dyDescent="0.2">
      <c r="G6358" s="45"/>
      <c r="L6358" s="8"/>
    </row>
    <row r="6359" spans="7:12" x14ac:dyDescent="0.2">
      <c r="G6359" s="45"/>
      <c r="L6359" s="8"/>
    </row>
    <row r="6360" spans="7:12" x14ac:dyDescent="0.2">
      <c r="G6360" s="45"/>
      <c r="L6360" s="8"/>
    </row>
    <row r="6361" spans="7:12" x14ac:dyDescent="0.2">
      <c r="G6361" s="45"/>
      <c r="L6361" s="8"/>
    </row>
    <row r="6362" spans="7:12" x14ac:dyDescent="0.2">
      <c r="G6362" s="45"/>
      <c r="L6362" s="8"/>
    </row>
    <row r="6363" spans="7:12" x14ac:dyDescent="0.2">
      <c r="G6363" s="45"/>
      <c r="L6363" s="8"/>
    </row>
    <row r="6364" spans="7:12" x14ac:dyDescent="0.2">
      <c r="G6364" s="45"/>
      <c r="L6364" s="8"/>
    </row>
    <row r="6365" spans="7:12" x14ac:dyDescent="0.2">
      <c r="G6365" s="45"/>
      <c r="L6365" s="8"/>
    </row>
    <row r="6366" spans="7:12" x14ac:dyDescent="0.2">
      <c r="G6366" s="45"/>
      <c r="L6366" s="8"/>
    </row>
    <row r="6367" spans="7:12" x14ac:dyDescent="0.2">
      <c r="G6367" s="45"/>
      <c r="L6367" s="8"/>
    </row>
    <row r="6368" spans="7:12" x14ac:dyDescent="0.2">
      <c r="G6368" s="45"/>
      <c r="L6368" s="8"/>
    </row>
    <row r="6369" spans="7:12" x14ac:dyDescent="0.2">
      <c r="G6369" s="45"/>
      <c r="L6369" s="8"/>
    </row>
    <row r="6370" spans="7:12" x14ac:dyDescent="0.2">
      <c r="G6370" s="45"/>
      <c r="L6370" s="8"/>
    </row>
    <row r="6371" spans="7:12" x14ac:dyDescent="0.2">
      <c r="G6371" s="45"/>
      <c r="L6371" s="8"/>
    </row>
    <row r="6372" spans="7:12" x14ac:dyDescent="0.2">
      <c r="G6372" s="45"/>
      <c r="L6372" s="8"/>
    </row>
    <row r="6373" spans="7:12" x14ac:dyDescent="0.2">
      <c r="G6373" s="45"/>
      <c r="L6373" s="8"/>
    </row>
    <row r="6374" spans="7:12" x14ac:dyDescent="0.2">
      <c r="G6374" s="45"/>
      <c r="L6374" s="8"/>
    </row>
    <row r="6375" spans="7:12" x14ac:dyDescent="0.2">
      <c r="G6375" s="45"/>
      <c r="L6375" s="8"/>
    </row>
    <row r="6376" spans="7:12" x14ac:dyDescent="0.2">
      <c r="G6376" s="45"/>
      <c r="L6376" s="8"/>
    </row>
    <row r="6377" spans="7:12" x14ac:dyDescent="0.2">
      <c r="G6377" s="45"/>
      <c r="L6377" s="8"/>
    </row>
    <row r="6378" spans="7:12" x14ac:dyDescent="0.2">
      <c r="G6378" s="45"/>
      <c r="L6378" s="8"/>
    </row>
    <row r="6379" spans="7:12" x14ac:dyDescent="0.2">
      <c r="G6379" s="45"/>
      <c r="L6379" s="8"/>
    </row>
    <row r="6380" spans="7:12" x14ac:dyDescent="0.2">
      <c r="G6380" s="45"/>
      <c r="L6380" s="8"/>
    </row>
    <row r="6381" spans="7:12" x14ac:dyDescent="0.2">
      <c r="G6381" s="45"/>
      <c r="L6381" s="8"/>
    </row>
    <row r="6382" spans="7:12" x14ac:dyDescent="0.2">
      <c r="G6382" s="45"/>
      <c r="L6382" s="8"/>
    </row>
    <row r="6383" spans="7:12" x14ac:dyDescent="0.2">
      <c r="G6383" s="45"/>
      <c r="L6383" s="8"/>
    </row>
    <row r="6384" spans="7:12" x14ac:dyDescent="0.2">
      <c r="G6384" s="45"/>
      <c r="L6384" s="8"/>
    </row>
    <row r="6385" spans="7:12" x14ac:dyDescent="0.2">
      <c r="G6385" s="45"/>
      <c r="L6385" s="8"/>
    </row>
    <row r="6386" spans="7:12" x14ac:dyDescent="0.2">
      <c r="G6386" s="45"/>
      <c r="L6386" s="8"/>
    </row>
    <row r="6387" spans="7:12" x14ac:dyDescent="0.2">
      <c r="G6387" s="45"/>
      <c r="L6387" s="8"/>
    </row>
    <row r="6388" spans="7:12" x14ac:dyDescent="0.2">
      <c r="G6388" s="45"/>
      <c r="L6388" s="8"/>
    </row>
    <row r="6389" spans="7:12" x14ac:dyDescent="0.2">
      <c r="G6389" s="45"/>
      <c r="L6389" s="8"/>
    </row>
    <row r="6390" spans="7:12" x14ac:dyDescent="0.2">
      <c r="G6390" s="45"/>
      <c r="L6390" s="8"/>
    </row>
    <row r="6391" spans="7:12" x14ac:dyDescent="0.2">
      <c r="G6391" s="45"/>
      <c r="L6391" s="8"/>
    </row>
    <row r="6392" spans="7:12" x14ac:dyDescent="0.2">
      <c r="G6392" s="45"/>
      <c r="L6392" s="8"/>
    </row>
    <row r="6393" spans="7:12" x14ac:dyDescent="0.2">
      <c r="G6393" s="45"/>
      <c r="L6393" s="8"/>
    </row>
    <row r="6394" spans="7:12" x14ac:dyDescent="0.2">
      <c r="G6394" s="45"/>
      <c r="L6394" s="8"/>
    </row>
    <row r="6395" spans="7:12" x14ac:dyDescent="0.2">
      <c r="G6395" s="45"/>
      <c r="L6395" s="8"/>
    </row>
    <row r="6396" spans="7:12" x14ac:dyDescent="0.2">
      <c r="G6396" s="45"/>
      <c r="L6396" s="8"/>
    </row>
    <row r="6397" spans="7:12" x14ac:dyDescent="0.2">
      <c r="G6397" s="45"/>
      <c r="L6397" s="8"/>
    </row>
    <row r="6398" spans="7:12" x14ac:dyDescent="0.2">
      <c r="G6398" s="45"/>
      <c r="L6398" s="8"/>
    </row>
    <row r="6399" spans="7:12" x14ac:dyDescent="0.2">
      <c r="G6399" s="45"/>
      <c r="L6399" s="8"/>
    </row>
    <row r="6400" spans="7:12" x14ac:dyDescent="0.2">
      <c r="G6400" s="45"/>
      <c r="L6400" s="8"/>
    </row>
    <row r="6401" spans="7:12" x14ac:dyDescent="0.2">
      <c r="G6401" s="45"/>
      <c r="L6401" s="8"/>
    </row>
    <row r="6402" spans="7:12" x14ac:dyDescent="0.2">
      <c r="G6402" s="45"/>
      <c r="L6402" s="8"/>
    </row>
    <row r="6403" spans="7:12" x14ac:dyDescent="0.2">
      <c r="G6403" s="45"/>
      <c r="L6403" s="8"/>
    </row>
    <row r="6404" spans="7:12" x14ac:dyDescent="0.2">
      <c r="G6404" s="45"/>
      <c r="L6404" s="8"/>
    </row>
    <row r="6405" spans="7:12" x14ac:dyDescent="0.2">
      <c r="G6405" s="45"/>
      <c r="L6405" s="8"/>
    </row>
    <row r="6406" spans="7:12" x14ac:dyDescent="0.2">
      <c r="G6406" s="45"/>
      <c r="L6406" s="8"/>
    </row>
    <row r="6407" spans="7:12" x14ac:dyDescent="0.2">
      <c r="G6407" s="45"/>
      <c r="L6407" s="8"/>
    </row>
    <row r="6408" spans="7:12" x14ac:dyDescent="0.2">
      <c r="G6408" s="45"/>
      <c r="L6408" s="8"/>
    </row>
    <row r="6409" spans="7:12" x14ac:dyDescent="0.2">
      <c r="G6409" s="45"/>
      <c r="L6409" s="8"/>
    </row>
    <row r="6410" spans="7:12" x14ac:dyDescent="0.2">
      <c r="G6410" s="45"/>
      <c r="L6410" s="8"/>
    </row>
    <row r="6411" spans="7:12" x14ac:dyDescent="0.2">
      <c r="G6411" s="45"/>
      <c r="L6411" s="8"/>
    </row>
    <row r="6412" spans="7:12" x14ac:dyDescent="0.2">
      <c r="G6412" s="45"/>
      <c r="L6412" s="8"/>
    </row>
    <row r="6413" spans="7:12" x14ac:dyDescent="0.2">
      <c r="G6413" s="45"/>
      <c r="L6413" s="8"/>
    </row>
    <row r="6414" spans="7:12" x14ac:dyDescent="0.2">
      <c r="G6414" s="45"/>
      <c r="L6414" s="8"/>
    </row>
    <row r="6415" spans="7:12" x14ac:dyDescent="0.2">
      <c r="G6415" s="45"/>
      <c r="L6415" s="8"/>
    </row>
    <row r="6416" spans="7:12" x14ac:dyDescent="0.2">
      <c r="G6416" s="45"/>
      <c r="L6416" s="8"/>
    </row>
    <row r="6417" spans="7:12" x14ac:dyDescent="0.2">
      <c r="G6417" s="45"/>
      <c r="L6417" s="8"/>
    </row>
    <row r="6418" spans="7:12" x14ac:dyDescent="0.2">
      <c r="G6418" s="45"/>
      <c r="L6418" s="8"/>
    </row>
    <row r="6419" spans="7:12" x14ac:dyDescent="0.2">
      <c r="G6419" s="45"/>
      <c r="L6419" s="8"/>
    </row>
    <row r="6420" spans="7:12" x14ac:dyDescent="0.2">
      <c r="G6420" s="45"/>
      <c r="L6420" s="8"/>
    </row>
    <row r="6421" spans="7:12" x14ac:dyDescent="0.2">
      <c r="G6421" s="45"/>
      <c r="L6421" s="8"/>
    </row>
    <row r="6422" spans="7:12" x14ac:dyDescent="0.2">
      <c r="G6422" s="45"/>
      <c r="L6422" s="8"/>
    </row>
    <row r="6423" spans="7:12" x14ac:dyDescent="0.2">
      <c r="G6423" s="45"/>
      <c r="L6423" s="8"/>
    </row>
    <row r="6424" spans="7:12" x14ac:dyDescent="0.2">
      <c r="G6424" s="45"/>
      <c r="L6424" s="8"/>
    </row>
    <row r="6425" spans="7:12" x14ac:dyDescent="0.2">
      <c r="G6425" s="45"/>
      <c r="L6425" s="8"/>
    </row>
    <row r="6426" spans="7:12" x14ac:dyDescent="0.2">
      <c r="G6426" s="45"/>
      <c r="L6426" s="8"/>
    </row>
    <row r="6427" spans="7:12" x14ac:dyDescent="0.2">
      <c r="G6427" s="45"/>
      <c r="L6427" s="8"/>
    </row>
    <row r="6428" spans="7:12" x14ac:dyDescent="0.2">
      <c r="G6428" s="45"/>
      <c r="L6428" s="8"/>
    </row>
    <row r="6429" spans="7:12" x14ac:dyDescent="0.2">
      <c r="G6429" s="45"/>
      <c r="L6429" s="8"/>
    </row>
    <row r="6430" spans="7:12" x14ac:dyDescent="0.2">
      <c r="G6430" s="45"/>
      <c r="L6430" s="8"/>
    </row>
    <row r="6431" spans="7:12" x14ac:dyDescent="0.2">
      <c r="G6431" s="45"/>
      <c r="L6431" s="8"/>
    </row>
    <row r="6432" spans="7:12" x14ac:dyDescent="0.2">
      <c r="G6432" s="45"/>
      <c r="L6432" s="8"/>
    </row>
    <row r="6433" spans="7:12" x14ac:dyDescent="0.2">
      <c r="G6433" s="45"/>
      <c r="L6433" s="8"/>
    </row>
    <row r="6434" spans="7:12" x14ac:dyDescent="0.2">
      <c r="G6434" s="45"/>
      <c r="L6434" s="8"/>
    </row>
    <row r="6435" spans="7:12" x14ac:dyDescent="0.2">
      <c r="G6435" s="45"/>
      <c r="L6435" s="8"/>
    </row>
    <row r="6436" spans="7:12" x14ac:dyDescent="0.2">
      <c r="G6436" s="45"/>
      <c r="L6436" s="8"/>
    </row>
    <row r="6437" spans="7:12" x14ac:dyDescent="0.2">
      <c r="G6437" s="45"/>
      <c r="L6437" s="8"/>
    </row>
    <row r="6438" spans="7:12" x14ac:dyDescent="0.2">
      <c r="G6438" s="45"/>
      <c r="L6438" s="8"/>
    </row>
    <row r="6439" spans="7:12" x14ac:dyDescent="0.2">
      <c r="G6439" s="45"/>
      <c r="L6439" s="8"/>
    </row>
    <row r="6440" spans="7:12" x14ac:dyDescent="0.2">
      <c r="G6440" s="45"/>
      <c r="L6440" s="8"/>
    </row>
    <row r="6441" spans="7:12" x14ac:dyDescent="0.2">
      <c r="G6441" s="45"/>
      <c r="L6441" s="8"/>
    </row>
    <row r="6442" spans="7:12" x14ac:dyDescent="0.2">
      <c r="G6442" s="45"/>
      <c r="L6442" s="8"/>
    </row>
    <row r="6443" spans="7:12" x14ac:dyDescent="0.2">
      <c r="G6443" s="45"/>
      <c r="L6443" s="8"/>
    </row>
    <row r="6444" spans="7:12" x14ac:dyDescent="0.2">
      <c r="G6444" s="45"/>
      <c r="L6444" s="8"/>
    </row>
    <row r="6445" spans="7:12" x14ac:dyDescent="0.2">
      <c r="G6445" s="45"/>
      <c r="L6445" s="8"/>
    </row>
    <row r="6446" spans="7:12" x14ac:dyDescent="0.2">
      <c r="G6446" s="45"/>
      <c r="L6446" s="8"/>
    </row>
    <row r="6447" spans="7:12" x14ac:dyDescent="0.2">
      <c r="G6447" s="45"/>
      <c r="L6447" s="8"/>
    </row>
    <row r="6448" spans="7:12" x14ac:dyDescent="0.2">
      <c r="G6448" s="45"/>
      <c r="L6448" s="8"/>
    </row>
    <row r="6449" spans="7:12" x14ac:dyDescent="0.2">
      <c r="G6449" s="45"/>
      <c r="L6449" s="8"/>
    </row>
    <row r="6450" spans="7:12" x14ac:dyDescent="0.2">
      <c r="G6450" s="45"/>
      <c r="L6450" s="8"/>
    </row>
    <row r="6451" spans="7:12" x14ac:dyDescent="0.2">
      <c r="G6451" s="45"/>
      <c r="L6451" s="8"/>
    </row>
    <row r="6452" spans="7:12" x14ac:dyDescent="0.2">
      <c r="G6452" s="45"/>
      <c r="L6452" s="8"/>
    </row>
    <row r="6453" spans="7:12" x14ac:dyDescent="0.2">
      <c r="G6453" s="45"/>
      <c r="L6453" s="8"/>
    </row>
    <row r="6454" spans="7:12" x14ac:dyDescent="0.2">
      <c r="G6454" s="45"/>
      <c r="L6454" s="8"/>
    </row>
    <row r="6455" spans="7:12" x14ac:dyDescent="0.2">
      <c r="G6455" s="45"/>
      <c r="L6455" s="8"/>
    </row>
    <row r="6456" spans="7:12" x14ac:dyDescent="0.2">
      <c r="G6456" s="45"/>
      <c r="L6456" s="8"/>
    </row>
    <row r="6457" spans="7:12" x14ac:dyDescent="0.2">
      <c r="G6457" s="45"/>
      <c r="L6457" s="8"/>
    </row>
    <row r="6458" spans="7:12" x14ac:dyDescent="0.2">
      <c r="G6458" s="45"/>
      <c r="L6458" s="8"/>
    </row>
    <row r="6459" spans="7:12" x14ac:dyDescent="0.2">
      <c r="G6459" s="45"/>
      <c r="L6459" s="8"/>
    </row>
    <row r="6460" spans="7:12" x14ac:dyDescent="0.2">
      <c r="G6460" s="45"/>
      <c r="L6460" s="8"/>
    </row>
    <row r="6461" spans="7:12" x14ac:dyDescent="0.2">
      <c r="G6461" s="45"/>
      <c r="L6461" s="8"/>
    </row>
    <row r="6462" spans="7:12" x14ac:dyDescent="0.2">
      <c r="G6462" s="45"/>
      <c r="L6462" s="8"/>
    </row>
    <row r="6463" spans="7:12" x14ac:dyDescent="0.2">
      <c r="G6463" s="45"/>
      <c r="L6463" s="8"/>
    </row>
    <row r="6464" spans="7:12" x14ac:dyDescent="0.2">
      <c r="G6464" s="45"/>
      <c r="L6464" s="8"/>
    </row>
    <row r="6465" spans="7:12" x14ac:dyDescent="0.2">
      <c r="G6465" s="45"/>
      <c r="L6465" s="8"/>
    </row>
    <row r="6466" spans="7:12" x14ac:dyDescent="0.2">
      <c r="G6466" s="45"/>
      <c r="L6466" s="8"/>
    </row>
    <row r="6467" spans="7:12" x14ac:dyDescent="0.2">
      <c r="G6467" s="45"/>
      <c r="L6467" s="8"/>
    </row>
    <row r="6468" spans="7:12" x14ac:dyDescent="0.2">
      <c r="G6468" s="45"/>
      <c r="L6468" s="8"/>
    </row>
    <row r="6469" spans="7:12" x14ac:dyDescent="0.2">
      <c r="G6469" s="45"/>
      <c r="L6469" s="8"/>
    </row>
    <row r="6470" spans="7:12" x14ac:dyDescent="0.2">
      <c r="G6470" s="45"/>
      <c r="L6470" s="8"/>
    </row>
    <row r="6471" spans="7:12" x14ac:dyDescent="0.2">
      <c r="G6471" s="45"/>
      <c r="L6471" s="8"/>
    </row>
    <row r="6472" spans="7:12" x14ac:dyDescent="0.2">
      <c r="G6472" s="45"/>
      <c r="L6472" s="8"/>
    </row>
    <row r="6473" spans="7:12" x14ac:dyDescent="0.2">
      <c r="G6473" s="45"/>
      <c r="L6473" s="8"/>
    </row>
    <row r="6474" spans="7:12" x14ac:dyDescent="0.2">
      <c r="G6474" s="45"/>
      <c r="L6474" s="8"/>
    </row>
    <row r="6475" spans="7:12" x14ac:dyDescent="0.2">
      <c r="G6475" s="45"/>
      <c r="L6475" s="8"/>
    </row>
    <row r="6476" spans="7:12" x14ac:dyDescent="0.2">
      <c r="G6476" s="45"/>
      <c r="L6476" s="8"/>
    </row>
    <row r="6477" spans="7:12" x14ac:dyDescent="0.2">
      <c r="G6477" s="45"/>
      <c r="L6477" s="8"/>
    </row>
    <row r="6478" spans="7:12" x14ac:dyDescent="0.2">
      <c r="G6478" s="45"/>
      <c r="L6478" s="8"/>
    </row>
    <row r="6479" spans="7:12" x14ac:dyDescent="0.2">
      <c r="G6479" s="45"/>
      <c r="L6479" s="8"/>
    </row>
    <row r="6480" spans="7:12" x14ac:dyDescent="0.2">
      <c r="G6480" s="45"/>
      <c r="L6480" s="8"/>
    </row>
    <row r="6481" spans="7:12" x14ac:dyDescent="0.2">
      <c r="G6481" s="45"/>
      <c r="L6481" s="8"/>
    </row>
    <row r="6482" spans="7:12" x14ac:dyDescent="0.2">
      <c r="G6482" s="45"/>
      <c r="L6482" s="8"/>
    </row>
    <row r="6483" spans="7:12" x14ac:dyDescent="0.2">
      <c r="G6483" s="45"/>
      <c r="L6483" s="8"/>
    </row>
    <row r="6484" spans="7:12" x14ac:dyDescent="0.2">
      <c r="G6484" s="45"/>
      <c r="L6484" s="8"/>
    </row>
    <row r="6485" spans="7:12" x14ac:dyDescent="0.2">
      <c r="G6485" s="45"/>
      <c r="L6485" s="8"/>
    </row>
    <row r="6486" spans="7:12" x14ac:dyDescent="0.2">
      <c r="G6486" s="45"/>
      <c r="L6486" s="8"/>
    </row>
    <row r="6487" spans="7:12" x14ac:dyDescent="0.2">
      <c r="G6487" s="45"/>
      <c r="L6487" s="8"/>
    </row>
    <row r="6488" spans="7:12" x14ac:dyDescent="0.2">
      <c r="G6488" s="45"/>
      <c r="L6488" s="8"/>
    </row>
    <row r="6489" spans="7:12" x14ac:dyDescent="0.2">
      <c r="G6489" s="45"/>
      <c r="L6489" s="8"/>
    </row>
    <row r="6490" spans="7:12" x14ac:dyDescent="0.2">
      <c r="G6490" s="45"/>
      <c r="L6490" s="8"/>
    </row>
    <row r="6491" spans="7:12" x14ac:dyDescent="0.2">
      <c r="G6491" s="45"/>
      <c r="L6491" s="8"/>
    </row>
    <row r="6492" spans="7:12" x14ac:dyDescent="0.2">
      <c r="G6492" s="45"/>
      <c r="L6492" s="8"/>
    </row>
    <row r="6493" spans="7:12" x14ac:dyDescent="0.2">
      <c r="G6493" s="45"/>
      <c r="L6493" s="8"/>
    </row>
    <row r="6494" spans="7:12" x14ac:dyDescent="0.2">
      <c r="G6494" s="45"/>
      <c r="L6494" s="8"/>
    </row>
    <row r="6495" spans="7:12" x14ac:dyDescent="0.2">
      <c r="G6495" s="45"/>
      <c r="L6495" s="8"/>
    </row>
    <row r="6496" spans="7:12" x14ac:dyDescent="0.2">
      <c r="G6496" s="45"/>
      <c r="L6496" s="8"/>
    </row>
    <row r="6497" spans="7:12" x14ac:dyDescent="0.2">
      <c r="G6497" s="45"/>
      <c r="L6497" s="8"/>
    </row>
    <row r="6498" spans="7:12" x14ac:dyDescent="0.2">
      <c r="G6498" s="45"/>
      <c r="L6498" s="8"/>
    </row>
    <row r="6499" spans="7:12" x14ac:dyDescent="0.2">
      <c r="G6499" s="45"/>
      <c r="L6499" s="8"/>
    </row>
    <row r="6500" spans="7:12" x14ac:dyDescent="0.2">
      <c r="G6500" s="45"/>
      <c r="L6500" s="8"/>
    </row>
    <row r="6501" spans="7:12" x14ac:dyDescent="0.2">
      <c r="G6501" s="45"/>
      <c r="L6501" s="8"/>
    </row>
    <row r="6502" spans="7:12" x14ac:dyDescent="0.2">
      <c r="G6502" s="45"/>
      <c r="L6502" s="8"/>
    </row>
    <row r="6503" spans="7:12" x14ac:dyDescent="0.2">
      <c r="G6503" s="45"/>
      <c r="L6503" s="8"/>
    </row>
    <row r="6504" spans="7:12" x14ac:dyDescent="0.2">
      <c r="G6504" s="45"/>
      <c r="L6504" s="8"/>
    </row>
    <row r="6505" spans="7:12" x14ac:dyDescent="0.2">
      <c r="G6505" s="45"/>
      <c r="L6505" s="8"/>
    </row>
    <row r="6506" spans="7:12" x14ac:dyDescent="0.2">
      <c r="G6506" s="45"/>
      <c r="L6506" s="8"/>
    </row>
    <row r="6507" spans="7:12" x14ac:dyDescent="0.2">
      <c r="G6507" s="45"/>
      <c r="L6507" s="8"/>
    </row>
    <row r="6508" spans="7:12" x14ac:dyDescent="0.2">
      <c r="G6508" s="45"/>
      <c r="L6508" s="8"/>
    </row>
    <row r="6509" spans="7:12" x14ac:dyDescent="0.2">
      <c r="G6509" s="45"/>
      <c r="L6509" s="8"/>
    </row>
    <row r="6510" spans="7:12" x14ac:dyDescent="0.2">
      <c r="G6510" s="45"/>
      <c r="L6510" s="8"/>
    </row>
    <row r="6511" spans="7:12" x14ac:dyDescent="0.2">
      <c r="G6511" s="45"/>
      <c r="L6511" s="8"/>
    </row>
    <row r="6512" spans="7:12" x14ac:dyDescent="0.2">
      <c r="G6512" s="45"/>
      <c r="L6512" s="8"/>
    </row>
    <row r="6513" spans="7:12" x14ac:dyDescent="0.2">
      <c r="G6513" s="45"/>
      <c r="L6513" s="8"/>
    </row>
    <row r="6514" spans="7:12" x14ac:dyDescent="0.2">
      <c r="G6514" s="45"/>
      <c r="L6514" s="8"/>
    </row>
    <row r="6515" spans="7:12" x14ac:dyDescent="0.2">
      <c r="G6515" s="45"/>
      <c r="L6515" s="8"/>
    </row>
    <row r="6516" spans="7:12" x14ac:dyDescent="0.2">
      <c r="G6516" s="45"/>
      <c r="L6516" s="8"/>
    </row>
    <row r="6517" spans="7:12" x14ac:dyDescent="0.2">
      <c r="G6517" s="45"/>
      <c r="L6517" s="8"/>
    </row>
    <row r="6518" spans="7:12" x14ac:dyDescent="0.2">
      <c r="G6518" s="45"/>
      <c r="L6518" s="8"/>
    </row>
    <row r="6519" spans="7:12" x14ac:dyDescent="0.2">
      <c r="G6519" s="45"/>
      <c r="L6519" s="8"/>
    </row>
    <row r="6520" spans="7:12" x14ac:dyDescent="0.2">
      <c r="G6520" s="45"/>
      <c r="L6520" s="8"/>
    </row>
    <row r="6521" spans="7:12" x14ac:dyDescent="0.2">
      <c r="G6521" s="45"/>
      <c r="L6521" s="8"/>
    </row>
    <row r="6522" spans="7:12" x14ac:dyDescent="0.2">
      <c r="G6522" s="45"/>
      <c r="L6522" s="8"/>
    </row>
    <row r="6523" spans="7:12" x14ac:dyDescent="0.2">
      <c r="G6523" s="45"/>
      <c r="L6523" s="8"/>
    </row>
    <row r="6524" spans="7:12" x14ac:dyDescent="0.2">
      <c r="G6524" s="45"/>
      <c r="L6524" s="8"/>
    </row>
    <row r="6525" spans="7:12" x14ac:dyDescent="0.2">
      <c r="G6525" s="45"/>
      <c r="L6525" s="8"/>
    </row>
    <row r="6526" spans="7:12" x14ac:dyDescent="0.2">
      <c r="G6526" s="45"/>
      <c r="L6526" s="8"/>
    </row>
    <row r="6527" spans="7:12" x14ac:dyDescent="0.2">
      <c r="G6527" s="45"/>
      <c r="L6527" s="8"/>
    </row>
    <row r="6528" spans="7:12" x14ac:dyDescent="0.2">
      <c r="G6528" s="45"/>
      <c r="L6528" s="8"/>
    </row>
    <row r="6529" spans="7:12" x14ac:dyDescent="0.2">
      <c r="G6529" s="45"/>
      <c r="L6529" s="8"/>
    </row>
    <row r="6530" spans="7:12" x14ac:dyDescent="0.2">
      <c r="G6530" s="45"/>
      <c r="L6530" s="8"/>
    </row>
    <row r="6531" spans="7:12" x14ac:dyDescent="0.2">
      <c r="G6531" s="45"/>
      <c r="L6531" s="8"/>
    </row>
    <row r="6532" spans="7:12" x14ac:dyDescent="0.2">
      <c r="G6532" s="45"/>
      <c r="L6532" s="8"/>
    </row>
    <row r="6533" spans="7:12" x14ac:dyDescent="0.2">
      <c r="G6533" s="45"/>
      <c r="L6533" s="8"/>
    </row>
    <row r="6534" spans="7:12" x14ac:dyDescent="0.2">
      <c r="G6534" s="45"/>
      <c r="L6534" s="8"/>
    </row>
    <row r="6535" spans="7:12" x14ac:dyDescent="0.2">
      <c r="G6535" s="45"/>
      <c r="L6535" s="8"/>
    </row>
    <row r="6536" spans="7:12" x14ac:dyDescent="0.2">
      <c r="G6536" s="45"/>
      <c r="L6536" s="8"/>
    </row>
    <row r="6537" spans="7:12" x14ac:dyDescent="0.2">
      <c r="G6537" s="45"/>
      <c r="L6537" s="8"/>
    </row>
    <row r="6538" spans="7:12" x14ac:dyDescent="0.2">
      <c r="G6538" s="45"/>
      <c r="L6538" s="8"/>
    </row>
    <row r="6539" spans="7:12" x14ac:dyDescent="0.2">
      <c r="G6539" s="45"/>
      <c r="L6539" s="8"/>
    </row>
    <row r="6540" spans="7:12" x14ac:dyDescent="0.2">
      <c r="G6540" s="45"/>
      <c r="L6540" s="8"/>
    </row>
    <row r="6541" spans="7:12" x14ac:dyDescent="0.2">
      <c r="G6541" s="45"/>
      <c r="L6541" s="8"/>
    </row>
    <row r="6542" spans="7:12" x14ac:dyDescent="0.2">
      <c r="G6542" s="45"/>
      <c r="L6542" s="8"/>
    </row>
    <row r="6543" spans="7:12" x14ac:dyDescent="0.2">
      <c r="G6543" s="45"/>
      <c r="L6543" s="8"/>
    </row>
    <row r="6544" spans="7:12" x14ac:dyDescent="0.2">
      <c r="G6544" s="45"/>
      <c r="L6544" s="8"/>
    </row>
    <row r="6545" spans="7:12" x14ac:dyDescent="0.2">
      <c r="G6545" s="45"/>
      <c r="L6545" s="8"/>
    </row>
    <row r="6546" spans="7:12" x14ac:dyDescent="0.2">
      <c r="G6546" s="45"/>
      <c r="L6546" s="8"/>
    </row>
    <row r="6547" spans="7:12" x14ac:dyDescent="0.2">
      <c r="G6547" s="45"/>
      <c r="L6547" s="8"/>
    </row>
    <row r="6548" spans="7:12" x14ac:dyDescent="0.2">
      <c r="G6548" s="45"/>
      <c r="L6548" s="8"/>
    </row>
    <row r="6549" spans="7:12" x14ac:dyDescent="0.2">
      <c r="G6549" s="45"/>
      <c r="L6549" s="8"/>
    </row>
    <row r="6550" spans="7:12" x14ac:dyDescent="0.2">
      <c r="G6550" s="45"/>
      <c r="L6550" s="8"/>
    </row>
    <row r="6551" spans="7:12" x14ac:dyDescent="0.2">
      <c r="G6551" s="45"/>
      <c r="L6551" s="8"/>
    </row>
    <row r="6552" spans="7:12" x14ac:dyDescent="0.2">
      <c r="G6552" s="45"/>
      <c r="L6552" s="8"/>
    </row>
    <row r="6553" spans="7:12" x14ac:dyDescent="0.2">
      <c r="G6553" s="45"/>
      <c r="L6553" s="8"/>
    </row>
    <row r="6554" spans="7:12" x14ac:dyDescent="0.2">
      <c r="G6554" s="45"/>
      <c r="L6554" s="8"/>
    </row>
    <row r="6555" spans="7:12" x14ac:dyDescent="0.2">
      <c r="G6555" s="45"/>
      <c r="L6555" s="8"/>
    </row>
    <row r="6556" spans="7:12" x14ac:dyDescent="0.2">
      <c r="G6556" s="45"/>
      <c r="L6556" s="8"/>
    </row>
    <row r="6557" spans="7:12" x14ac:dyDescent="0.2">
      <c r="G6557" s="45"/>
      <c r="L6557" s="8"/>
    </row>
    <row r="6558" spans="7:12" x14ac:dyDescent="0.2">
      <c r="G6558" s="45"/>
      <c r="L6558" s="8"/>
    </row>
    <row r="6559" spans="7:12" x14ac:dyDescent="0.2">
      <c r="G6559" s="45"/>
      <c r="L6559" s="8"/>
    </row>
    <row r="6560" spans="7:12" x14ac:dyDescent="0.2">
      <c r="G6560" s="45"/>
      <c r="L6560" s="8"/>
    </row>
    <row r="6561" spans="7:12" x14ac:dyDescent="0.2">
      <c r="G6561" s="45"/>
      <c r="L6561" s="8"/>
    </row>
    <row r="6562" spans="7:12" x14ac:dyDescent="0.2">
      <c r="G6562" s="45"/>
      <c r="L6562" s="8"/>
    </row>
    <row r="6563" spans="7:12" x14ac:dyDescent="0.2">
      <c r="G6563" s="45"/>
      <c r="L6563" s="8"/>
    </row>
    <row r="6564" spans="7:12" x14ac:dyDescent="0.2">
      <c r="G6564" s="45"/>
      <c r="L6564" s="8"/>
    </row>
    <row r="6565" spans="7:12" x14ac:dyDescent="0.2">
      <c r="G6565" s="45"/>
      <c r="L6565" s="8"/>
    </row>
    <row r="6566" spans="7:12" x14ac:dyDescent="0.2">
      <c r="G6566" s="45"/>
      <c r="L6566" s="8"/>
    </row>
    <row r="6567" spans="7:12" x14ac:dyDescent="0.2">
      <c r="G6567" s="45"/>
      <c r="L6567" s="8"/>
    </row>
    <row r="6568" spans="7:12" x14ac:dyDescent="0.2">
      <c r="G6568" s="45"/>
      <c r="L6568" s="8"/>
    </row>
    <row r="6569" spans="7:12" x14ac:dyDescent="0.2">
      <c r="G6569" s="45"/>
      <c r="L6569" s="8"/>
    </row>
    <row r="6570" spans="7:12" x14ac:dyDescent="0.2">
      <c r="G6570" s="45"/>
      <c r="L6570" s="8"/>
    </row>
    <row r="6571" spans="7:12" x14ac:dyDescent="0.2">
      <c r="G6571" s="45"/>
      <c r="L6571" s="8"/>
    </row>
    <row r="6572" spans="7:12" x14ac:dyDescent="0.2">
      <c r="G6572" s="45"/>
      <c r="L6572" s="8"/>
    </row>
    <row r="6573" spans="7:12" x14ac:dyDescent="0.2">
      <c r="G6573" s="45"/>
      <c r="L6573" s="8"/>
    </row>
    <row r="6574" spans="7:12" x14ac:dyDescent="0.2">
      <c r="G6574" s="45"/>
      <c r="L6574" s="8"/>
    </row>
    <row r="6575" spans="7:12" x14ac:dyDescent="0.2">
      <c r="G6575" s="45"/>
      <c r="L6575" s="8"/>
    </row>
    <row r="6576" spans="7:12" x14ac:dyDescent="0.2">
      <c r="G6576" s="45"/>
      <c r="L6576" s="8"/>
    </row>
    <row r="6577" spans="7:12" x14ac:dyDescent="0.2">
      <c r="G6577" s="45"/>
      <c r="L6577" s="8"/>
    </row>
    <row r="6578" spans="7:12" x14ac:dyDescent="0.2">
      <c r="G6578" s="45"/>
      <c r="L6578" s="8"/>
    </row>
    <row r="6579" spans="7:12" x14ac:dyDescent="0.2">
      <c r="G6579" s="45"/>
      <c r="L6579" s="8"/>
    </row>
    <row r="6580" spans="7:12" x14ac:dyDescent="0.2">
      <c r="G6580" s="45"/>
      <c r="L6580" s="8"/>
    </row>
    <row r="6581" spans="7:12" x14ac:dyDescent="0.2">
      <c r="G6581" s="45"/>
      <c r="L6581" s="8"/>
    </row>
    <row r="6582" spans="7:12" x14ac:dyDescent="0.2">
      <c r="G6582" s="45"/>
      <c r="L6582" s="8"/>
    </row>
    <row r="6583" spans="7:12" x14ac:dyDescent="0.2">
      <c r="G6583" s="45"/>
      <c r="L6583" s="8"/>
    </row>
    <row r="6584" spans="7:12" x14ac:dyDescent="0.2">
      <c r="G6584" s="45"/>
      <c r="L6584" s="8"/>
    </row>
    <row r="6585" spans="7:12" x14ac:dyDescent="0.2">
      <c r="G6585" s="45"/>
      <c r="L6585" s="8"/>
    </row>
    <row r="6586" spans="7:12" x14ac:dyDescent="0.2">
      <c r="G6586" s="45"/>
      <c r="L6586" s="8"/>
    </row>
    <row r="6587" spans="7:12" x14ac:dyDescent="0.2">
      <c r="G6587" s="45"/>
      <c r="L6587" s="8"/>
    </row>
    <row r="6588" spans="7:12" x14ac:dyDescent="0.2">
      <c r="G6588" s="45"/>
      <c r="L6588" s="8"/>
    </row>
    <row r="6589" spans="7:12" x14ac:dyDescent="0.2">
      <c r="G6589" s="45"/>
      <c r="L6589" s="8"/>
    </row>
    <row r="6590" spans="7:12" x14ac:dyDescent="0.2">
      <c r="G6590" s="45"/>
      <c r="L6590" s="8"/>
    </row>
    <row r="6591" spans="7:12" x14ac:dyDescent="0.2">
      <c r="G6591" s="45"/>
      <c r="L6591" s="8"/>
    </row>
    <row r="6592" spans="7:12" x14ac:dyDescent="0.2">
      <c r="G6592" s="45"/>
      <c r="L6592" s="8"/>
    </row>
    <row r="6593" spans="7:12" x14ac:dyDescent="0.2">
      <c r="G6593" s="45"/>
      <c r="L6593" s="8"/>
    </row>
    <row r="6594" spans="7:12" x14ac:dyDescent="0.2">
      <c r="G6594" s="45"/>
      <c r="L6594" s="8"/>
    </row>
    <row r="6595" spans="7:12" x14ac:dyDescent="0.2">
      <c r="G6595" s="45"/>
      <c r="L6595" s="8"/>
    </row>
    <row r="6596" spans="7:12" x14ac:dyDescent="0.2">
      <c r="G6596" s="45"/>
      <c r="L6596" s="8"/>
    </row>
    <row r="6597" spans="7:12" x14ac:dyDescent="0.2">
      <c r="G6597" s="45"/>
      <c r="L6597" s="8"/>
    </row>
    <row r="6598" spans="7:12" x14ac:dyDescent="0.2">
      <c r="G6598" s="45"/>
      <c r="L6598" s="8"/>
    </row>
    <row r="6599" spans="7:12" x14ac:dyDescent="0.2">
      <c r="G6599" s="45"/>
      <c r="L6599" s="8"/>
    </row>
    <row r="6600" spans="7:12" x14ac:dyDescent="0.2">
      <c r="G6600" s="45"/>
      <c r="L6600" s="8"/>
    </row>
    <row r="6601" spans="7:12" x14ac:dyDescent="0.2">
      <c r="G6601" s="45"/>
      <c r="L6601" s="8"/>
    </row>
    <row r="6602" spans="7:12" x14ac:dyDescent="0.2">
      <c r="G6602" s="45"/>
      <c r="L6602" s="8"/>
    </row>
    <row r="6603" spans="7:12" x14ac:dyDescent="0.2">
      <c r="G6603" s="45"/>
      <c r="L6603" s="8"/>
    </row>
    <row r="6604" spans="7:12" x14ac:dyDescent="0.2">
      <c r="G6604" s="45"/>
      <c r="L6604" s="8"/>
    </row>
    <row r="6605" spans="7:12" x14ac:dyDescent="0.2">
      <c r="G6605" s="45"/>
      <c r="L6605" s="8"/>
    </row>
    <row r="6606" spans="7:12" x14ac:dyDescent="0.2">
      <c r="G6606" s="45"/>
      <c r="L6606" s="8"/>
    </row>
    <row r="6607" spans="7:12" x14ac:dyDescent="0.2">
      <c r="G6607" s="45"/>
      <c r="L6607" s="8"/>
    </row>
    <row r="6608" spans="7:12" x14ac:dyDescent="0.2">
      <c r="G6608" s="45"/>
      <c r="L6608" s="8"/>
    </row>
    <row r="6609" spans="7:12" x14ac:dyDescent="0.2">
      <c r="G6609" s="45"/>
      <c r="L6609" s="8"/>
    </row>
    <row r="6610" spans="7:12" x14ac:dyDescent="0.2">
      <c r="G6610" s="45"/>
      <c r="L6610" s="8"/>
    </row>
    <row r="6611" spans="7:12" x14ac:dyDescent="0.2">
      <c r="G6611" s="45"/>
      <c r="L6611" s="8"/>
    </row>
    <row r="6612" spans="7:12" x14ac:dyDescent="0.2">
      <c r="G6612" s="45"/>
      <c r="L6612" s="8"/>
    </row>
    <row r="6613" spans="7:12" x14ac:dyDescent="0.2">
      <c r="G6613" s="45"/>
      <c r="L6613" s="8"/>
    </row>
    <row r="6614" spans="7:12" x14ac:dyDescent="0.2">
      <c r="G6614" s="45"/>
      <c r="L6614" s="8"/>
    </row>
    <row r="6615" spans="7:12" x14ac:dyDescent="0.2">
      <c r="G6615" s="45"/>
      <c r="L6615" s="8"/>
    </row>
    <row r="6616" spans="7:12" x14ac:dyDescent="0.2">
      <c r="G6616" s="45"/>
      <c r="L6616" s="8"/>
    </row>
    <row r="6617" spans="7:12" x14ac:dyDescent="0.2">
      <c r="G6617" s="45"/>
      <c r="L6617" s="8"/>
    </row>
    <row r="6618" spans="7:12" x14ac:dyDescent="0.2">
      <c r="G6618" s="45"/>
      <c r="L6618" s="8"/>
    </row>
    <row r="6619" spans="7:12" x14ac:dyDescent="0.2">
      <c r="G6619" s="45"/>
      <c r="L6619" s="8"/>
    </row>
    <row r="6620" spans="7:12" x14ac:dyDescent="0.2">
      <c r="G6620" s="45"/>
      <c r="L6620" s="8"/>
    </row>
    <row r="6621" spans="7:12" x14ac:dyDescent="0.2">
      <c r="G6621" s="45"/>
      <c r="L6621" s="8"/>
    </row>
    <row r="6622" spans="7:12" x14ac:dyDescent="0.2">
      <c r="G6622" s="45"/>
      <c r="L6622" s="8"/>
    </row>
    <row r="6623" spans="7:12" x14ac:dyDescent="0.2">
      <c r="G6623" s="45"/>
      <c r="L6623" s="8"/>
    </row>
    <row r="6624" spans="7:12" x14ac:dyDescent="0.2">
      <c r="G6624" s="45"/>
      <c r="L6624" s="8"/>
    </row>
    <row r="6625" spans="7:12" x14ac:dyDescent="0.2">
      <c r="G6625" s="45"/>
      <c r="L6625" s="8"/>
    </row>
    <row r="6626" spans="7:12" x14ac:dyDescent="0.2">
      <c r="G6626" s="45"/>
      <c r="L6626" s="8"/>
    </row>
    <row r="6627" spans="7:12" x14ac:dyDescent="0.2">
      <c r="G6627" s="45"/>
      <c r="L6627" s="8"/>
    </row>
    <row r="6628" spans="7:12" x14ac:dyDescent="0.2">
      <c r="G6628" s="45"/>
      <c r="L6628" s="8"/>
    </row>
    <row r="6629" spans="7:12" x14ac:dyDescent="0.2">
      <c r="G6629" s="45"/>
      <c r="L6629" s="8"/>
    </row>
    <row r="6630" spans="7:12" x14ac:dyDescent="0.2">
      <c r="G6630" s="45"/>
      <c r="L6630" s="8"/>
    </row>
    <row r="6631" spans="7:12" x14ac:dyDescent="0.2">
      <c r="G6631" s="45"/>
      <c r="L6631" s="8"/>
    </row>
    <row r="6632" spans="7:12" x14ac:dyDescent="0.2">
      <c r="G6632" s="45"/>
      <c r="L6632" s="8"/>
    </row>
    <row r="6633" spans="7:12" x14ac:dyDescent="0.2">
      <c r="G6633" s="45"/>
      <c r="L6633" s="8"/>
    </row>
    <row r="6634" spans="7:12" x14ac:dyDescent="0.2">
      <c r="G6634" s="45"/>
      <c r="L6634" s="8"/>
    </row>
    <row r="6635" spans="7:12" x14ac:dyDescent="0.2">
      <c r="G6635" s="45"/>
      <c r="L6635" s="8"/>
    </row>
    <row r="6636" spans="7:12" x14ac:dyDescent="0.2">
      <c r="G6636" s="45"/>
      <c r="L6636" s="8"/>
    </row>
    <row r="6637" spans="7:12" x14ac:dyDescent="0.2">
      <c r="G6637" s="45"/>
      <c r="L6637" s="8"/>
    </row>
    <row r="6638" spans="7:12" x14ac:dyDescent="0.2">
      <c r="G6638" s="45"/>
      <c r="L6638" s="8"/>
    </row>
    <row r="6639" spans="7:12" x14ac:dyDescent="0.2">
      <c r="G6639" s="45"/>
      <c r="L6639" s="8"/>
    </row>
    <row r="6640" spans="7:12" x14ac:dyDescent="0.2">
      <c r="G6640" s="45"/>
      <c r="L6640" s="8"/>
    </row>
    <row r="6641" spans="7:12" x14ac:dyDescent="0.2">
      <c r="G6641" s="45"/>
      <c r="L6641" s="8"/>
    </row>
    <row r="6642" spans="7:12" x14ac:dyDescent="0.2">
      <c r="G6642" s="45"/>
      <c r="L6642" s="8"/>
    </row>
    <row r="6643" spans="7:12" x14ac:dyDescent="0.2">
      <c r="G6643" s="45"/>
      <c r="L6643" s="8"/>
    </row>
    <row r="6644" spans="7:12" x14ac:dyDescent="0.2">
      <c r="G6644" s="45"/>
      <c r="L6644" s="8"/>
    </row>
    <row r="6645" spans="7:12" x14ac:dyDescent="0.2">
      <c r="G6645" s="45"/>
      <c r="L6645" s="8"/>
    </row>
    <row r="6646" spans="7:12" x14ac:dyDescent="0.2">
      <c r="G6646" s="45"/>
      <c r="L6646" s="8"/>
    </row>
    <row r="6647" spans="7:12" x14ac:dyDescent="0.2">
      <c r="G6647" s="45"/>
      <c r="L6647" s="8"/>
    </row>
    <row r="6648" spans="7:12" x14ac:dyDescent="0.2">
      <c r="G6648" s="45"/>
      <c r="L6648" s="8"/>
    </row>
    <row r="6649" spans="7:12" x14ac:dyDescent="0.2">
      <c r="G6649" s="45"/>
      <c r="L6649" s="8"/>
    </row>
    <row r="6650" spans="7:12" x14ac:dyDescent="0.2">
      <c r="G6650" s="45"/>
      <c r="L6650" s="8"/>
    </row>
    <row r="6651" spans="7:12" x14ac:dyDescent="0.2">
      <c r="G6651" s="45"/>
      <c r="L6651" s="8"/>
    </row>
    <row r="6652" spans="7:12" x14ac:dyDescent="0.2">
      <c r="G6652" s="45"/>
      <c r="L6652" s="8"/>
    </row>
    <row r="6653" spans="7:12" x14ac:dyDescent="0.2">
      <c r="G6653" s="45"/>
      <c r="L6653" s="8"/>
    </row>
    <row r="6654" spans="7:12" x14ac:dyDescent="0.2">
      <c r="G6654" s="45"/>
      <c r="L6654" s="8"/>
    </row>
    <row r="6655" spans="7:12" x14ac:dyDescent="0.2">
      <c r="G6655" s="45"/>
      <c r="L6655" s="8"/>
    </row>
    <row r="6656" spans="7:12" x14ac:dyDescent="0.2">
      <c r="G6656" s="45"/>
      <c r="L6656" s="8"/>
    </row>
    <row r="6657" spans="7:12" x14ac:dyDescent="0.2">
      <c r="G6657" s="45"/>
      <c r="L6657" s="8"/>
    </row>
    <row r="6658" spans="7:12" x14ac:dyDescent="0.2">
      <c r="G6658" s="45"/>
      <c r="L6658" s="8"/>
    </row>
    <row r="6659" spans="7:12" x14ac:dyDescent="0.2">
      <c r="G6659" s="45"/>
      <c r="L6659" s="8"/>
    </row>
    <row r="6660" spans="7:12" x14ac:dyDescent="0.2">
      <c r="G6660" s="45"/>
      <c r="L6660" s="8"/>
    </row>
    <row r="6661" spans="7:12" x14ac:dyDescent="0.2">
      <c r="G6661" s="45"/>
      <c r="L6661" s="8"/>
    </row>
    <row r="6662" spans="7:12" x14ac:dyDescent="0.2">
      <c r="G6662" s="45"/>
      <c r="L6662" s="8"/>
    </row>
    <row r="6663" spans="7:12" x14ac:dyDescent="0.2">
      <c r="G6663" s="45"/>
      <c r="L6663" s="8"/>
    </row>
    <row r="6664" spans="7:12" x14ac:dyDescent="0.2">
      <c r="G6664" s="45"/>
      <c r="L6664" s="8"/>
    </row>
    <row r="6665" spans="7:12" x14ac:dyDescent="0.2">
      <c r="G6665" s="45"/>
      <c r="L6665" s="8"/>
    </row>
    <row r="6666" spans="7:12" x14ac:dyDescent="0.2">
      <c r="G6666" s="45"/>
      <c r="L6666" s="8"/>
    </row>
    <row r="6667" spans="7:12" x14ac:dyDescent="0.2">
      <c r="G6667" s="45"/>
      <c r="L6667" s="8"/>
    </row>
    <row r="6668" spans="7:12" x14ac:dyDescent="0.2">
      <c r="G6668" s="45"/>
      <c r="L6668" s="8"/>
    </row>
    <row r="6669" spans="7:12" x14ac:dyDescent="0.2">
      <c r="G6669" s="45"/>
      <c r="L6669" s="8"/>
    </row>
    <row r="6670" spans="7:12" x14ac:dyDescent="0.2">
      <c r="G6670" s="45"/>
      <c r="L6670" s="8"/>
    </row>
    <row r="6671" spans="7:12" x14ac:dyDescent="0.2">
      <c r="G6671" s="45"/>
      <c r="L6671" s="8"/>
    </row>
    <row r="6672" spans="7:12" x14ac:dyDescent="0.2">
      <c r="G6672" s="45"/>
      <c r="L6672" s="8"/>
    </row>
    <row r="6673" spans="7:12" x14ac:dyDescent="0.2">
      <c r="G6673" s="45"/>
      <c r="L6673" s="8"/>
    </row>
    <row r="6674" spans="7:12" x14ac:dyDescent="0.2">
      <c r="G6674" s="45"/>
      <c r="L6674" s="8"/>
    </row>
    <row r="6675" spans="7:12" x14ac:dyDescent="0.2">
      <c r="G6675" s="45"/>
      <c r="L6675" s="8"/>
    </row>
    <row r="6676" spans="7:12" x14ac:dyDescent="0.2">
      <c r="G6676" s="45"/>
      <c r="L6676" s="8"/>
    </row>
    <row r="6677" spans="7:12" x14ac:dyDescent="0.2">
      <c r="G6677" s="45"/>
      <c r="L6677" s="8"/>
    </row>
    <row r="6678" spans="7:12" x14ac:dyDescent="0.2">
      <c r="G6678" s="45"/>
      <c r="L6678" s="8"/>
    </row>
    <row r="6679" spans="7:12" x14ac:dyDescent="0.2">
      <c r="G6679" s="45"/>
      <c r="L6679" s="8"/>
    </row>
    <row r="6680" spans="7:12" x14ac:dyDescent="0.2">
      <c r="G6680" s="45"/>
      <c r="L6680" s="8"/>
    </row>
    <row r="6681" spans="7:12" x14ac:dyDescent="0.2">
      <c r="G6681" s="45"/>
      <c r="L6681" s="8"/>
    </row>
    <row r="6682" spans="7:12" x14ac:dyDescent="0.2">
      <c r="G6682" s="45"/>
      <c r="L6682" s="8"/>
    </row>
    <row r="6683" spans="7:12" x14ac:dyDescent="0.2">
      <c r="G6683" s="45"/>
      <c r="L6683" s="8"/>
    </row>
    <row r="6684" spans="7:12" x14ac:dyDescent="0.2">
      <c r="G6684" s="45"/>
      <c r="L6684" s="8"/>
    </row>
    <row r="6685" spans="7:12" x14ac:dyDescent="0.2">
      <c r="G6685" s="45"/>
      <c r="L6685" s="8"/>
    </row>
    <row r="6686" spans="7:12" x14ac:dyDescent="0.2">
      <c r="G6686" s="45"/>
      <c r="L6686" s="8"/>
    </row>
    <row r="6687" spans="7:12" x14ac:dyDescent="0.2">
      <c r="G6687" s="45"/>
      <c r="L6687" s="8"/>
    </row>
    <row r="6688" spans="7:12" x14ac:dyDescent="0.2">
      <c r="G6688" s="45"/>
      <c r="L6688" s="8"/>
    </row>
    <row r="6689" spans="7:12" x14ac:dyDescent="0.2">
      <c r="G6689" s="45"/>
      <c r="L6689" s="8"/>
    </row>
    <row r="6690" spans="7:12" x14ac:dyDescent="0.2">
      <c r="G6690" s="45"/>
      <c r="L6690" s="8"/>
    </row>
    <row r="6691" spans="7:12" x14ac:dyDescent="0.2">
      <c r="G6691" s="45"/>
      <c r="L6691" s="8"/>
    </row>
    <row r="6692" spans="7:12" x14ac:dyDescent="0.2">
      <c r="G6692" s="45"/>
      <c r="L6692" s="8"/>
    </row>
    <row r="6693" spans="7:12" x14ac:dyDescent="0.2">
      <c r="G6693" s="45"/>
      <c r="L6693" s="8"/>
    </row>
    <row r="6694" spans="7:12" x14ac:dyDescent="0.2">
      <c r="G6694" s="45"/>
      <c r="L6694" s="8"/>
    </row>
    <row r="6695" spans="7:12" x14ac:dyDescent="0.2">
      <c r="G6695" s="45"/>
      <c r="L6695" s="8"/>
    </row>
    <row r="6696" spans="7:12" x14ac:dyDescent="0.2">
      <c r="G6696" s="45"/>
      <c r="L6696" s="8"/>
    </row>
    <row r="6697" spans="7:12" x14ac:dyDescent="0.2">
      <c r="G6697" s="45"/>
      <c r="L6697" s="8"/>
    </row>
    <row r="6698" spans="7:12" x14ac:dyDescent="0.2">
      <c r="G6698" s="45"/>
      <c r="L6698" s="8"/>
    </row>
    <row r="6699" spans="7:12" x14ac:dyDescent="0.2">
      <c r="G6699" s="45"/>
      <c r="L6699" s="8"/>
    </row>
    <row r="6700" spans="7:12" x14ac:dyDescent="0.2">
      <c r="G6700" s="45"/>
      <c r="L6700" s="8"/>
    </row>
    <row r="6701" spans="7:12" x14ac:dyDescent="0.2">
      <c r="G6701" s="45"/>
      <c r="L6701" s="8"/>
    </row>
    <row r="6702" spans="7:12" x14ac:dyDescent="0.2">
      <c r="G6702" s="45"/>
      <c r="L6702" s="8"/>
    </row>
    <row r="6703" spans="7:12" x14ac:dyDescent="0.2">
      <c r="G6703" s="45"/>
      <c r="L6703" s="8"/>
    </row>
    <row r="6704" spans="7:12" x14ac:dyDescent="0.2">
      <c r="G6704" s="45"/>
      <c r="L6704" s="8"/>
    </row>
    <row r="6705" spans="7:12" x14ac:dyDescent="0.2">
      <c r="G6705" s="45"/>
      <c r="L6705" s="8"/>
    </row>
    <row r="6706" spans="7:12" x14ac:dyDescent="0.2">
      <c r="G6706" s="45"/>
      <c r="L6706" s="8"/>
    </row>
    <row r="6707" spans="7:12" x14ac:dyDescent="0.2">
      <c r="G6707" s="45"/>
      <c r="L6707" s="8"/>
    </row>
    <row r="6708" spans="7:12" x14ac:dyDescent="0.2">
      <c r="G6708" s="45"/>
      <c r="L6708" s="8"/>
    </row>
    <row r="6709" spans="7:12" x14ac:dyDescent="0.2">
      <c r="G6709" s="45"/>
      <c r="L6709" s="8"/>
    </row>
    <row r="6710" spans="7:12" x14ac:dyDescent="0.2">
      <c r="G6710" s="45"/>
      <c r="L6710" s="8"/>
    </row>
    <row r="6711" spans="7:12" x14ac:dyDescent="0.2">
      <c r="G6711" s="45"/>
      <c r="L6711" s="8"/>
    </row>
    <row r="6712" spans="7:12" x14ac:dyDescent="0.2">
      <c r="G6712" s="45"/>
      <c r="L6712" s="8"/>
    </row>
    <row r="6713" spans="7:12" x14ac:dyDescent="0.2">
      <c r="G6713" s="45"/>
      <c r="L6713" s="8"/>
    </row>
    <row r="6714" spans="7:12" x14ac:dyDescent="0.2">
      <c r="G6714" s="45"/>
      <c r="L6714" s="8"/>
    </row>
    <row r="6715" spans="7:12" x14ac:dyDescent="0.2">
      <c r="G6715" s="45"/>
      <c r="L6715" s="8"/>
    </row>
    <row r="6716" spans="7:12" x14ac:dyDescent="0.2">
      <c r="G6716" s="45"/>
      <c r="L6716" s="8"/>
    </row>
    <row r="6717" spans="7:12" x14ac:dyDescent="0.2">
      <c r="G6717" s="45"/>
      <c r="L6717" s="8"/>
    </row>
    <row r="6718" spans="7:12" x14ac:dyDescent="0.2">
      <c r="G6718" s="45"/>
      <c r="L6718" s="8"/>
    </row>
    <row r="6719" spans="7:12" x14ac:dyDescent="0.2">
      <c r="G6719" s="45"/>
      <c r="L6719" s="8"/>
    </row>
    <row r="6720" spans="7:12" x14ac:dyDescent="0.2">
      <c r="G6720" s="45"/>
      <c r="L6720" s="8"/>
    </row>
    <row r="6721" spans="7:12" x14ac:dyDescent="0.2">
      <c r="G6721" s="45"/>
      <c r="L6721" s="8"/>
    </row>
    <row r="6722" spans="7:12" x14ac:dyDescent="0.2">
      <c r="G6722" s="45"/>
      <c r="L6722" s="8"/>
    </row>
    <row r="6723" spans="7:12" x14ac:dyDescent="0.2">
      <c r="G6723" s="45"/>
      <c r="L6723" s="8"/>
    </row>
    <row r="6724" spans="7:12" x14ac:dyDescent="0.2">
      <c r="G6724" s="45"/>
      <c r="L6724" s="8"/>
    </row>
    <row r="6725" spans="7:12" x14ac:dyDescent="0.2">
      <c r="G6725" s="45"/>
      <c r="L6725" s="8"/>
    </row>
    <row r="6726" spans="7:12" x14ac:dyDescent="0.2">
      <c r="G6726" s="45"/>
      <c r="L6726" s="8"/>
    </row>
    <row r="6727" spans="7:12" x14ac:dyDescent="0.2">
      <c r="G6727" s="45"/>
      <c r="L6727" s="8"/>
    </row>
    <row r="6728" spans="7:12" x14ac:dyDescent="0.2">
      <c r="G6728" s="45"/>
      <c r="L6728" s="8"/>
    </row>
    <row r="6729" spans="7:12" x14ac:dyDescent="0.2">
      <c r="G6729" s="45"/>
      <c r="L6729" s="8"/>
    </row>
    <row r="6730" spans="7:12" x14ac:dyDescent="0.2">
      <c r="G6730" s="45"/>
      <c r="L6730" s="8"/>
    </row>
    <row r="6731" spans="7:12" x14ac:dyDescent="0.2">
      <c r="G6731" s="45"/>
      <c r="L6731" s="8"/>
    </row>
    <row r="6732" spans="7:12" x14ac:dyDescent="0.2">
      <c r="G6732" s="45"/>
      <c r="L6732" s="8"/>
    </row>
    <row r="6733" spans="7:12" x14ac:dyDescent="0.2">
      <c r="G6733" s="45"/>
      <c r="L6733" s="8"/>
    </row>
    <row r="6734" spans="7:12" x14ac:dyDescent="0.2">
      <c r="G6734" s="45"/>
      <c r="L6734" s="8"/>
    </row>
    <row r="6735" spans="7:12" x14ac:dyDescent="0.2">
      <c r="G6735" s="45"/>
      <c r="L6735" s="8"/>
    </row>
    <row r="6736" spans="7:12" x14ac:dyDescent="0.2">
      <c r="G6736" s="45"/>
      <c r="L6736" s="8"/>
    </row>
    <row r="6737" spans="7:12" x14ac:dyDescent="0.2">
      <c r="G6737" s="45"/>
      <c r="L6737" s="8"/>
    </row>
    <row r="6738" spans="7:12" x14ac:dyDescent="0.2">
      <c r="G6738" s="45"/>
      <c r="L6738" s="8"/>
    </row>
    <row r="6739" spans="7:12" x14ac:dyDescent="0.2">
      <c r="G6739" s="45"/>
      <c r="L6739" s="8"/>
    </row>
    <row r="6740" spans="7:12" x14ac:dyDescent="0.2">
      <c r="G6740" s="45"/>
      <c r="L6740" s="8"/>
    </row>
    <row r="6741" spans="7:12" x14ac:dyDescent="0.2">
      <c r="G6741" s="45"/>
      <c r="L6741" s="8"/>
    </row>
    <row r="6742" spans="7:12" x14ac:dyDescent="0.2">
      <c r="G6742" s="45"/>
      <c r="L6742" s="8"/>
    </row>
    <row r="6743" spans="7:12" x14ac:dyDescent="0.2">
      <c r="G6743" s="45"/>
      <c r="L6743" s="8"/>
    </row>
    <row r="6744" spans="7:12" x14ac:dyDescent="0.2">
      <c r="G6744" s="45"/>
      <c r="L6744" s="8"/>
    </row>
    <row r="6745" spans="7:12" x14ac:dyDescent="0.2">
      <c r="G6745" s="45"/>
      <c r="L6745" s="8"/>
    </row>
    <row r="6746" spans="7:12" x14ac:dyDescent="0.2">
      <c r="G6746" s="45"/>
      <c r="L6746" s="8"/>
    </row>
    <row r="6747" spans="7:12" x14ac:dyDescent="0.2">
      <c r="G6747" s="45"/>
      <c r="L6747" s="8"/>
    </row>
    <row r="6748" spans="7:12" x14ac:dyDescent="0.2">
      <c r="G6748" s="45"/>
      <c r="L6748" s="8"/>
    </row>
    <row r="6749" spans="7:12" x14ac:dyDescent="0.2">
      <c r="G6749" s="45"/>
      <c r="L6749" s="8"/>
    </row>
    <row r="6750" spans="7:12" x14ac:dyDescent="0.2">
      <c r="G6750" s="45"/>
      <c r="L6750" s="8"/>
    </row>
    <row r="6751" spans="7:12" x14ac:dyDescent="0.2">
      <c r="G6751" s="45"/>
      <c r="L6751" s="8"/>
    </row>
    <row r="6752" spans="7:12" x14ac:dyDescent="0.2">
      <c r="G6752" s="45"/>
      <c r="L6752" s="8"/>
    </row>
    <row r="6753" spans="7:12" x14ac:dyDescent="0.2">
      <c r="G6753" s="45"/>
      <c r="L6753" s="8"/>
    </row>
    <row r="6754" spans="7:12" x14ac:dyDescent="0.2">
      <c r="G6754" s="45"/>
      <c r="L6754" s="8"/>
    </row>
    <row r="6755" spans="7:12" x14ac:dyDescent="0.2">
      <c r="G6755" s="45"/>
      <c r="L6755" s="8"/>
    </row>
    <row r="6756" spans="7:12" x14ac:dyDescent="0.2">
      <c r="G6756" s="45"/>
      <c r="L6756" s="8"/>
    </row>
    <row r="6757" spans="7:12" x14ac:dyDescent="0.2">
      <c r="G6757" s="45"/>
      <c r="L6757" s="8"/>
    </row>
    <row r="6758" spans="7:12" x14ac:dyDescent="0.2">
      <c r="G6758" s="45"/>
      <c r="L6758" s="8"/>
    </row>
    <row r="6759" spans="7:12" x14ac:dyDescent="0.2">
      <c r="G6759" s="45"/>
      <c r="L6759" s="8"/>
    </row>
    <row r="6760" spans="7:12" x14ac:dyDescent="0.2">
      <c r="G6760" s="45"/>
      <c r="L6760" s="8"/>
    </row>
    <row r="6761" spans="7:12" x14ac:dyDescent="0.2">
      <c r="G6761" s="45"/>
      <c r="L6761" s="8"/>
    </row>
    <row r="6762" spans="7:12" x14ac:dyDescent="0.2">
      <c r="G6762" s="45"/>
      <c r="L6762" s="8"/>
    </row>
    <row r="6763" spans="7:12" x14ac:dyDescent="0.2">
      <c r="G6763" s="45"/>
      <c r="L6763" s="8"/>
    </row>
    <row r="6764" spans="7:12" x14ac:dyDescent="0.2">
      <c r="G6764" s="45"/>
      <c r="L6764" s="8"/>
    </row>
    <row r="6765" spans="7:12" x14ac:dyDescent="0.2">
      <c r="G6765" s="45"/>
      <c r="L6765" s="8"/>
    </row>
    <row r="6766" spans="7:12" x14ac:dyDescent="0.2">
      <c r="G6766" s="45"/>
      <c r="L6766" s="8"/>
    </row>
    <row r="6767" spans="7:12" x14ac:dyDescent="0.2">
      <c r="G6767" s="45"/>
      <c r="L6767" s="8"/>
    </row>
    <row r="6768" spans="7:12" x14ac:dyDescent="0.2">
      <c r="G6768" s="45"/>
      <c r="L6768" s="8"/>
    </row>
    <row r="6769" spans="7:12" x14ac:dyDescent="0.2">
      <c r="G6769" s="45"/>
      <c r="L6769" s="8"/>
    </row>
    <row r="6770" spans="7:12" x14ac:dyDescent="0.2">
      <c r="G6770" s="45"/>
      <c r="L6770" s="8"/>
    </row>
    <row r="6771" spans="7:12" x14ac:dyDescent="0.2">
      <c r="G6771" s="45"/>
      <c r="L6771" s="8"/>
    </row>
    <row r="6772" spans="7:12" x14ac:dyDescent="0.2">
      <c r="G6772" s="45"/>
      <c r="L6772" s="8"/>
    </row>
    <row r="6773" spans="7:12" x14ac:dyDescent="0.2">
      <c r="G6773" s="45"/>
      <c r="L6773" s="8"/>
    </row>
    <row r="6774" spans="7:12" x14ac:dyDescent="0.2">
      <c r="G6774" s="45"/>
      <c r="L6774" s="8"/>
    </row>
    <row r="6775" spans="7:12" x14ac:dyDescent="0.2">
      <c r="G6775" s="45"/>
      <c r="L6775" s="8"/>
    </row>
    <row r="6776" spans="7:12" x14ac:dyDescent="0.2">
      <c r="G6776" s="45"/>
      <c r="L6776" s="8"/>
    </row>
    <row r="6777" spans="7:12" x14ac:dyDescent="0.2">
      <c r="G6777" s="45"/>
      <c r="L6777" s="8"/>
    </row>
    <row r="6778" spans="7:12" x14ac:dyDescent="0.2">
      <c r="G6778" s="45"/>
      <c r="L6778" s="8"/>
    </row>
    <row r="6779" spans="7:12" x14ac:dyDescent="0.2">
      <c r="G6779" s="45"/>
      <c r="L6779" s="8"/>
    </row>
    <row r="6780" spans="7:12" x14ac:dyDescent="0.2">
      <c r="G6780" s="45"/>
      <c r="L6780" s="8"/>
    </row>
    <row r="6781" spans="7:12" x14ac:dyDescent="0.2">
      <c r="G6781" s="45"/>
      <c r="L6781" s="8"/>
    </row>
    <row r="6782" spans="7:12" x14ac:dyDescent="0.2">
      <c r="G6782" s="45"/>
      <c r="L6782" s="8"/>
    </row>
    <row r="6783" spans="7:12" x14ac:dyDescent="0.2">
      <c r="G6783" s="45"/>
      <c r="L6783" s="8"/>
    </row>
    <row r="6784" spans="7:12" x14ac:dyDescent="0.2">
      <c r="G6784" s="45"/>
      <c r="L6784" s="8"/>
    </row>
    <row r="6785" spans="7:12" x14ac:dyDescent="0.2">
      <c r="G6785" s="45"/>
      <c r="L6785" s="8"/>
    </row>
    <row r="6786" spans="7:12" x14ac:dyDescent="0.2">
      <c r="G6786" s="45"/>
      <c r="L6786" s="8"/>
    </row>
    <row r="6787" spans="7:12" x14ac:dyDescent="0.2">
      <c r="G6787" s="45"/>
      <c r="L6787" s="8"/>
    </row>
    <row r="6788" spans="7:12" x14ac:dyDescent="0.2">
      <c r="G6788" s="45"/>
      <c r="L6788" s="8"/>
    </row>
    <row r="6789" spans="7:12" x14ac:dyDescent="0.2">
      <c r="G6789" s="45"/>
      <c r="L6789" s="8"/>
    </row>
    <row r="6790" spans="7:12" x14ac:dyDescent="0.2">
      <c r="G6790" s="45"/>
      <c r="L6790" s="8"/>
    </row>
    <row r="6791" spans="7:12" x14ac:dyDescent="0.2">
      <c r="G6791" s="45"/>
      <c r="L6791" s="8"/>
    </row>
    <row r="6792" spans="7:12" x14ac:dyDescent="0.2">
      <c r="G6792" s="45"/>
      <c r="L6792" s="8"/>
    </row>
    <row r="6793" spans="7:12" x14ac:dyDescent="0.2">
      <c r="G6793" s="45"/>
      <c r="L6793" s="8"/>
    </row>
    <row r="6794" spans="7:12" x14ac:dyDescent="0.2">
      <c r="G6794" s="45"/>
      <c r="L6794" s="8"/>
    </row>
    <row r="6795" spans="7:12" x14ac:dyDescent="0.2">
      <c r="G6795" s="45"/>
      <c r="L6795" s="8"/>
    </row>
    <row r="6796" spans="7:12" x14ac:dyDescent="0.2">
      <c r="G6796" s="45"/>
      <c r="L6796" s="8"/>
    </row>
    <row r="6797" spans="7:12" x14ac:dyDescent="0.2">
      <c r="G6797" s="45"/>
      <c r="L6797" s="8"/>
    </row>
    <row r="6798" spans="7:12" x14ac:dyDescent="0.2">
      <c r="G6798" s="45"/>
      <c r="L6798" s="8"/>
    </row>
    <row r="6799" spans="7:12" x14ac:dyDescent="0.2">
      <c r="G6799" s="45"/>
      <c r="L6799" s="8"/>
    </row>
    <row r="6800" spans="7:12" x14ac:dyDescent="0.2">
      <c r="G6800" s="45"/>
      <c r="L6800" s="8"/>
    </row>
    <row r="6801" spans="7:12" x14ac:dyDescent="0.2">
      <c r="G6801" s="45"/>
      <c r="L6801" s="8"/>
    </row>
    <row r="6802" spans="7:12" x14ac:dyDescent="0.2">
      <c r="G6802" s="45"/>
      <c r="L6802" s="8"/>
    </row>
    <row r="6803" spans="7:12" x14ac:dyDescent="0.2">
      <c r="G6803" s="45"/>
      <c r="L6803" s="8"/>
    </row>
    <row r="6804" spans="7:12" x14ac:dyDescent="0.2">
      <c r="G6804" s="45"/>
      <c r="L6804" s="8"/>
    </row>
    <row r="6805" spans="7:12" x14ac:dyDescent="0.2">
      <c r="G6805" s="45"/>
      <c r="L6805" s="8"/>
    </row>
    <row r="6806" spans="7:12" x14ac:dyDescent="0.2">
      <c r="G6806" s="45"/>
      <c r="L6806" s="8"/>
    </row>
    <row r="6807" spans="7:12" x14ac:dyDescent="0.2">
      <c r="G6807" s="45"/>
      <c r="L6807" s="8"/>
    </row>
    <row r="6808" spans="7:12" x14ac:dyDescent="0.2">
      <c r="G6808" s="45"/>
      <c r="L6808" s="8"/>
    </row>
    <row r="6809" spans="7:12" x14ac:dyDescent="0.2">
      <c r="G6809" s="45"/>
      <c r="L6809" s="8"/>
    </row>
    <row r="6810" spans="7:12" x14ac:dyDescent="0.2">
      <c r="G6810" s="45"/>
      <c r="L6810" s="8"/>
    </row>
    <row r="6811" spans="7:12" x14ac:dyDescent="0.2">
      <c r="G6811" s="45"/>
      <c r="L6811" s="8"/>
    </row>
    <row r="6812" spans="7:12" x14ac:dyDescent="0.2">
      <c r="G6812" s="45"/>
      <c r="L6812" s="8"/>
    </row>
    <row r="6813" spans="7:12" x14ac:dyDescent="0.2">
      <c r="G6813" s="45"/>
      <c r="L6813" s="8"/>
    </row>
    <row r="6814" spans="7:12" x14ac:dyDescent="0.2">
      <c r="G6814" s="45"/>
      <c r="L6814" s="8"/>
    </row>
    <row r="6815" spans="7:12" x14ac:dyDescent="0.2">
      <c r="G6815" s="45"/>
      <c r="L6815" s="8"/>
    </row>
    <row r="6816" spans="7:12" x14ac:dyDescent="0.2">
      <c r="G6816" s="45"/>
      <c r="L6816" s="8"/>
    </row>
    <row r="6817" spans="7:12" x14ac:dyDescent="0.2">
      <c r="G6817" s="45"/>
      <c r="L6817" s="8"/>
    </row>
    <row r="6818" spans="7:12" x14ac:dyDescent="0.2">
      <c r="G6818" s="45"/>
      <c r="L6818" s="8"/>
    </row>
    <row r="6819" spans="7:12" x14ac:dyDescent="0.2">
      <c r="G6819" s="45"/>
      <c r="L6819" s="8"/>
    </row>
    <row r="6820" spans="7:12" x14ac:dyDescent="0.2">
      <c r="G6820" s="45"/>
      <c r="L6820" s="8"/>
    </row>
    <row r="6821" spans="7:12" x14ac:dyDescent="0.2">
      <c r="G6821" s="45"/>
      <c r="L6821" s="8"/>
    </row>
    <row r="6822" spans="7:12" x14ac:dyDescent="0.2">
      <c r="G6822" s="45"/>
      <c r="L6822" s="8"/>
    </row>
    <row r="6823" spans="7:12" x14ac:dyDescent="0.2">
      <c r="G6823" s="45"/>
      <c r="L6823" s="8"/>
    </row>
    <row r="6824" spans="7:12" x14ac:dyDescent="0.2">
      <c r="G6824" s="45"/>
      <c r="L6824" s="8"/>
    </row>
    <row r="6825" spans="7:12" x14ac:dyDescent="0.2">
      <c r="G6825" s="45"/>
      <c r="L6825" s="8"/>
    </row>
    <row r="6826" spans="7:12" x14ac:dyDescent="0.2">
      <c r="G6826" s="45"/>
      <c r="L6826" s="8"/>
    </row>
    <row r="6827" spans="7:12" x14ac:dyDescent="0.2">
      <c r="G6827" s="45"/>
      <c r="L6827" s="8"/>
    </row>
    <row r="6828" spans="7:12" x14ac:dyDescent="0.2">
      <c r="G6828" s="45"/>
      <c r="L6828" s="8"/>
    </row>
    <row r="6829" spans="7:12" x14ac:dyDescent="0.2">
      <c r="G6829" s="45"/>
      <c r="L6829" s="8"/>
    </row>
    <row r="6830" spans="7:12" x14ac:dyDescent="0.2">
      <c r="G6830" s="45"/>
      <c r="L6830" s="8"/>
    </row>
    <row r="6831" spans="7:12" x14ac:dyDescent="0.2">
      <c r="G6831" s="45"/>
      <c r="L6831" s="8"/>
    </row>
    <row r="6832" spans="7:12" x14ac:dyDescent="0.2">
      <c r="G6832" s="45"/>
      <c r="L6832" s="8"/>
    </row>
    <row r="6833" spans="7:12" x14ac:dyDescent="0.2">
      <c r="G6833" s="45"/>
      <c r="L6833" s="8"/>
    </row>
    <row r="6834" spans="7:12" x14ac:dyDescent="0.2">
      <c r="G6834" s="45"/>
      <c r="L6834" s="8"/>
    </row>
    <row r="6835" spans="7:12" x14ac:dyDescent="0.2">
      <c r="G6835" s="45"/>
      <c r="L6835" s="8"/>
    </row>
    <row r="6836" spans="7:12" x14ac:dyDescent="0.2">
      <c r="G6836" s="45"/>
      <c r="L6836" s="8"/>
    </row>
    <row r="6837" spans="7:12" x14ac:dyDescent="0.2">
      <c r="G6837" s="45"/>
      <c r="L6837" s="8"/>
    </row>
    <row r="6838" spans="7:12" x14ac:dyDescent="0.2">
      <c r="G6838" s="45"/>
      <c r="L6838" s="8"/>
    </row>
    <row r="6839" spans="7:12" x14ac:dyDescent="0.2">
      <c r="G6839" s="45"/>
      <c r="L6839" s="8"/>
    </row>
    <row r="6840" spans="7:12" x14ac:dyDescent="0.2">
      <c r="G6840" s="45"/>
      <c r="L6840" s="8"/>
    </row>
    <row r="6841" spans="7:12" x14ac:dyDescent="0.2">
      <c r="G6841" s="45"/>
      <c r="L6841" s="8"/>
    </row>
    <row r="6842" spans="7:12" x14ac:dyDescent="0.2">
      <c r="G6842" s="45"/>
      <c r="L6842" s="8"/>
    </row>
    <row r="6843" spans="7:12" x14ac:dyDescent="0.2">
      <c r="G6843" s="45"/>
      <c r="L6843" s="8"/>
    </row>
    <row r="6844" spans="7:12" x14ac:dyDescent="0.2">
      <c r="G6844" s="45"/>
      <c r="L6844" s="8"/>
    </row>
    <row r="6845" spans="7:12" x14ac:dyDescent="0.2">
      <c r="G6845" s="45"/>
      <c r="L6845" s="8"/>
    </row>
    <row r="6846" spans="7:12" x14ac:dyDescent="0.2">
      <c r="G6846" s="45"/>
      <c r="L6846" s="8"/>
    </row>
    <row r="6847" spans="7:12" x14ac:dyDescent="0.2">
      <c r="G6847" s="45"/>
      <c r="L6847" s="8"/>
    </row>
    <row r="6848" spans="7:12" x14ac:dyDescent="0.2">
      <c r="G6848" s="45"/>
      <c r="L6848" s="8"/>
    </row>
    <row r="6849" spans="7:12" x14ac:dyDescent="0.2">
      <c r="G6849" s="45"/>
      <c r="L6849" s="8"/>
    </row>
    <row r="6850" spans="7:12" x14ac:dyDescent="0.2">
      <c r="G6850" s="45"/>
      <c r="L6850" s="8"/>
    </row>
    <row r="6851" spans="7:12" x14ac:dyDescent="0.2">
      <c r="G6851" s="45"/>
      <c r="L6851" s="8"/>
    </row>
    <row r="6852" spans="7:12" x14ac:dyDescent="0.2">
      <c r="G6852" s="45"/>
      <c r="L6852" s="8"/>
    </row>
    <row r="6853" spans="7:12" x14ac:dyDescent="0.2">
      <c r="G6853" s="45"/>
      <c r="L6853" s="8"/>
    </row>
    <row r="6854" spans="7:12" x14ac:dyDescent="0.2">
      <c r="G6854" s="45"/>
      <c r="L6854" s="8"/>
    </row>
    <row r="6855" spans="7:12" x14ac:dyDescent="0.2">
      <c r="G6855" s="45"/>
      <c r="L6855" s="8"/>
    </row>
    <row r="6856" spans="7:12" x14ac:dyDescent="0.2">
      <c r="G6856" s="45"/>
      <c r="L6856" s="8"/>
    </row>
    <row r="6857" spans="7:12" x14ac:dyDescent="0.2">
      <c r="G6857" s="45"/>
      <c r="L6857" s="8"/>
    </row>
    <row r="6858" spans="7:12" x14ac:dyDescent="0.2">
      <c r="G6858" s="45"/>
      <c r="L6858" s="8"/>
    </row>
    <row r="6859" spans="7:12" x14ac:dyDescent="0.2">
      <c r="G6859" s="45"/>
      <c r="L6859" s="8"/>
    </row>
    <row r="6860" spans="7:12" x14ac:dyDescent="0.2">
      <c r="G6860" s="45"/>
      <c r="L6860" s="8"/>
    </row>
    <row r="6861" spans="7:12" x14ac:dyDescent="0.2">
      <c r="G6861" s="45"/>
      <c r="L6861" s="8"/>
    </row>
    <row r="6862" spans="7:12" x14ac:dyDescent="0.2">
      <c r="G6862" s="45"/>
      <c r="L6862" s="8"/>
    </row>
    <row r="6863" spans="7:12" x14ac:dyDescent="0.2">
      <c r="G6863" s="45"/>
      <c r="L6863" s="8"/>
    </row>
    <row r="6864" spans="7:12" x14ac:dyDescent="0.2">
      <c r="G6864" s="45"/>
      <c r="L6864" s="8"/>
    </row>
    <row r="6865" spans="7:12" x14ac:dyDescent="0.2">
      <c r="G6865" s="45"/>
      <c r="L6865" s="8"/>
    </row>
    <row r="6866" spans="7:12" x14ac:dyDescent="0.2">
      <c r="G6866" s="45"/>
      <c r="L6866" s="8"/>
    </row>
    <row r="6867" spans="7:12" x14ac:dyDescent="0.2">
      <c r="G6867" s="45"/>
      <c r="L6867" s="8"/>
    </row>
    <row r="6868" spans="7:12" x14ac:dyDescent="0.2">
      <c r="G6868" s="45"/>
      <c r="L6868" s="8"/>
    </row>
    <row r="6869" spans="7:12" x14ac:dyDescent="0.2">
      <c r="G6869" s="45"/>
      <c r="L6869" s="8"/>
    </row>
    <row r="6870" spans="7:12" x14ac:dyDescent="0.2">
      <c r="G6870" s="45"/>
      <c r="L6870" s="8"/>
    </row>
    <row r="6871" spans="7:12" x14ac:dyDescent="0.2">
      <c r="G6871" s="45"/>
      <c r="L6871" s="8"/>
    </row>
    <row r="6872" spans="7:12" x14ac:dyDescent="0.2">
      <c r="G6872" s="45"/>
      <c r="L6872" s="8"/>
    </row>
    <row r="6873" spans="7:12" x14ac:dyDescent="0.2">
      <c r="G6873" s="45"/>
      <c r="L6873" s="8"/>
    </row>
    <row r="6874" spans="7:12" x14ac:dyDescent="0.2">
      <c r="G6874" s="45"/>
      <c r="L6874" s="8"/>
    </row>
    <row r="6875" spans="7:12" x14ac:dyDescent="0.2">
      <c r="G6875" s="45"/>
      <c r="L6875" s="8"/>
    </row>
    <row r="6876" spans="7:12" x14ac:dyDescent="0.2">
      <c r="G6876" s="45"/>
      <c r="L6876" s="8"/>
    </row>
    <row r="6877" spans="7:12" x14ac:dyDescent="0.2">
      <c r="G6877" s="45"/>
      <c r="L6877" s="8"/>
    </row>
    <row r="6878" spans="7:12" x14ac:dyDescent="0.2">
      <c r="G6878" s="45"/>
      <c r="L6878" s="8"/>
    </row>
    <row r="6879" spans="7:12" x14ac:dyDescent="0.2">
      <c r="G6879" s="45"/>
      <c r="L6879" s="8"/>
    </row>
    <row r="6880" spans="7:12" x14ac:dyDescent="0.2">
      <c r="G6880" s="45"/>
      <c r="L6880" s="8"/>
    </row>
    <row r="6881" spans="7:12" x14ac:dyDescent="0.2">
      <c r="G6881" s="45"/>
      <c r="L6881" s="8"/>
    </row>
    <row r="6882" spans="7:12" x14ac:dyDescent="0.2">
      <c r="G6882" s="45"/>
      <c r="L6882" s="8"/>
    </row>
    <row r="6883" spans="7:12" x14ac:dyDescent="0.2">
      <c r="G6883" s="45"/>
      <c r="L6883" s="8"/>
    </row>
    <row r="6884" spans="7:12" x14ac:dyDescent="0.2">
      <c r="G6884" s="45"/>
      <c r="L6884" s="8"/>
    </row>
    <row r="6885" spans="7:12" x14ac:dyDescent="0.2">
      <c r="G6885" s="45"/>
      <c r="L6885" s="8"/>
    </row>
    <row r="6886" spans="7:12" x14ac:dyDescent="0.2">
      <c r="G6886" s="45"/>
      <c r="L6886" s="8"/>
    </row>
    <row r="6887" spans="7:12" x14ac:dyDescent="0.2">
      <c r="G6887" s="45"/>
      <c r="L6887" s="8"/>
    </row>
    <row r="6888" spans="7:12" x14ac:dyDescent="0.2">
      <c r="G6888" s="45"/>
      <c r="L6888" s="8"/>
    </row>
    <row r="6889" spans="7:12" x14ac:dyDescent="0.2">
      <c r="G6889" s="45"/>
      <c r="L6889" s="8"/>
    </row>
    <row r="6890" spans="7:12" x14ac:dyDescent="0.2">
      <c r="G6890" s="45"/>
      <c r="L6890" s="8"/>
    </row>
    <row r="6891" spans="7:12" x14ac:dyDescent="0.2">
      <c r="G6891" s="45"/>
      <c r="L6891" s="8"/>
    </row>
    <row r="6892" spans="7:12" x14ac:dyDescent="0.2">
      <c r="G6892" s="45"/>
      <c r="L6892" s="8"/>
    </row>
    <row r="6893" spans="7:12" x14ac:dyDescent="0.2">
      <c r="G6893" s="45"/>
      <c r="L6893" s="8"/>
    </row>
    <row r="6894" spans="7:12" x14ac:dyDescent="0.2">
      <c r="G6894" s="45"/>
      <c r="L6894" s="8"/>
    </row>
    <row r="6895" spans="7:12" x14ac:dyDescent="0.2">
      <c r="G6895" s="45"/>
      <c r="L6895" s="8"/>
    </row>
    <row r="6896" spans="7:12" x14ac:dyDescent="0.2">
      <c r="G6896" s="45"/>
      <c r="L6896" s="8"/>
    </row>
    <row r="6897" spans="7:12" x14ac:dyDescent="0.2">
      <c r="G6897" s="45"/>
      <c r="L6897" s="8"/>
    </row>
    <row r="6898" spans="7:12" x14ac:dyDescent="0.2">
      <c r="G6898" s="45"/>
      <c r="L6898" s="8"/>
    </row>
    <row r="6899" spans="7:12" x14ac:dyDescent="0.2">
      <c r="G6899" s="45"/>
      <c r="L6899" s="8"/>
    </row>
    <row r="6900" spans="7:12" x14ac:dyDescent="0.2">
      <c r="G6900" s="45"/>
      <c r="L6900" s="8"/>
    </row>
    <row r="6901" spans="7:12" x14ac:dyDescent="0.2">
      <c r="G6901" s="45"/>
      <c r="L6901" s="8"/>
    </row>
    <row r="6902" spans="7:12" x14ac:dyDescent="0.2">
      <c r="G6902" s="45"/>
      <c r="L6902" s="8"/>
    </row>
    <row r="6903" spans="7:12" x14ac:dyDescent="0.2">
      <c r="G6903" s="45"/>
      <c r="L6903" s="8"/>
    </row>
    <row r="6904" spans="7:12" x14ac:dyDescent="0.2">
      <c r="G6904" s="45"/>
      <c r="L6904" s="8"/>
    </row>
    <row r="6905" spans="7:12" x14ac:dyDescent="0.2">
      <c r="G6905" s="45"/>
      <c r="L6905" s="8"/>
    </row>
    <row r="6906" spans="7:12" x14ac:dyDescent="0.2">
      <c r="G6906" s="45"/>
      <c r="L6906" s="8"/>
    </row>
    <row r="6907" spans="7:12" x14ac:dyDescent="0.2">
      <c r="G6907" s="45"/>
      <c r="L6907" s="8"/>
    </row>
    <row r="6908" spans="7:12" x14ac:dyDescent="0.2">
      <c r="G6908" s="45"/>
      <c r="L6908" s="8"/>
    </row>
    <row r="6909" spans="7:12" x14ac:dyDescent="0.2">
      <c r="G6909" s="45"/>
      <c r="L6909" s="8"/>
    </row>
    <row r="6910" spans="7:12" x14ac:dyDescent="0.2">
      <c r="G6910" s="45"/>
      <c r="L6910" s="8"/>
    </row>
    <row r="6911" spans="7:12" x14ac:dyDescent="0.2">
      <c r="G6911" s="45"/>
      <c r="L6911" s="8"/>
    </row>
    <row r="6912" spans="7:12" x14ac:dyDescent="0.2">
      <c r="G6912" s="45"/>
      <c r="L6912" s="8"/>
    </row>
    <row r="6913" spans="7:12" x14ac:dyDescent="0.2">
      <c r="G6913" s="45"/>
      <c r="L6913" s="8"/>
    </row>
    <row r="6914" spans="7:12" x14ac:dyDescent="0.2">
      <c r="G6914" s="45"/>
      <c r="L6914" s="8"/>
    </row>
    <row r="6915" spans="7:12" x14ac:dyDescent="0.2">
      <c r="G6915" s="45"/>
      <c r="L6915" s="8"/>
    </row>
    <row r="6916" spans="7:12" x14ac:dyDescent="0.2">
      <c r="G6916" s="45"/>
      <c r="L6916" s="8"/>
    </row>
    <row r="6917" spans="7:12" x14ac:dyDescent="0.2">
      <c r="G6917" s="45"/>
      <c r="L6917" s="8"/>
    </row>
    <row r="6918" spans="7:12" x14ac:dyDescent="0.2">
      <c r="G6918" s="45"/>
      <c r="L6918" s="8"/>
    </row>
    <row r="6919" spans="7:12" x14ac:dyDescent="0.2">
      <c r="G6919" s="45"/>
      <c r="L6919" s="8"/>
    </row>
    <row r="6920" spans="7:12" x14ac:dyDescent="0.2">
      <c r="G6920" s="45"/>
      <c r="L6920" s="8"/>
    </row>
    <row r="6921" spans="7:12" x14ac:dyDescent="0.2">
      <c r="G6921" s="45"/>
      <c r="L6921" s="8"/>
    </row>
    <row r="6922" spans="7:12" x14ac:dyDescent="0.2">
      <c r="G6922" s="45"/>
      <c r="L6922" s="8"/>
    </row>
    <row r="6923" spans="7:12" x14ac:dyDescent="0.2">
      <c r="G6923" s="45"/>
      <c r="L6923" s="8"/>
    </row>
    <row r="6924" spans="7:12" x14ac:dyDescent="0.2">
      <c r="G6924" s="45"/>
      <c r="L6924" s="8"/>
    </row>
    <row r="6925" spans="7:12" x14ac:dyDescent="0.2">
      <c r="G6925" s="45"/>
      <c r="L6925" s="8"/>
    </row>
    <row r="6926" spans="7:12" x14ac:dyDescent="0.2">
      <c r="G6926" s="45"/>
      <c r="L6926" s="8"/>
    </row>
    <row r="6927" spans="7:12" x14ac:dyDescent="0.2">
      <c r="G6927" s="45"/>
      <c r="L6927" s="8"/>
    </row>
    <row r="6928" spans="7:12" x14ac:dyDescent="0.2">
      <c r="G6928" s="45"/>
      <c r="L6928" s="8"/>
    </row>
    <row r="6929" spans="7:12" x14ac:dyDescent="0.2">
      <c r="G6929" s="45"/>
      <c r="L6929" s="8"/>
    </row>
    <row r="6930" spans="7:12" x14ac:dyDescent="0.2">
      <c r="G6930" s="45"/>
      <c r="L6930" s="8"/>
    </row>
    <row r="6931" spans="7:12" x14ac:dyDescent="0.2">
      <c r="G6931" s="45"/>
      <c r="L6931" s="8"/>
    </row>
    <row r="6932" spans="7:12" x14ac:dyDescent="0.2">
      <c r="G6932" s="45"/>
      <c r="L6932" s="8"/>
    </row>
    <row r="6933" spans="7:12" x14ac:dyDescent="0.2">
      <c r="G6933" s="45"/>
      <c r="L6933" s="8"/>
    </row>
    <row r="6934" spans="7:12" x14ac:dyDescent="0.2">
      <c r="G6934" s="45"/>
      <c r="L6934" s="8"/>
    </row>
    <row r="6935" spans="7:12" x14ac:dyDescent="0.2">
      <c r="G6935" s="45"/>
      <c r="L6935" s="8"/>
    </row>
    <row r="6936" spans="7:12" x14ac:dyDescent="0.2">
      <c r="G6936" s="45"/>
      <c r="L6936" s="8"/>
    </row>
    <row r="6937" spans="7:12" x14ac:dyDescent="0.2">
      <c r="G6937" s="45"/>
      <c r="L6937" s="8"/>
    </row>
    <row r="6938" spans="7:12" x14ac:dyDescent="0.2">
      <c r="G6938" s="45"/>
      <c r="L6938" s="8"/>
    </row>
    <row r="6939" spans="7:12" x14ac:dyDescent="0.2">
      <c r="G6939" s="45"/>
      <c r="L6939" s="8"/>
    </row>
    <row r="6940" spans="7:12" x14ac:dyDescent="0.2">
      <c r="G6940" s="45"/>
      <c r="L6940" s="8"/>
    </row>
    <row r="6941" spans="7:12" x14ac:dyDescent="0.2">
      <c r="G6941" s="45"/>
      <c r="L6941" s="8"/>
    </row>
    <row r="6942" spans="7:12" x14ac:dyDescent="0.2">
      <c r="G6942" s="45"/>
      <c r="L6942" s="8"/>
    </row>
    <row r="6943" spans="7:12" x14ac:dyDescent="0.2">
      <c r="G6943" s="45"/>
      <c r="L6943" s="8"/>
    </row>
    <row r="6944" spans="7:12" x14ac:dyDescent="0.2">
      <c r="G6944" s="45"/>
      <c r="L6944" s="8"/>
    </row>
    <row r="6945" spans="7:12" x14ac:dyDescent="0.2">
      <c r="G6945" s="45"/>
      <c r="L6945" s="8"/>
    </row>
    <row r="6946" spans="7:12" x14ac:dyDescent="0.2">
      <c r="G6946" s="45"/>
      <c r="L6946" s="8"/>
    </row>
    <row r="6947" spans="7:12" x14ac:dyDescent="0.2">
      <c r="G6947" s="45"/>
      <c r="L6947" s="8"/>
    </row>
    <row r="6948" spans="7:12" x14ac:dyDescent="0.2">
      <c r="G6948" s="45"/>
      <c r="L6948" s="8"/>
    </row>
    <row r="6949" spans="7:12" x14ac:dyDescent="0.2">
      <c r="G6949" s="45"/>
      <c r="L6949" s="8"/>
    </row>
    <row r="6950" spans="7:12" x14ac:dyDescent="0.2">
      <c r="G6950" s="45"/>
      <c r="L6950" s="8"/>
    </row>
    <row r="6951" spans="7:12" x14ac:dyDescent="0.2">
      <c r="G6951" s="45"/>
      <c r="L6951" s="8"/>
    </row>
    <row r="6952" spans="7:12" x14ac:dyDescent="0.2">
      <c r="G6952" s="45"/>
      <c r="L6952" s="8"/>
    </row>
    <row r="6953" spans="7:12" x14ac:dyDescent="0.2">
      <c r="G6953" s="45"/>
      <c r="L6953" s="8"/>
    </row>
    <row r="6954" spans="7:12" x14ac:dyDescent="0.2">
      <c r="G6954" s="45"/>
      <c r="L6954" s="8"/>
    </row>
    <row r="6955" spans="7:12" x14ac:dyDescent="0.2">
      <c r="G6955" s="45"/>
      <c r="L6955" s="8"/>
    </row>
    <row r="6956" spans="7:12" x14ac:dyDescent="0.2">
      <c r="G6956" s="45"/>
      <c r="L6956" s="8"/>
    </row>
    <row r="6957" spans="7:12" x14ac:dyDescent="0.2">
      <c r="G6957" s="45"/>
      <c r="L6957" s="8"/>
    </row>
    <row r="6958" spans="7:12" x14ac:dyDescent="0.2">
      <c r="G6958" s="45"/>
      <c r="L6958" s="8"/>
    </row>
    <row r="6959" spans="7:12" x14ac:dyDescent="0.2">
      <c r="G6959" s="45"/>
      <c r="L6959" s="8"/>
    </row>
    <row r="6960" spans="7:12" x14ac:dyDescent="0.2">
      <c r="G6960" s="45"/>
      <c r="L6960" s="8"/>
    </row>
    <row r="6961" spans="7:12" x14ac:dyDescent="0.2">
      <c r="G6961" s="45"/>
      <c r="L6961" s="8"/>
    </row>
    <row r="6962" spans="7:12" x14ac:dyDescent="0.2">
      <c r="G6962" s="45"/>
      <c r="L6962" s="8"/>
    </row>
    <row r="6963" spans="7:12" x14ac:dyDescent="0.2">
      <c r="G6963" s="45"/>
      <c r="L6963" s="8"/>
    </row>
    <row r="6964" spans="7:12" x14ac:dyDescent="0.2">
      <c r="G6964" s="45"/>
      <c r="L6964" s="8"/>
    </row>
    <row r="6965" spans="7:12" x14ac:dyDescent="0.2">
      <c r="G6965" s="45"/>
      <c r="L6965" s="8"/>
    </row>
    <row r="6966" spans="7:12" x14ac:dyDescent="0.2">
      <c r="G6966" s="45"/>
      <c r="L6966" s="8"/>
    </row>
    <row r="6967" spans="7:12" x14ac:dyDescent="0.2">
      <c r="G6967" s="45"/>
      <c r="L6967" s="8"/>
    </row>
    <row r="6968" spans="7:12" x14ac:dyDescent="0.2">
      <c r="G6968" s="45"/>
      <c r="L6968" s="8"/>
    </row>
    <row r="6969" spans="7:12" x14ac:dyDescent="0.2">
      <c r="G6969" s="45"/>
      <c r="L6969" s="8"/>
    </row>
    <row r="6970" spans="7:12" x14ac:dyDescent="0.2">
      <c r="G6970" s="45"/>
      <c r="L6970" s="8"/>
    </row>
    <row r="6971" spans="7:12" x14ac:dyDescent="0.2">
      <c r="G6971" s="45"/>
      <c r="L6971" s="8"/>
    </row>
    <row r="6972" spans="7:12" x14ac:dyDescent="0.2">
      <c r="G6972" s="45"/>
      <c r="L6972" s="8"/>
    </row>
    <row r="6973" spans="7:12" x14ac:dyDescent="0.2">
      <c r="G6973" s="45"/>
      <c r="L6973" s="8"/>
    </row>
    <row r="6974" spans="7:12" x14ac:dyDescent="0.2">
      <c r="G6974" s="45"/>
      <c r="L6974" s="8"/>
    </row>
    <row r="6975" spans="7:12" x14ac:dyDescent="0.2">
      <c r="G6975" s="45"/>
      <c r="L6975" s="8"/>
    </row>
    <row r="6976" spans="7:12" x14ac:dyDescent="0.2">
      <c r="G6976" s="45"/>
      <c r="L6976" s="8"/>
    </row>
    <row r="6977" spans="7:12" x14ac:dyDescent="0.2">
      <c r="G6977" s="45"/>
      <c r="L6977" s="8"/>
    </row>
    <row r="6978" spans="7:12" x14ac:dyDescent="0.2">
      <c r="G6978" s="45"/>
      <c r="L6978" s="8"/>
    </row>
    <row r="6979" spans="7:12" x14ac:dyDescent="0.2">
      <c r="G6979" s="45"/>
      <c r="L6979" s="8"/>
    </row>
    <row r="6980" spans="7:12" x14ac:dyDescent="0.2">
      <c r="G6980" s="45"/>
      <c r="L6980" s="8"/>
    </row>
    <row r="6981" spans="7:12" x14ac:dyDescent="0.2">
      <c r="G6981" s="45"/>
      <c r="L6981" s="8"/>
    </row>
    <row r="6982" spans="7:12" x14ac:dyDescent="0.2">
      <c r="G6982" s="45"/>
      <c r="L6982" s="8"/>
    </row>
    <row r="6983" spans="7:12" x14ac:dyDescent="0.2">
      <c r="G6983" s="45"/>
      <c r="L6983" s="8"/>
    </row>
    <row r="6984" spans="7:12" x14ac:dyDescent="0.2">
      <c r="G6984" s="45"/>
      <c r="L6984" s="8"/>
    </row>
    <row r="6985" spans="7:12" x14ac:dyDescent="0.2">
      <c r="G6985" s="45"/>
      <c r="L6985" s="8"/>
    </row>
    <row r="6986" spans="7:12" x14ac:dyDescent="0.2">
      <c r="G6986" s="45"/>
      <c r="L6986" s="8"/>
    </row>
    <row r="6987" spans="7:12" x14ac:dyDescent="0.2">
      <c r="G6987" s="45"/>
      <c r="L6987" s="8"/>
    </row>
    <row r="6988" spans="7:12" x14ac:dyDescent="0.2">
      <c r="G6988" s="45"/>
      <c r="L6988" s="8"/>
    </row>
    <row r="6989" spans="7:12" x14ac:dyDescent="0.2">
      <c r="G6989" s="45"/>
      <c r="L6989" s="8"/>
    </row>
    <row r="6990" spans="7:12" x14ac:dyDescent="0.2">
      <c r="G6990" s="45"/>
      <c r="L6990" s="8"/>
    </row>
    <row r="6991" spans="7:12" x14ac:dyDescent="0.2">
      <c r="G6991" s="45"/>
      <c r="L6991" s="8"/>
    </row>
    <row r="6992" spans="7:12" x14ac:dyDescent="0.2">
      <c r="G6992" s="45"/>
      <c r="L6992" s="8"/>
    </row>
    <row r="6993" spans="7:12" x14ac:dyDescent="0.2">
      <c r="G6993" s="45"/>
      <c r="L6993" s="8"/>
    </row>
    <row r="6994" spans="7:12" x14ac:dyDescent="0.2">
      <c r="G6994" s="45"/>
      <c r="L6994" s="8"/>
    </row>
    <row r="6995" spans="7:12" x14ac:dyDescent="0.2">
      <c r="G6995" s="45"/>
      <c r="L6995" s="8"/>
    </row>
    <row r="6996" spans="7:12" x14ac:dyDescent="0.2">
      <c r="G6996" s="45"/>
      <c r="L6996" s="8"/>
    </row>
    <row r="6997" spans="7:12" x14ac:dyDescent="0.2">
      <c r="G6997" s="45"/>
      <c r="L6997" s="8"/>
    </row>
    <row r="6998" spans="7:12" x14ac:dyDescent="0.2">
      <c r="G6998" s="45"/>
      <c r="L6998" s="8"/>
    </row>
    <row r="6999" spans="7:12" x14ac:dyDescent="0.2">
      <c r="G6999" s="45"/>
      <c r="L6999" s="8"/>
    </row>
    <row r="7000" spans="7:12" x14ac:dyDescent="0.2">
      <c r="G7000" s="45"/>
      <c r="L7000" s="8"/>
    </row>
    <row r="7001" spans="7:12" x14ac:dyDescent="0.2">
      <c r="G7001" s="45"/>
      <c r="L7001" s="8"/>
    </row>
    <row r="7002" spans="7:12" x14ac:dyDescent="0.2">
      <c r="G7002" s="45"/>
      <c r="L7002" s="8"/>
    </row>
    <row r="7003" spans="7:12" x14ac:dyDescent="0.2">
      <c r="G7003" s="45"/>
      <c r="L7003" s="8"/>
    </row>
    <row r="7004" spans="7:12" x14ac:dyDescent="0.2">
      <c r="G7004" s="45"/>
      <c r="L7004" s="8"/>
    </row>
    <row r="7005" spans="7:12" x14ac:dyDescent="0.2">
      <c r="G7005" s="45"/>
      <c r="L7005" s="8"/>
    </row>
    <row r="7006" spans="7:12" x14ac:dyDescent="0.2">
      <c r="G7006" s="45"/>
      <c r="L7006" s="8"/>
    </row>
    <row r="7007" spans="7:12" x14ac:dyDescent="0.2">
      <c r="G7007" s="45"/>
      <c r="L7007" s="8"/>
    </row>
    <row r="7008" spans="7:12" x14ac:dyDescent="0.2">
      <c r="G7008" s="45"/>
      <c r="L7008" s="8"/>
    </row>
    <row r="7009" spans="7:12" x14ac:dyDescent="0.2">
      <c r="G7009" s="45"/>
      <c r="L7009" s="8"/>
    </row>
    <row r="7010" spans="7:12" x14ac:dyDescent="0.2">
      <c r="G7010" s="45"/>
      <c r="L7010" s="8"/>
    </row>
    <row r="7011" spans="7:12" x14ac:dyDescent="0.2">
      <c r="G7011" s="45"/>
      <c r="L7011" s="8"/>
    </row>
    <row r="7012" spans="7:12" x14ac:dyDescent="0.2">
      <c r="G7012" s="45"/>
      <c r="L7012" s="8"/>
    </row>
    <row r="7013" spans="7:12" x14ac:dyDescent="0.2">
      <c r="G7013" s="45"/>
      <c r="L7013" s="8"/>
    </row>
    <row r="7014" spans="7:12" x14ac:dyDescent="0.2">
      <c r="G7014" s="45"/>
      <c r="L7014" s="8"/>
    </row>
    <row r="7015" spans="7:12" x14ac:dyDescent="0.2">
      <c r="G7015" s="45"/>
      <c r="L7015" s="8"/>
    </row>
    <row r="7016" spans="7:12" x14ac:dyDescent="0.2">
      <c r="G7016" s="45"/>
      <c r="L7016" s="8"/>
    </row>
    <row r="7017" spans="7:12" x14ac:dyDescent="0.2">
      <c r="G7017" s="45"/>
      <c r="L7017" s="8"/>
    </row>
    <row r="7018" spans="7:12" x14ac:dyDescent="0.2">
      <c r="G7018" s="45"/>
      <c r="L7018" s="8"/>
    </row>
    <row r="7019" spans="7:12" x14ac:dyDescent="0.2">
      <c r="G7019" s="45"/>
      <c r="L7019" s="8"/>
    </row>
    <row r="7020" spans="7:12" x14ac:dyDescent="0.2">
      <c r="G7020" s="45"/>
      <c r="L7020" s="8"/>
    </row>
    <row r="7021" spans="7:12" x14ac:dyDescent="0.2">
      <c r="G7021" s="45"/>
      <c r="L7021" s="8"/>
    </row>
    <row r="7022" spans="7:12" x14ac:dyDescent="0.2">
      <c r="G7022" s="45"/>
      <c r="L7022" s="8"/>
    </row>
    <row r="7023" spans="7:12" x14ac:dyDescent="0.2">
      <c r="G7023" s="45"/>
      <c r="L7023" s="8"/>
    </row>
    <row r="7024" spans="7:12" x14ac:dyDescent="0.2">
      <c r="G7024" s="45"/>
      <c r="L7024" s="8"/>
    </row>
    <row r="7025" spans="7:12" x14ac:dyDescent="0.2">
      <c r="G7025" s="45"/>
      <c r="L7025" s="8"/>
    </row>
    <row r="7026" spans="7:12" x14ac:dyDescent="0.2">
      <c r="G7026" s="45"/>
      <c r="L7026" s="8"/>
    </row>
    <row r="7027" spans="7:12" x14ac:dyDescent="0.2">
      <c r="G7027" s="45"/>
      <c r="L7027" s="8"/>
    </row>
    <row r="7028" spans="7:12" x14ac:dyDescent="0.2">
      <c r="G7028" s="45"/>
      <c r="L7028" s="8"/>
    </row>
    <row r="7029" spans="7:12" x14ac:dyDescent="0.2">
      <c r="G7029" s="45"/>
      <c r="L7029" s="8"/>
    </row>
    <row r="7030" spans="7:12" x14ac:dyDescent="0.2">
      <c r="G7030" s="45"/>
      <c r="L7030" s="8"/>
    </row>
    <row r="7031" spans="7:12" x14ac:dyDescent="0.2">
      <c r="G7031" s="45"/>
      <c r="L7031" s="8"/>
    </row>
    <row r="7032" spans="7:12" x14ac:dyDescent="0.2">
      <c r="G7032" s="45"/>
      <c r="L7032" s="8"/>
    </row>
    <row r="7033" spans="7:12" x14ac:dyDescent="0.2">
      <c r="G7033" s="45"/>
      <c r="L7033" s="8"/>
    </row>
    <row r="7034" spans="7:12" x14ac:dyDescent="0.2">
      <c r="G7034" s="45"/>
      <c r="L7034" s="8"/>
    </row>
    <row r="7035" spans="7:12" x14ac:dyDescent="0.2">
      <c r="G7035" s="45"/>
      <c r="L7035" s="8"/>
    </row>
    <row r="7036" spans="7:12" x14ac:dyDescent="0.2">
      <c r="G7036" s="45"/>
      <c r="L7036" s="8"/>
    </row>
    <row r="7037" spans="7:12" x14ac:dyDescent="0.2">
      <c r="G7037" s="45"/>
      <c r="L7037" s="8"/>
    </row>
    <row r="7038" spans="7:12" x14ac:dyDescent="0.2">
      <c r="G7038" s="45"/>
      <c r="L7038" s="8"/>
    </row>
    <row r="7039" spans="7:12" x14ac:dyDescent="0.2">
      <c r="G7039" s="45"/>
      <c r="L7039" s="8"/>
    </row>
    <row r="7040" spans="7:12" x14ac:dyDescent="0.2">
      <c r="G7040" s="45"/>
      <c r="L7040" s="8"/>
    </row>
    <row r="7041" spans="7:12" x14ac:dyDescent="0.2">
      <c r="G7041" s="45"/>
      <c r="L7041" s="8"/>
    </row>
    <row r="7042" spans="7:12" x14ac:dyDescent="0.2">
      <c r="G7042" s="45"/>
      <c r="L7042" s="8"/>
    </row>
    <row r="7043" spans="7:12" x14ac:dyDescent="0.2">
      <c r="G7043" s="45"/>
      <c r="L7043" s="8"/>
    </row>
    <row r="7044" spans="7:12" x14ac:dyDescent="0.2">
      <c r="G7044" s="45"/>
      <c r="L7044" s="8"/>
    </row>
    <row r="7045" spans="7:12" x14ac:dyDescent="0.2">
      <c r="G7045" s="45"/>
      <c r="L7045" s="8"/>
    </row>
    <row r="7046" spans="7:12" x14ac:dyDescent="0.2">
      <c r="G7046" s="45"/>
      <c r="L7046" s="8"/>
    </row>
    <row r="7047" spans="7:12" x14ac:dyDescent="0.2">
      <c r="G7047" s="45"/>
      <c r="L7047" s="8"/>
    </row>
    <row r="7048" spans="7:12" x14ac:dyDescent="0.2">
      <c r="G7048" s="45"/>
      <c r="L7048" s="8"/>
    </row>
    <row r="7049" spans="7:12" x14ac:dyDescent="0.2">
      <c r="G7049" s="45"/>
      <c r="L7049" s="8"/>
    </row>
    <row r="7050" spans="7:12" x14ac:dyDescent="0.2">
      <c r="G7050" s="45"/>
      <c r="L7050" s="8"/>
    </row>
    <row r="7051" spans="7:12" x14ac:dyDescent="0.2">
      <c r="G7051" s="45"/>
      <c r="L7051" s="8"/>
    </row>
    <row r="7052" spans="7:12" x14ac:dyDescent="0.2">
      <c r="G7052" s="45"/>
      <c r="L7052" s="8"/>
    </row>
    <row r="7053" spans="7:12" x14ac:dyDescent="0.2">
      <c r="G7053" s="45"/>
      <c r="L7053" s="8"/>
    </row>
    <row r="7054" spans="7:12" x14ac:dyDescent="0.2">
      <c r="G7054" s="45"/>
      <c r="L7054" s="8"/>
    </row>
    <row r="7055" spans="7:12" x14ac:dyDescent="0.2">
      <c r="G7055" s="45"/>
      <c r="L7055" s="8"/>
    </row>
    <row r="7056" spans="7:12" x14ac:dyDescent="0.2">
      <c r="G7056" s="45"/>
      <c r="L7056" s="8"/>
    </row>
    <row r="7057" spans="7:12" x14ac:dyDescent="0.2">
      <c r="G7057" s="45"/>
      <c r="L7057" s="8"/>
    </row>
    <row r="7058" spans="7:12" x14ac:dyDescent="0.2">
      <c r="G7058" s="45"/>
      <c r="L7058" s="8"/>
    </row>
    <row r="7059" spans="7:12" x14ac:dyDescent="0.2">
      <c r="G7059" s="45"/>
      <c r="L7059" s="8"/>
    </row>
    <row r="7060" spans="7:12" x14ac:dyDescent="0.2">
      <c r="G7060" s="45"/>
      <c r="L7060" s="8"/>
    </row>
    <row r="7061" spans="7:12" x14ac:dyDescent="0.2">
      <c r="G7061" s="45"/>
      <c r="L7061" s="8"/>
    </row>
    <row r="7062" spans="7:12" x14ac:dyDescent="0.2">
      <c r="G7062" s="45"/>
      <c r="L7062" s="8"/>
    </row>
    <row r="7063" spans="7:12" x14ac:dyDescent="0.2">
      <c r="G7063" s="45"/>
      <c r="L7063" s="8"/>
    </row>
    <row r="7064" spans="7:12" x14ac:dyDescent="0.2">
      <c r="G7064" s="45"/>
      <c r="L7064" s="8"/>
    </row>
    <row r="7065" spans="7:12" x14ac:dyDescent="0.2">
      <c r="G7065" s="45"/>
      <c r="L7065" s="8"/>
    </row>
    <row r="7066" spans="7:12" x14ac:dyDescent="0.2">
      <c r="G7066" s="45"/>
      <c r="L7066" s="8"/>
    </row>
    <row r="7067" spans="7:12" x14ac:dyDescent="0.2">
      <c r="G7067" s="45"/>
      <c r="L7067" s="8"/>
    </row>
    <row r="7068" spans="7:12" x14ac:dyDescent="0.2">
      <c r="G7068" s="45"/>
      <c r="L7068" s="8"/>
    </row>
    <row r="7069" spans="7:12" x14ac:dyDescent="0.2">
      <c r="G7069" s="45"/>
      <c r="L7069" s="8"/>
    </row>
    <row r="7070" spans="7:12" x14ac:dyDescent="0.2">
      <c r="G7070" s="45"/>
      <c r="L7070" s="8"/>
    </row>
    <row r="7071" spans="7:12" x14ac:dyDescent="0.2">
      <c r="G7071" s="45"/>
      <c r="L7071" s="8"/>
    </row>
    <row r="7072" spans="7:12" x14ac:dyDescent="0.2">
      <c r="G7072" s="45"/>
      <c r="L7072" s="8"/>
    </row>
    <row r="7073" spans="7:12" x14ac:dyDescent="0.2">
      <c r="G7073" s="45"/>
      <c r="L7073" s="8"/>
    </row>
    <row r="7074" spans="7:12" x14ac:dyDescent="0.2">
      <c r="G7074" s="45"/>
      <c r="L7074" s="8"/>
    </row>
    <row r="7075" spans="7:12" x14ac:dyDescent="0.2">
      <c r="G7075" s="45"/>
      <c r="L7075" s="8"/>
    </row>
    <row r="7076" spans="7:12" x14ac:dyDescent="0.2">
      <c r="G7076" s="45"/>
      <c r="L7076" s="8"/>
    </row>
    <row r="7077" spans="7:12" x14ac:dyDescent="0.2">
      <c r="G7077" s="45"/>
      <c r="L7077" s="8"/>
    </row>
    <row r="7078" spans="7:12" x14ac:dyDescent="0.2">
      <c r="G7078" s="45"/>
      <c r="L7078" s="8"/>
    </row>
    <row r="7079" spans="7:12" x14ac:dyDescent="0.2">
      <c r="G7079" s="45"/>
      <c r="L7079" s="8"/>
    </row>
    <row r="7080" spans="7:12" x14ac:dyDescent="0.2">
      <c r="G7080" s="45"/>
      <c r="L7080" s="8"/>
    </row>
    <row r="7081" spans="7:12" x14ac:dyDescent="0.2">
      <c r="G7081" s="45"/>
      <c r="L7081" s="8"/>
    </row>
    <row r="7082" spans="7:12" x14ac:dyDescent="0.2">
      <c r="G7082" s="45"/>
      <c r="L7082" s="8"/>
    </row>
    <row r="7083" spans="7:12" x14ac:dyDescent="0.2">
      <c r="G7083" s="45"/>
      <c r="L7083" s="8"/>
    </row>
    <row r="7084" spans="7:12" x14ac:dyDescent="0.2">
      <c r="G7084" s="45"/>
      <c r="L7084" s="8"/>
    </row>
    <row r="7085" spans="7:12" x14ac:dyDescent="0.2">
      <c r="G7085" s="45"/>
      <c r="L7085" s="8"/>
    </row>
    <row r="7086" spans="7:12" x14ac:dyDescent="0.2">
      <c r="G7086" s="45"/>
      <c r="L7086" s="8"/>
    </row>
    <row r="7087" spans="7:12" x14ac:dyDescent="0.2">
      <c r="G7087" s="45"/>
      <c r="L7087" s="8"/>
    </row>
    <row r="7088" spans="7:12" x14ac:dyDescent="0.2">
      <c r="G7088" s="45"/>
      <c r="L7088" s="8"/>
    </row>
    <row r="7089" spans="7:12" x14ac:dyDescent="0.2">
      <c r="G7089" s="45"/>
      <c r="L7089" s="8"/>
    </row>
    <row r="7090" spans="7:12" x14ac:dyDescent="0.2">
      <c r="G7090" s="45"/>
      <c r="L7090" s="8"/>
    </row>
    <row r="7091" spans="7:12" x14ac:dyDescent="0.2">
      <c r="G7091" s="45"/>
      <c r="L7091" s="8"/>
    </row>
    <row r="7092" spans="7:12" x14ac:dyDescent="0.2">
      <c r="G7092" s="45"/>
      <c r="L7092" s="8"/>
    </row>
    <row r="7093" spans="7:12" x14ac:dyDescent="0.2">
      <c r="G7093" s="45"/>
      <c r="L7093" s="8"/>
    </row>
    <row r="7094" spans="7:12" x14ac:dyDescent="0.2">
      <c r="G7094" s="45"/>
      <c r="L7094" s="8"/>
    </row>
    <row r="7095" spans="7:12" x14ac:dyDescent="0.2">
      <c r="G7095" s="45"/>
      <c r="L7095" s="8"/>
    </row>
    <row r="7096" spans="7:12" x14ac:dyDescent="0.2">
      <c r="G7096" s="45"/>
      <c r="L7096" s="8"/>
    </row>
    <row r="7097" spans="7:12" x14ac:dyDescent="0.2">
      <c r="G7097" s="45"/>
      <c r="L7097" s="8"/>
    </row>
    <row r="7098" spans="7:12" x14ac:dyDescent="0.2">
      <c r="G7098" s="45"/>
      <c r="L7098" s="8"/>
    </row>
    <row r="7099" spans="7:12" x14ac:dyDescent="0.2">
      <c r="G7099" s="45"/>
      <c r="L7099" s="8"/>
    </row>
    <row r="7100" spans="7:12" x14ac:dyDescent="0.2">
      <c r="G7100" s="45"/>
      <c r="L7100" s="8"/>
    </row>
    <row r="7101" spans="7:12" x14ac:dyDescent="0.2">
      <c r="G7101" s="45"/>
      <c r="L7101" s="8"/>
    </row>
    <row r="7102" spans="7:12" x14ac:dyDescent="0.2">
      <c r="G7102" s="45"/>
      <c r="L7102" s="8"/>
    </row>
    <row r="7103" spans="7:12" x14ac:dyDescent="0.2">
      <c r="G7103" s="45"/>
      <c r="L7103" s="8"/>
    </row>
    <row r="7104" spans="7:12" x14ac:dyDescent="0.2">
      <c r="G7104" s="45"/>
      <c r="L7104" s="8"/>
    </row>
    <row r="7105" spans="7:12" x14ac:dyDescent="0.2">
      <c r="G7105" s="45"/>
      <c r="L7105" s="8"/>
    </row>
    <row r="7106" spans="7:12" x14ac:dyDescent="0.2">
      <c r="G7106" s="45"/>
      <c r="L7106" s="8"/>
    </row>
    <row r="7107" spans="7:12" x14ac:dyDescent="0.2">
      <c r="G7107" s="45"/>
      <c r="L7107" s="8"/>
    </row>
    <row r="7108" spans="7:12" x14ac:dyDescent="0.2">
      <c r="G7108" s="45"/>
      <c r="L7108" s="8"/>
    </row>
    <row r="7109" spans="7:12" x14ac:dyDescent="0.2">
      <c r="G7109" s="45"/>
      <c r="L7109" s="8"/>
    </row>
    <row r="7110" spans="7:12" x14ac:dyDescent="0.2">
      <c r="G7110" s="45"/>
      <c r="L7110" s="8"/>
    </row>
    <row r="7111" spans="7:12" x14ac:dyDescent="0.2">
      <c r="G7111" s="45"/>
      <c r="L7111" s="8"/>
    </row>
    <row r="7112" spans="7:12" x14ac:dyDescent="0.2">
      <c r="G7112" s="45"/>
      <c r="L7112" s="8"/>
    </row>
    <row r="7113" spans="7:12" x14ac:dyDescent="0.2">
      <c r="G7113" s="45"/>
      <c r="L7113" s="8"/>
    </row>
    <row r="7114" spans="7:12" x14ac:dyDescent="0.2">
      <c r="G7114" s="45"/>
      <c r="L7114" s="8"/>
    </row>
    <row r="7115" spans="7:12" x14ac:dyDescent="0.2">
      <c r="G7115" s="45"/>
      <c r="L7115" s="8"/>
    </row>
    <row r="7116" spans="7:12" x14ac:dyDescent="0.2">
      <c r="G7116" s="45"/>
      <c r="L7116" s="8"/>
    </row>
    <row r="7117" spans="7:12" x14ac:dyDescent="0.2">
      <c r="G7117" s="45"/>
      <c r="L7117" s="8"/>
    </row>
    <row r="7118" spans="7:12" x14ac:dyDescent="0.2">
      <c r="G7118" s="45"/>
      <c r="L7118" s="8"/>
    </row>
    <row r="7119" spans="7:12" x14ac:dyDescent="0.2">
      <c r="G7119" s="45"/>
      <c r="L7119" s="8"/>
    </row>
    <row r="7120" spans="7:12" x14ac:dyDescent="0.2">
      <c r="G7120" s="45"/>
      <c r="L7120" s="8"/>
    </row>
    <row r="7121" spans="7:12" x14ac:dyDescent="0.2">
      <c r="G7121" s="45"/>
      <c r="L7121" s="8"/>
    </row>
    <row r="7122" spans="7:12" x14ac:dyDescent="0.2">
      <c r="G7122" s="45"/>
      <c r="L7122" s="8"/>
    </row>
    <row r="7123" spans="7:12" x14ac:dyDescent="0.2">
      <c r="G7123" s="45"/>
      <c r="L7123" s="8"/>
    </row>
    <row r="7124" spans="7:12" x14ac:dyDescent="0.2">
      <c r="G7124" s="45"/>
      <c r="L7124" s="8"/>
    </row>
    <row r="7125" spans="7:12" x14ac:dyDescent="0.2">
      <c r="G7125" s="45"/>
      <c r="L7125" s="8"/>
    </row>
    <row r="7126" spans="7:12" x14ac:dyDescent="0.2">
      <c r="G7126" s="45"/>
      <c r="L7126" s="8"/>
    </row>
    <row r="7127" spans="7:12" x14ac:dyDescent="0.2">
      <c r="G7127" s="45"/>
      <c r="L7127" s="8"/>
    </row>
    <row r="7128" spans="7:12" x14ac:dyDescent="0.2">
      <c r="G7128" s="45"/>
      <c r="L7128" s="8"/>
    </row>
    <row r="7129" spans="7:12" x14ac:dyDescent="0.2">
      <c r="G7129" s="45"/>
      <c r="L7129" s="8"/>
    </row>
    <row r="7130" spans="7:12" x14ac:dyDescent="0.2">
      <c r="G7130" s="45"/>
      <c r="L7130" s="8"/>
    </row>
    <row r="7131" spans="7:12" x14ac:dyDescent="0.2">
      <c r="G7131" s="45"/>
      <c r="L7131" s="8"/>
    </row>
    <row r="7132" spans="7:12" x14ac:dyDescent="0.2">
      <c r="G7132" s="45"/>
      <c r="L7132" s="8"/>
    </row>
    <row r="7133" spans="7:12" x14ac:dyDescent="0.2">
      <c r="G7133" s="45"/>
      <c r="L7133" s="8"/>
    </row>
    <row r="7134" spans="7:12" x14ac:dyDescent="0.2">
      <c r="G7134" s="45"/>
      <c r="L7134" s="8"/>
    </row>
    <row r="7135" spans="7:12" x14ac:dyDescent="0.2">
      <c r="G7135" s="45"/>
      <c r="L7135" s="8"/>
    </row>
    <row r="7136" spans="7:12" x14ac:dyDescent="0.2">
      <c r="G7136" s="45"/>
      <c r="L7136" s="8"/>
    </row>
    <row r="7137" spans="7:12" x14ac:dyDescent="0.2">
      <c r="G7137" s="45"/>
      <c r="L7137" s="8"/>
    </row>
    <row r="7138" spans="7:12" x14ac:dyDescent="0.2">
      <c r="G7138" s="45"/>
      <c r="L7138" s="8"/>
    </row>
    <row r="7139" spans="7:12" x14ac:dyDescent="0.2">
      <c r="G7139" s="45"/>
      <c r="L7139" s="8"/>
    </row>
    <row r="7140" spans="7:12" x14ac:dyDescent="0.2">
      <c r="G7140" s="45"/>
      <c r="L7140" s="8"/>
    </row>
    <row r="7141" spans="7:12" x14ac:dyDescent="0.2">
      <c r="G7141" s="45"/>
      <c r="L7141" s="8"/>
    </row>
    <row r="7142" spans="7:12" x14ac:dyDescent="0.2">
      <c r="G7142" s="45"/>
      <c r="L7142" s="8"/>
    </row>
    <row r="7143" spans="7:12" x14ac:dyDescent="0.2">
      <c r="G7143" s="45"/>
      <c r="L7143" s="8"/>
    </row>
    <row r="7144" spans="7:12" x14ac:dyDescent="0.2">
      <c r="G7144" s="45"/>
      <c r="L7144" s="8"/>
    </row>
    <row r="7145" spans="7:12" x14ac:dyDescent="0.2">
      <c r="G7145" s="45"/>
      <c r="L7145" s="8"/>
    </row>
    <row r="7146" spans="7:12" x14ac:dyDescent="0.2">
      <c r="G7146" s="45"/>
      <c r="L7146" s="8"/>
    </row>
    <row r="7147" spans="7:12" x14ac:dyDescent="0.2">
      <c r="G7147" s="45"/>
      <c r="L7147" s="8"/>
    </row>
    <row r="7148" spans="7:12" x14ac:dyDescent="0.2">
      <c r="G7148" s="45"/>
      <c r="L7148" s="8"/>
    </row>
    <row r="7149" spans="7:12" x14ac:dyDescent="0.2">
      <c r="G7149" s="45"/>
      <c r="L7149" s="8"/>
    </row>
    <row r="7150" spans="7:12" x14ac:dyDescent="0.2">
      <c r="G7150" s="45"/>
      <c r="L7150" s="8"/>
    </row>
    <row r="7151" spans="7:12" x14ac:dyDescent="0.2">
      <c r="G7151" s="45"/>
      <c r="L7151" s="8"/>
    </row>
    <row r="7152" spans="7:12" x14ac:dyDescent="0.2">
      <c r="G7152" s="45"/>
      <c r="L7152" s="8"/>
    </row>
    <row r="7153" spans="7:12" x14ac:dyDescent="0.2">
      <c r="G7153" s="45"/>
      <c r="L7153" s="8"/>
    </row>
    <row r="7154" spans="7:12" x14ac:dyDescent="0.2">
      <c r="G7154" s="45"/>
      <c r="L7154" s="8"/>
    </row>
    <row r="7155" spans="7:12" x14ac:dyDescent="0.2">
      <c r="G7155" s="45"/>
      <c r="L7155" s="8"/>
    </row>
    <row r="7156" spans="7:12" x14ac:dyDescent="0.2">
      <c r="G7156" s="45"/>
      <c r="L7156" s="8"/>
    </row>
    <row r="7157" spans="7:12" x14ac:dyDescent="0.2">
      <c r="G7157" s="45"/>
      <c r="L7157" s="8"/>
    </row>
    <row r="7158" spans="7:12" x14ac:dyDescent="0.2">
      <c r="G7158" s="45"/>
      <c r="L7158" s="8"/>
    </row>
    <row r="7159" spans="7:12" x14ac:dyDescent="0.2">
      <c r="G7159" s="45"/>
      <c r="L7159" s="8"/>
    </row>
    <row r="7160" spans="7:12" x14ac:dyDescent="0.2">
      <c r="G7160" s="45"/>
      <c r="L7160" s="8"/>
    </row>
    <row r="7161" spans="7:12" x14ac:dyDescent="0.2">
      <c r="G7161" s="45"/>
      <c r="L7161" s="8"/>
    </row>
    <row r="7162" spans="7:12" x14ac:dyDescent="0.2">
      <c r="G7162" s="45"/>
      <c r="L7162" s="8"/>
    </row>
    <row r="7163" spans="7:12" x14ac:dyDescent="0.2">
      <c r="G7163" s="45"/>
      <c r="L7163" s="8"/>
    </row>
    <row r="7164" spans="7:12" x14ac:dyDescent="0.2">
      <c r="G7164" s="45"/>
      <c r="L7164" s="8"/>
    </row>
    <row r="7165" spans="7:12" x14ac:dyDescent="0.2">
      <c r="G7165" s="45"/>
      <c r="L7165" s="8"/>
    </row>
    <row r="7166" spans="7:12" x14ac:dyDescent="0.2">
      <c r="G7166" s="45"/>
      <c r="L7166" s="8"/>
    </row>
    <row r="7167" spans="7:12" x14ac:dyDescent="0.2">
      <c r="G7167" s="45"/>
      <c r="L7167" s="8"/>
    </row>
    <row r="7168" spans="7:12" x14ac:dyDescent="0.2">
      <c r="G7168" s="45"/>
      <c r="L7168" s="8"/>
    </row>
    <row r="7169" spans="7:12" x14ac:dyDescent="0.2">
      <c r="G7169" s="45"/>
      <c r="L7169" s="8"/>
    </row>
    <row r="7170" spans="7:12" x14ac:dyDescent="0.2">
      <c r="G7170" s="45"/>
      <c r="L7170" s="8"/>
    </row>
    <row r="7171" spans="7:12" x14ac:dyDescent="0.2">
      <c r="G7171" s="45"/>
      <c r="L7171" s="8"/>
    </row>
    <row r="7172" spans="7:12" x14ac:dyDescent="0.2">
      <c r="G7172" s="45"/>
      <c r="L7172" s="8"/>
    </row>
    <row r="7173" spans="7:12" x14ac:dyDescent="0.2">
      <c r="G7173" s="45"/>
      <c r="L7173" s="8"/>
    </row>
    <row r="7174" spans="7:12" x14ac:dyDescent="0.2">
      <c r="G7174" s="45"/>
      <c r="L7174" s="8"/>
    </row>
    <row r="7175" spans="7:12" x14ac:dyDescent="0.2">
      <c r="G7175" s="45"/>
      <c r="L7175" s="8"/>
    </row>
    <row r="7176" spans="7:12" x14ac:dyDescent="0.2">
      <c r="G7176" s="45"/>
      <c r="L7176" s="8"/>
    </row>
    <row r="7177" spans="7:12" x14ac:dyDescent="0.2">
      <c r="G7177" s="45"/>
      <c r="L7177" s="8"/>
    </row>
    <row r="7178" spans="7:12" x14ac:dyDescent="0.2">
      <c r="G7178" s="45"/>
      <c r="L7178" s="8"/>
    </row>
    <row r="7179" spans="7:12" x14ac:dyDescent="0.2">
      <c r="G7179" s="45"/>
      <c r="L7179" s="8"/>
    </row>
    <row r="7180" spans="7:12" x14ac:dyDescent="0.2">
      <c r="G7180" s="45"/>
      <c r="L7180" s="8"/>
    </row>
    <row r="7181" spans="7:12" x14ac:dyDescent="0.2">
      <c r="G7181" s="45"/>
      <c r="L7181" s="8"/>
    </row>
    <row r="7182" spans="7:12" x14ac:dyDescent="0.2">
      <c r="G7182" s="45"/>
      <c r="L7182" s="8"/>
    </row>
    <row r="7183" spans="7:12" x14ac:dyDescent="0.2">
      <c r="G7183" s="45"/>
      <c r="L7183" s="8"/>
    </row>
    <row r="7184" spans="7:12" x14ac:dyDescent="0.2">
      <c r="G7184" s="45"/>
      <c r="L7184" s="8"/>
    </row>
    <row r="7185" spans="7:12" x14ac:dyDescent="0.2">
      <c r="G7185" s="45"/>
      <c r="L7185" s="8"/>
    </row>
    <row r="7186" spans="7:12" x14ac:dyDescent="0.2">
      <c r="G7186" s="45"/>
      <c r="L7186" s="8"/>
    </row>
    <row r="7187" spans="7:12" x14ac:dyDescent="0.2">
      <c r="G7187" s="45"/>
      <c r="L7187" s="8"/>
    </row>
    <row r="7188" spans="7:12" x14ac:dyDescent="0.2">
      <c r="G7188" s="45"/>
      <c r="L7188" s="8"/>
    </row>
    <row r="7189" spans="7:12" x14ac:dyDescent="0.2">
      <c r="G7189" s="45"/>
      <c r="L7189" s="8"/>
    </row>
    <row r="7190" spans="7:12" x14ac:dyDescent="0.2">
      <c r="G7190" s="45"/>
      <c r="L7190" s="8"/>
    </row>
    <row r="7191" spans="7:12" x14ac:dyDescent="0.2">
      <c r="G7191" s="45"/>
      <c r="L7191" s="8"/>
    </row>
    <row r="7192" spans="7:12" x14ac:dyDescent="0.2">
      <c r="G7192" s="45"/>
      <c r="L7192" s="8"/>
    </row>
    <row r="7193" spans="7:12" x14ac:dyDescent="0.2">
      <c r="G7193" s="45"/>
      <c r="L7193" s="8"/>
    </row>
    <row r="7194" spans="7:12" x14ac:dyDescent="0.2">
      <c r="G7194" s="45"/>
      <c r="L7194" s="8"/>
    </row>
    <row r="7195" spans="7:12" x14ac:dyDescent="0.2">
      <c r="G7195" s="45"/>
      <c r="L7195" s="8"/>
    </row>
    <row r="7196" spans="7:12" x14ac:dyDescent="0.2">
      <c r="G7196" s="45"/>
      <c r="L7196" s="8"/>
    </row>
    <row r="7197" spans="7:12" x14ac:dyDescent="0.2">
      <c r="G7197" s="45"/>
      <c r="L7197" s="8"/>
    </row>
    <row r="7198" spans="7:12" x14ac:dyDescent="0.2">
      <c r="G7198" s="45"/>
      <c r="L7198" s="8"/>
    </row>
    <row r="7199" spans="7:12" x14ac:dyDescent="0.2">
      <c r="G7199" s="45"/>
      <c r="L7199" s="8"/>
    </row>
    <row r="7200" spans="7:12" x14ac:dyDescent="0.2">
      <c r="G7200" s="45"/>
      <c r="L7200" s="8"/>
    </row>
    <row r="7201" spans="7:12" x14ac:dyDescent="0.2">
      <c r="G7201" s="45"/>
      <c r="L7201" s="8"/>
    </row>
    <row r="7202" spans="7:12" x14ac:dyDescent="0.2">
      <c r="G7202" s="45"/>
      <c r="L7202" s="8"/>
    </row>
    <row r="7203" spans="7:12" x14ac:dyDescent="0.2">
      <c r="G7203" s="45"/>
      <c r="L7203" s="8"/>
    </row>
    <row r="7204" spans="7:12" x14ac:dyDescent="0.2">
      <c r="G7204" s="45"/>
      <c r="L7204" s="8"/>
    </row>
    <row r="7205" spans="7:12" x14ac:dyDescent="0.2">
      <c r="G7205" s="45"/>
      <c r="L7205" s="8"/>
    </row>
    <row r="7206" spans="7:12" x14ac:dyDescent="0.2">
      <c r="G7206" s="45"/>
      <c r="L7206" s="8"/>
    </row>
    <row r="7207" spans="7:12" x14ac:dyDescent="0.2">
      <c r="G7207" s="45"/>
      <c r="L7207" s="8"/>
    </row>
    <row r="7208" spans="7:12" x14ac:dyDescent="0.2">
      <c r="G7208" s="45"/>
      <c r="L7208" s="8"/>
    </row>
    <row r="7209" spans="7:12" x14ac:dyDescent="0.2">
      <c r="G7209" s="45"/>
      <c r="L7209" s="8"/>
    </row>
    <row r="7210" spans="7:12" x14ac:dyDescent="0.2">
      <c r="G7210" s="45"/>
      <c r="L7210" s="8"/>
    </row>
    <row r="7211" spans="7:12" x14ac:dyDescent="0.2">
      <c r="G7211" s="45"/>
      <c r="L7211" s="8"/>
    </row>
    <row r="7212" spans="7:12" x14ac:dyDescent="0.2">
      <c r="G7212" s="45"/>
      <c r="L7212" s="8"/>
    </row>
    <row r="7213" spans="7:12" x14ac:dyDescent="0.2">
      <c r="G7213" s="45"/>
      <c r="L7213" s="8"/>
    </row>
    <row r="7214" spans="7:12" x14ac:dyDescent="0.2">
      <c r="G7214" s="45"/>
      <c r="L7214" s="8"/>
    </row>
    <row r="7215" spans="7:12" x14ac:dyDescent="0.2">
      <c r="G7215" s="45"/>
      <c r="L7215" s="8"/>
    </row>
    <row r="7216" spans="7:12" x14ac:dyDescent="0.2">
      <c r="G7216" s="45"/>
      <c r="L7216" s="8"/>
    </row>
    <row r="7217" spans="7:12" x14ac:dyDescent="0.2">
      <c r="G7217" s="45"/>
      <c r="L7217" s="8"/>
    </row>
    <row r="7218" spans="7:12" x14ac:dyDescent="0.2">
      <c r="G7218" s="45"/>
      <c r="L7218" s="8"/>
    </row>
    <row r="7219" spans="7:12" x14ac:dyDescent="0.2">
      <c r="G7219" s="45"/>
      <c r="L7219" s="8"/>
    </row>
    <row r="7220" spans="7:12" x14ac:dyDescent="0.2">
      <c r="G7220" s="45"/>
      <c r="L7220" s="8"/>
    </row>
    <row r="7221" spans="7:12" x14ac:dyDescent="0.2">
      <c r="G7221" s="45"/>
      <c r="L7221" s="8"/>
    </row>
    <row r="7222" spans="7:12" x14ac:dyDescent="0.2">
      <c r="G7222" s="45"/>
      <c r="L7222" s="8"/>
    </row>
    <row r="7223" spans="7:12" x14ac:dyDescent="0.2">
      <c r="G7223" s="45"/>
      <c r="L7223" s="8"/>
    </row>
    <row r="7224" spans="7:12" x14ac:dyDescent="0.2">
      <c r="G7224" s="45"/>
      <c r="L7224" s="8"/>
    </row>
    <row r="7225" spans="7:12" x14ac:dyDescent="0.2">
      <c r="G7225" s="45"/>
      <c r="L7225" s="8"/>
    </row>
    <row r="7226" spans="7:12" x14ac:dyDescent="0.2">
      <c r="G7226" s="45"/>
      <c r="L7226" s="8"/>
    </row>
    <row r="7227" spans="7:12" x14ac:dyDescent="0.2">
      <c r="G7227" s="45"/>
      <c r="L7227" s="8"/>
    </row>
    <row r="7228" spans="7:12" x14ac:dyDescent="0.2">
      <c r="G7228" s="45"/>
      <c r="L7228" s="8"/>
    </row>
    <row r="7229" spans="7:12" x14ac:dyDescent="0.2">
      <c r="G7229" s="45"/>
      <c r="L7229" s="8"/>
    </row>
    <row r="7230" spans="7:12" x14ac:dyDescent="0.2">
      <c r="G7230" s="45"/>
      <c r="L7230" s="8"/>
    </row>
    <row r="7231" spans="7:12" x14ac:dyDescent="0.2">
      <c r="G7231" s="45"/>
      <c r="L7231" s="8"/>
    </row>
    <row r="7232" spans="7:12" x14ac:dyDescent="0.2">
      <c r="G7232" s="45"/>
      <c r="L7232" s="8"/>
    </row>
    <row r="7233" spans="7:12" x14ac:dyDescent="0.2">
      <c r="G7233" s="45"/>
      <c r="L7233" s="8"/>
    </row>
    <row r="7234" spans="7:12" x14ac:dyDescent="0.2">
      <c r="G7234" s="45"/>
      <c r="L7234" s="8"/>
    </row>
    <row r="7235" spans="7:12" x14ac:dyDescent="0.2">
      <c r="G7235" s="45"/>
      <c r="L7235" s="8"/>
    </row>
    <row r="7236" spans="7:12" x14ac:dyDescent="0.2">
      <c r="G7236" s="45"/>
      <c r="L7236" s="8"/>
    </row>
    <row r="7237" spans="7:12" x14ac:dyDescent="0.2">
      <c r="G7237" s="45"/>
      <c r="L7237" s="8"/>
    </row>
    <row r="7238" spans="7:12" x14ac:dyDescent="0.2">
      <c r="G7238" s="45"/>
      <c r="L7238" s="8"/>
    </row>
    <row r="7239" spans="7:12" x14ac:dyDescent="0.2">
      <c r="G7239" s="45"/>
      <c r="L7239" s="8"/>
    </row>
    <row r="7240" spans="7:12" x14ac:dyDescent="0.2">
      <c r="G7240" s="45"/>
      <c r="L7240" s="8"/>
    </row>
    <row r="7241" spans="7:12" x14ac:dyDescent="0.2">
      <c r="G7241" s="45"/>
      <c r="L7241" s="8"/>
    </row>
    <row r="7242" spans="7:12" x14ac:dyDescent="0.2">
      <c r="G7242" s="45"/>
      <c r="L7242" s="8"/>
    </row>
    <row r="7243" spans="7:12" x14ac:dyDescent="0.2">
      <c r="G7243" s="45"/>
      <c r="L7243" s="8"/>
    </row>
    <row r="7244" spans="7:12" x14ac:dyDescent="0.2">
      <c r="G7244" s="45"/>
      <c r="L7244" s="8"/>
    </row>
    <row r="7245" spans="7:12" x14ac:dyDescent="0.2">
      <c r="G7245" s="45"/>
      <c r="L7245" s="8"/>
    </row>
    <row r="7246" spans="7:12" x14ac:dyDescent="0.2">
      <c r="G7246" s="45"/>
      <c r="L7246" s="8"/>
    </row>
    <row r="7247" spans="7:12" x14ac:dyDescent="0.2">
      <c r="G7247" s="45"/>
      <c r="L7247" s="8"/>
    </row>
    <row r="7248" spans="7:12" x14ac:dyDescent="0.2">
      <c r="G7248" s="45"/>
      <c r="L7248" s="8"/>
    </row>
    <row r="7249" spans="7:12" x14ac:dyDescent="0.2">
      <c r="G7249" s="45"/>
      <c r="L7249" s="8"/>
    </row>
    <row r="7250" spans="7:12" x14ac:dyDescent="0.2">
      <c r="G7250" s="45"/>
      <c r="L7250" s="8"/>
    </row>
    <row r="7251" spans="7:12" x14ac:dyDescent="0.2">
      <c r="G7251" s="45"/>
      <c r="L7251" s="8"/>
    </row>
    <row r="7252" spans="7:12" x14ac:dyDescent="0.2">
      <c r="G7252" s="45"/>
      <c r="L7252" s="8"/>
    </row>
    <row r="7253" spans="7:12" x14ac:dyDescent="0.2">
      <c r="G7253" s="45"/>
      <c r="L7253" s="8"/>
    </row>
    <row r="7254" spans="7:12" x14ac:dyDescent="0.2">
      <c r="G7254" s="45"/>
      <c r="L7254" s="8"/>
    </row>
    <row r="7255" spans="7:12" x14ac:dyDescent="0.2">
      <c r="G7255" s="45"/>
      <c r="L7255" s="8"/>
    </row>
    <row r="7256" spans="7:12" x14ac:dyDescent="0.2">
      <c r="G7256" s="45"/>
      <c r="L7256" s="8"/>
    </row>
    <row r="7257" spans="7:12" x14ac:dyDescent="0.2">
      <c r="G7257" s="45"/>
      <c r="L7257" s="8"/>
    </row>
    <row r="7258" spans="7:12" x14ac:dyDescent="0.2">
      <c r="G7258" s="45"/>
      <c r="L7258" s="8"/>
    </row>
    <row r="7259" spans="7:12" x14ac:dyDescent="0.2">
      <c r="G7259" s="45"/>
      <c r="L7259" s="8"/>
    </row>
    <row r="7260" spans="7:12" x14ac:dyDescent="0.2">
      <c r="G7260" s="45"/>
      <c r="L7260" s="8"/>
    </row>
    <row r="7261" spans="7:12" x14ac:dyDescent="0.2">
      <c r="G7261" s="45"/>
      <c r="L7261" s="8"/>
    </row>
    <row r="7262" spans="7:12" x14ac:dyDescent="0.2">
      <c r="G7262" s="45"/>
      <c r="L7262" s="8"/>
    </row>
    <row r="7263" spans="7:12" x14ac:dyDescent="0.2">
      <c r="G7263" s="45"/>
      <c r="L7263" s="8"/>
    </row>
    <row r="7264" spans="7:12" x14ac:dyDescent="0.2">
      <c r="G7264" s="45"/>
      <c r="L7264" s="8"/>
    </row>
    <row r="7265" spans="7:12" x14ac:dyDescent="0.2">
      <c r="G7265" s="45"/>
      <c r="L7265" s="8"/>
    </row>
    <row r="7266" spans="7:12" x14ac:dyDescent="0.2">
      <c r="G7266" s="45"/>
      <c r="L7266" s="8"/>
    </row>
    <row r="7267" spans="7:12" x14ac:dyDescent="0.2">
      <c r="G7267" s="45"/>
      <c r="L7267" s="8"/>
    </row>
    <row r="7268" spans="7:12" x14ac:dyDescent="0.2">
      <c r="G7268" s="45"/>
      <c r="L7268" s="8"/>
    </row>
    <row r="7269" spans="7:12" x14ac:dyDescent="0.2">
      <c r="G7269" s="45"/>
      <c r="L7269" s="8"/>
    </row>
    <row r="7270" spans="7:12" x14ac:dyDescent="0.2">
      <c r="G7270" s="45"/>
      <c r="L7270" s="8"/>
    </row>
    <row r="7271" spans="7:12" x14ac:dyDescent="0.2">
      <c r="G7271" s="45"/>
      <c r="L7271" s="8"/>
    </row>
    <row r="7272" spans="7:12" x14ac:dyDescent="0.2">
      <c r="G7272" s="45"/>
      <c r="L7272" s="8"/>
    </row>
    <row r="7273" spans="7:12" x14ac:dyDescent="0.2">
      <c r="G7273" s="45"/>
      <c r="L7273" s="8"/>
    </row>
    <row r="7274" spans="7:12" x14ac:dyDescent="0.2">
      <c r="G7274" s="45"/>
      <c r="L7274" s="8"/>
    </row>
    <row r="7275" spans="7:12" x14ac:dyDescent="0.2">
      <c r="G7275" s="45"/>
      <c r="L7275" s="8"/>
    </row>
    <row r="7276" spans="7:12" x14ac:dyDescent="0.2">
      <c r="G7276" s="45"/>
      <c r="L7276" s="8"/>
    </row>
    <row r="7277" spans="7:12" x14ac:dyDescent="0.2">
      <c r="G7277" s="45"/>
      <c r="L7277" s="8"/>
    </row>
    <row r="7278" spans="7:12" x14ac:dyDescent="0.2">
      <c r="G7278" s="45"/>
      <c r="L7278" s="8"/>
    </row>
    <row r="7279" spans="7:12" x14ac:dyDescent="0.2">
      <c r="G7279" s="45"/>
      <c r="L7279" s="8"/>
    </row>
    <row r="7280" spans="7:12" x14ac:dyDescent="0.2">
      <c r="G7280" s="45"/>
      <c r="L7280" s="8"/>
    </row>
    <row r="7281" spans="7:12" x14ac:dyDescent="0.2">
      <c r="G7281" s="45"/>
      <c r="L7281" s="8"/>
    </row>
    <row r="7282" spans="7:12" x14ac:dyDescent="0.2">
      <c r="G7282" s="45"/>
      <c r="L7282" s="8"/>
    </row>
    <row r="7283" spans="7:12" x14ac:dyDescent="0.2">
      <c r="G7283" s="45"/>
      <c r="L7283" s="8"/>
    </row>
    <row r="7284" spans="7:12" x14ac:dyDescent="0.2">
      <c r="G7284" s="45"/>
      <c r="L7284" s="8"/>
    </row>
    <row r="7285" spans="7:12" x14ac:dyDescent="0.2">
      <c r="G7285" s="45"/>
      <c r="L7285" s="8"/>
    </row>
    <row r="7286" spans="7:12" x14ac:dyDescent="0.2">
      <c r="G7286" s="45"/>
      <c r="L7286" s="8"/>
    </row>
    <row r="7287" spans="7:12" x14ac:dyDescent="0.2">
      <c r="G7287" s="45"/>
      <c r="L7287" s="8"/>
    </row>
    <row r="7288" spans="7:12" x14ac:dyDescent="0.2">
      <c r="G7288" s="45"/>
      <c r="L7288" s="8"/>
    </row>
    <row r="7289" spans="7:12" x14ac:dyDescent="0.2">
      <c r="G7289" s="45"/>
      <c r="L7289" s="8"/>
    </row>
    <row r="7290" spans="7:12" x14ac:dyDescent="0.2">
      <c r="G7290" s="45"/>
      <c r="L7290" s="8"/>
    </row>
    <row r="7291" spans="7:12" x14ac:dyDescent="0.2">
      <c r="G7291" s="45"/>
      <c r="L7291" s="8"/>
    </row>
    <row r="7292" spans="7:12" x14ac:dyDescent="0.2">
      <c r="G7292" s="45"/>
      <c r="L7292" s="8"/>
    </row>
    <row r="7293" spans="7:12" x14ac:dyDescent="0.2">
      <c r="G7293" s="45"/>
      <c r="L7293" s="8"/>
    </row>
    <row r="7294" spans="7:12" x14ac:dyDescent="0.2">
      <c r="G7294" s="45"/>
      <c r="L7294" s="8"/>
    </row>
    <row r="7295" spans="7:12" x14ac:dyDescent="0.2">
      <c r="G7295" s="45"/>
      <c r="L7295" s="8"/>
    </row>
    <row r="7296" spans="7:12" x14ac:dyDescent="0.2">
      <c r="G7296" s="45"/>
      <c r="L7296" s="8"/>
    </row>
    <row r="7297" spans="7:12" x14ac:dyDescent="0.2">
      <c r="G7297" s="45"/>
      <c r="L7297" s="8"/>
    </row>
    <row r="7298" spans="7:12" x14ac:dyDescent="0.2">
      <c r="G7298" s="45"/>
      <c r="L7298" s="8"/>
    </row>
    <row r="7299" spans="7:12" x14ac:dyDescent="0.2">
      <c r="G7299" s="45"/>
      <c r="L7299" s="8"/>
    </row>
    <row r="7300" spans="7:12" x14ac:dyDescent="0.2">
      <c r="G7300" s="45"/>
      <c r="L7300" s="8"/>
    </row>
    <row r="7301" spans="7:12" x14ac:dyDescent="0.2">
      <c r="G7301" s="45"/>
      <c r="L7301" s="8"/>
    </row>
    <row r="7302" spans="7:12" x14ac:dyDescent="0.2">
      <c r="G7302" s="45"/>
      <c r="L7302" s="8"/>
    </row>
    <row r="7303" spans="7:12" x14ac:dyDescent="0.2">
      <c r="G7303" s="45"/>
      <c r="L7303" s="8"/>
    </row>
    <row r="7304" spans="7:12" x14ac:dyDescent="0.2">
      <c r="G7304" s="45"/>
      <c r="L7304" s="8"/>
    </row>
    <row r="7305" spans="7:12" x14ac:dyDescent="0.2">
      <c r="G7305" s="45"/>
      <c r="L7305" s="8"/>
    </row>
    <row r="7306" spans="7:12" x14ac:dyDescent="0.2">
      <c r="G7306" s="45"/>
      <c r="L7306" s="8"/>
    </row>
    <row r="7307" spans="7:12" x14ac:dyDescent="0.2">
      <c r="G7307" s="45"/>
      <c r="L7307" s="8"/>
    </row>
    <row r="7308" spans="7:12" x14ac:dyDescent="0.2">
      <c r="G7308" s="45"/>
      <c r="L7308" s="8"/>
    </row>
    <row r="7309" spans="7:12" x14ac:dyDescent="0.2">
      <c r="G7309" s="45"/>
      <c r="L7309" s="8"/>
    </row>
    <row r="7310" spans="7:12" x14ac:dyDescent="0.2">
      <c r="G7310" s="45"/>
      <c r="L7310" s="8"/>
    </row>
    <row r="7311" spans="7:12" x14ac:dyDescent="0.2">
      <c r="G7311" s="45"/>
      <c r="L7311" s="8"/>
    </row>
    <row r="7312" spans="7:12" x14ac:dyDescent="0.2">
      <c r="G7312" s="45"/>
      <c r="L7312" s="8"/>
    </row>
    <row r="7313" spans="7:12" x14ac:dyDescent="0.2">
      <c r="G7313" s="45"/>
      <c r="L7313" s="8"/>
    </row>
    <row r="7314" spans="7:12" x14ac:dyDescent="0.2">
      <c r="G7314" s="45"/>
      <c r="L7314" s="8"/>
    </row>
    <row r="7315" spans="7:12" x14ac:dyDescent="0.2">
      <c r="G7315" s="45"/>
      <c r="L7315" s="8"/>
    </row>
    <row r="7316" spans="7:12" x14ac:dyDescent="0.2">
      <c r="G7316" s="45"/>
      <c r="L7316" s="8"/>
    </row>
    <row r="7317" spans="7:12" x14ac:dyDescent="0.2">
      <c r="G7317" s="45"/>
      <c r="L7317" s="8"/>
    </row>
    <row r="7318" spans="7:12" x14ac:dyDescent="0.2">
      <c r="G7318" s="45"/>
      <c r="L7318" s="8"/>
    </row>
    <row r="7319" spans="7:12" x14ac:dyDescent="0.2">
      <c r="G7319" s="45"/>
      <c r="L7319" s="8"/>
    </row>
    <row r="7320" spans="7:12" x14ac:dyDescent="0.2">
      <c r="G7320" s="45"/>
      <c r="L7320" s="8"/>
    </row>
    <row r="7321" spans="7:12" x14ac:dyDescent="0.2">
      <c r="G7321" s="45"/>
      <c r="L7321" s="8"/>
    </row>
    <row r="7322" spans="7:12" x14ac:dyDescent="0.2">
      <c r="G7322" s="45"/>
      <c r="L7322" s="8"/>
    </row>
    <row r="7323" spans="7:12" x14ac:dyDescent="0.2">
      <c r="G7323" s="45"/>
      <c r="L7323" s="8"/>
    </row>
    <row r="7324" spans="7:12" x14ac:dyDescent="0.2">
      <c r="G7324" s="45"/>
      <c r="L7324" s="8"/>
    </row>
    <row r="7325" spans="7:12" x14ac:dyDescent="0.2">
      <c r="G7325" s="45"/>
      <c r="L7325" s="8"/>
    </row>
    <row r="7326" spans="7:12" x14ac:dyDescent="0.2">
      <c r="G7326" s="45"/>
      <c r="L7326" s="8"/>
    </row>
    <row r="7327" spans="7:12" x14ac:dyDescent="0.2">
      <c r="G7327" s="45"/>
      <c r="L7327" s="8"/>
    </row>
    <row r="7328" spans="7:12" x14ac:dyDescent="0.2">
      <c r="G7328" s="45"/>
      <c r="L7328" s="8"/>
    </row>
    <row r="7329" spans="7:12" x14ac:dyDescent="0.2">
      <c r="G7329" s="45"/>
      <c r="L7329" s="8"/>
    </row>
    <row r="7330" spans="7:12" x14ac:dyDescent="0.2">
      <c r="G7330" s="45"/>
      <c r="L7330" s="8"/>
    </row>
    <row r="7331" spans="7:12" x14ac:dyDescent="0.2">
      <c r="G7331" s="45"/>
      <c r="L7331" s="8"/>
    </row>
    <row r="7332" spans="7:12" x14ac:dyDescent="0.2">
      <c r="G7332" s="45"/>
      <c r="L7332" s="8"/>
    </row>
    <row r="7333" spans="7:12" x14ac:dyDescent="0.2">
      <c r="G7333" s="45"/>
      <c r="L7333" s="8"/>
    </row>
    <row r="7334" spans="7:12" x14ac:dyDescent="0.2">
      <c r="G7334" s="45"/>
      <c r="L7334" s="8"/>
    </row>
    <row r="7335" spans="7:12" x14ac:dyDescent="0.2">
      <c r="G7335" s="45"/>
      <c r="L7335" s="8"/>
    </row>
    <row r="7336" spans="7:12" x14ac:dyDescent="0.2">
      <c r="G7336" s="45"/>
      <c r="L7336" s="8"/>
    </row>
    <row r="7337" spans="7:12" x14ac:dyDescent="0.2">
      <c r="G7337" s="45"/>
      <c r="L7337" s="8"/>
    </row>
    <row r="7338" spans="7:12" x14ac:dyDescent="0.2">
      <c r="G7338" s="45"/>
      <c r="L7338" s="8"/>
    </row>
    <row r="7339" spans="7:12" x14ac:dyDescent="0.2">
      <c r="G7339" s="45"/>
      <c r="L7339" s="8"/>
    </row>
    <row r="7340" spans="7:12" x14ac:dyDescent="0.2">
      <c r="G7340" s="45"/>
      <c r="L7340" s="8"/>
    </row>
    <row r="7341" spans="7:12" x14ac:dyDescent="0.2">
      <c r="G7341" s="45"/>
      <c r="L7341" s="8"/>
    </row>
    <row r="7342" spans="7:12" x14ac:dyDescent="0.2">
      <c r="G7342" s="45"/>
      <c r="L7342" s="8"/>
    </row>
    <row r="7343" spans="7:12" x14ac:dyDescent="0.2">
      <c r="G7343" s="45"/>
      <c r="L7343" s="8"/>
    </row>
    <row r="7344" spans="7:12" x14ac:dyDescent="0.2">
      <c r="G7344" s="45"/>
      <c r="L7344" s="8"/>
    </row>
    <row r="7345" spans="7:12" x14ac:dyDescent="0.2">
      <c r="G7345" s="45"/>
      <c r="L7345" s="8"/>
    </row>
    <row r="7346" spans="7:12" x14ac:dyDescent="0.2">
      <c r="G7346" s="45"/>
      <c r="L7346" s="8"/>
    </row>
    <row r="7347" spans="7:12" x14ac:dyDescent="0.2">
      <c r="G7347" s="45"/>
      <c r="L7347" s="8"/>
    </row>
    <row r="7348" spans="7:12" x14ac:dyDescent="0.2">
      <c r="G7348" s="45"/>
      <c r="L7348" s="8"/>
    </row>
    <row r="7349" spans="7:12" x14ac:dyDescent="0.2">
      <c r="G7349" s="45"/>
      <c r="L7349" s="8"/>
    </row>
    <row r="7350" spans="7:12" x14ac:dyDescent="0.2">
      <c r="G7350" s="45"/>
      <c r="L7350" s="8"/>
    </row>
    <row r="7351" spans="7:12" x14ac:dyDescent="0.2">
      <c r="G7351" s="45"/>
      <c r="L7351" s="8"/>
    </row>
    <row r="7352" spans="7:12" x14ac:dyDescent="0.2">
      <c r="G7352" s="45"/>
      <c r="L7352" s="8"/>
    </row>
    <row r="7353" spans="7:12" x14ac:dyDescent="0.2">
      <c r="G7353" s="45"/>
      <c r="L7353" s="8"/>
    </row>
    <row r="7354" spans="7:12" x14ac:dyDescent="0.2">
      <c r="G7354" s="45"/>
      <c r="L7354" s="8"/>
    </row>
    <row r="7355" spans="7:12" x14ac:dyDescent="0.2">
      <c r="G7355" s="45"/>
      <c r="L7355" s="8"/>
    </row>
    <row r="7356" spans="7:12" x14ac:dyDescent="0.2">
      <c r="G7356" s="45"/>
      <c r="L7356" s="8"/>
    </row>
    <row r="7357" spans="7:12" x14ac:dyDescent="0.2">
      <c r="G7357" s="45"/>
      <c r="L7357" s="8"/>
    </row>
    <row r="7358" spans="7:12" x14ac:dyDescent="0.2">
      <c r="G7358" s="45"/>
      <c r="L7358" s="8"/>
    </row>
    <row r="7359" spans="7:12" x14ac:dyDescent="0.2">
      <c r="G7359" s="45"/>
      <c r="L7359" s="8"/>
    </row>
    <row r="7360" spans="7:12" x14ac:dyDescent="0.2">
      <c r="G7360" s="45"/>
      <c r="L7360" s="8"/>
    </row>
    <row r="7361" spans="7:12" x14ac:dyDescent="0.2">
      <c r="G7361" s="45"/>
      <c r="L7361" s="8"/>
    </row>
    <row r="7362" spans="7:12" x14ac:dyDescent="0.2">
      <c r="G7362" s="45"/>
      <c r="L7362" s="8"/>
    </row>
    <row r="7363" spans="7:12" x14ac:dyDescent="0.2">
      <c r="G7363" s="45"/>
      <c r="L7363" s="8"/>
    </row>
    <row r="7364" spans="7:12" x14ac:dyDescent="0.2">
      <c r="G7364" s="45"/>
      <c r="L7364" s="8"/>
    </row>
    <row r="7365" spans="7:12" x14ac:dyDescent="0.2">
      <c r="G7365" s="45"/>
      <c r="L7365" s="8"/>
    </row>
    <row r="7366" spans="7:12" x14ac:dyDescent="0.2">
      <c r="G7366" s="45"/>
      <c r="L7366" s="8"/>
    </row>
    <row r="7367" spans="7:12" x14ac:dyDescent="0.2">
      <c r="G7367" s="45"/>
      <c r="L7367" s="8"/>
    </row>
    <row r="7368" spans="7:12" x14ac:dyDescent="0.2">
      <c r="G7368" s="45"/>
      <c r="L7368" s="8"/>
    </row>
    <row r="7369" spans="7:12" x14ac:dyDescent="0.2">
      <c r="G7369" s="45"/>
      <c r="L7369" s="8"/>
    </row>
    <row r="7370" spans="7:12" x14ac:dyDescent="0.2">
      <c r="G7370" s="45"/>
      <c r="L7370" s="8"/>
    </row>
    <row r="7371" spans="7:12" x14ac:dyDescent="0.2">
      <c r="G7371" s="45"/>
      <c r="L7371" s="8"/>
    </row>
    <row r="7372" spans="7:12" x14ac:dyDescent="0.2">
      <c r="G7372" s="45"/>
      <c r="L7372" s="8"/>
    </row>
    <row r="7373" spans="7:12" x14ac:dyDescent="0.2">
      <c r="G7373" s="45"/>
      <c r="L7373" s="8"/>
    </row>
    <row r="7374" spans="7:12" x14ac:dyDescent="0.2">
      <c r="G7374" s="45"/>
      <c r="L7374" s="8"/>
    </row>
    <row r="7375" spans="7:12" x14ac:dyDescent="0.2">
      <c r="G7375" s="45"/>
      <c r="L7375" s="8"/>
    </row>
    <row r="7376" spans="7:12" x14ac:dyDescent="0.2">
      <c r="G7376" s="45"/>
      <c r="L7376" s="8"/>
    </row>
    <row r="7377" spans="7:12" x14ac:dyDescent="0.2">
      <c r="G7377" s="45"/>
      <c r="L7377" s="8"/>
    </row>
    <row r="7378" spans="7:12" x14ac:dyDescent="0.2">
      <c r="G7378" s="45"/>
      <c r="L7378" s="8"/>
    </row>
    <row r="7379" spans="7:12" x14ac:dyDescent="0.2">
      <c r="G7379" s="45"/>
      <c r="L7379" s="8"/>
    </row>
    <row r="7380" spans="7:12" x14ac:dyDescent="0.2">
      <c r="G7380" s="45"/>
      <c r="L7380" s="8"/>
    </row>
    <row r="7381" spans="7:12" x14ac:dyDescent="0.2">
      <c r="G7381" s="45"/>
      <c r="L7381" s="8"/>
    </row>
    <row r="7382" spans="7:12" x14ac:dyDescent="0.2">
      <c r="G7382" s="45"/>
      <c r="L7382" s="8"/>
    </row>
    <row r="7383" spans="7:12" x14ac:dyDescent="0.2">
      <c r="G7383" s="45"/>
      <c r="L7383" s="8"/>
    </row>
    <row r="7384" spans="7:12" x14ac:dyDescent="0.2">
      <c r="G7384" s="45"/>
      <c r="L7384" s="8"/>
    </row>
    <row r="7385" spans="7:12" x14ac:dyDescent="0.2">
      <c r="G7385" s="45"/>
      <c r="L7385" s="8"/>
    </row>
    <row r="7386" spans="7:12" x14ac:dyDescent="0.2">
      <c r="G7386" s="45"/>
      <c r="L7386" s="8"/>
    </row>
    <row r="7387" spans="7:12" x14ac:dyDescent="0.2">
      <c r="G7387" s="45"/>
      <c r="L7387" s="8"/>
    </row>
    <row r="7388" spans="7:12" x14ac:dyDescent="0.2">
      <c r="G7388" s="45"/>
      <c r="L7388" s="8"/>
    </row>
    <row r="7389" spans="7:12" x14ac:dyDescent="0.2">
      <c r="G7389" s="45"/>
      <c r="L7389" s="8"/>
    </row>
    <row r="7390" spans="7:12" x14ac:dyDescent="0.2">
      <c r="G7390" s="45"/>
      <c r="L7390" s="8"/>
    </row>
    <row r="7391" spans="7:12" x14ac:dyDescent="0.2">
      <c r="G7391" s="45"/>
      <c r="L7391" s="8"/>
    </row>
    <row r="7392" spans="7:12" x14ac:dyDescent="0.2">
      <c r="G7392" s="45"/>
      <c r="L7392" s="8"/>
    </row>
    <row r="7393" spans="7:12" x14ac:dyDescent="0.2">
      <c r="G7393" s="45"/>
      <c r="L7393" s="8"/>
    </row>
    <row r="7394" spans="7:12" x14ac:dyDescent="0.2">
      <c r="G7394" s="45"/>
      <c r="L7394" s="8"/>
    </row>
    <row r="7395" spans="7:12" x14ac:dyDescent="0.2">
      <c r="G7395" s="45"/>
      <c r="L7395" s="8"/>
    </row>
    <row r="7396" spans="7:12" x14ac:dyDescent="0.2">
      <c r="G7396" s="45"/>
      <c r="L7396" s="8"/>
    </row>
    <row r="7397" spans="7:12" x14ac:dyDescent="0.2">
      <c r="G7397" s="45"/>
      <c r="L7397" s="8"/>
    </row>
    <row r="7398" spans="7:12" x14ac:dyDescent="0.2">
      <c r="G7398" s="45"/>
      <c r="L7398" s="8"/>
    </row>
    <row r="7399" spans="7:12" x14ac:dyDescent="0.2">
      <c r="G7399" s="45"/>
      <c r="L7399" s="8"/>
    </row>
    <row r="7400" spans="7:12" x14ac:dyDescent="0.2">
      <c r="G7400" s="45"/>
      <c r="L7400" s="8"/>
    </row>
    <row r="7401" spans="7:12" x14ac:dyDescent="0.2">
      <c r="G7401" s="45"/>
      <c r="L7401" s="8"/>
    </row>
    <row r="7402" spans="7:12" x14ac:dyDescent="0.2">
      <c r="G7402" s="45"/>
      <c r="L7402" s="8"/>
    </row>
    <row r="7403" spans="7:12" x14ac:dyDescent="0.2">
      <c r="G7403" s="45"/>
      <c r="L7403" s="8"/>
    </row>
    <row r="7404" spans="7:12" x14ac:dyDescent="0.2">
      <c r="G7404" s="45"/>
      <c r="L7404" s="8"/>
    </row>
    <row r="7405" spans="7:12" x14ac:dyDescent="0.2">
      <c r="G7405" s="45"/>
      <c r="L7405" s="8"/>
    </row>
    <row r="7406" spans="7:12" x14ac:dyDescent="0.2">
      <c r="G7406" s="45"/>
      <c r="L7406" s="8"/>
    </row>
    <row r="7407" spans="7:12" x14ac:dyDescent="0.2">
      <c r="G7407" s="45"/>
      <c r="L7407" s="8"/>
    </row>
    <row r="7408" spans="7:12" x14ac:dyDescent="0.2">
      <c r="G7408" s="45"/>
      <c r="L7408" s="8"/>
    </row>
    <row r="7409" spans="7:12" x14ac:dyDescent="0.2">
      <c r="G7409" s="45"/>
      <c r="L7409" s="8"/>
    </row>
    <row r="7410" spans="7:12" x14ac:dyDescent="0.2">
      <c r="G7410" s="45"/>
      <c r="L7410" s="8"/>
    </row>
    <row r="7411" spans="7:12" x14ac:dyDescent="0.2">
      <c r="G7411" s="45"/>
      <c r="L7411" s="8"/>
    </row>
    <row r="7412" spans="7:12" x14ac:dyDescent="0.2">
      <c r="G7412" s="45"/>
      <c r="L7412" s="8"/>
    </row>
    <row r="7413" spans="7:12" x14ac:dyDescent="0.2">
      <c r="G7413" s="45"/>
      <c r="L7413" s="8"/>
    </row>
    <row r="7414" spans="7:12" x14ac:dyDescent="0.2">
      <c r="G7414" s="45"/>
      <c r="L7414" s="8"/>
    </row>
    <row r="7415" spans="7:12" x14ac:dyDescent="0.2">
      <c r="G7415" s="45"/>
      <c r="L7415" s="8"/>
    </row>
    <row r="7416" spans="7:12" x14ac:dyDescent="0.2">
      <c r="G7416" s="45"/>
      <c r="L7416" s="8"/>
    </row>
    <row r="7417" spans="7:12" x14ac:dyDescent="0.2">
      <c r="G7417" s="45"/>
      <c r="L7417" s="8"/>
    </row>
    <row r="7418" spans="7:12" x14ac:dyDescent="0.2">
      <c r="G7418" s="45"/>
      <c r="L7418" s="8"/>
    </row>
    <row r="7419" spans="7:12" x14ac:dyDescent="0.2">
      <c r="G7419" s="45"/>
      <c r="L7419" s="8"/>
    </row>
    <row r="7420" spans="7:12" x14ac:dyDescent="0.2">
      <c r="G7420" s="45"/>
      <c r="L7420" s="8"/>
    </row>
    <row r="7421" spans="7:12" x14ac:dyDescent="0.2">
      <c r="G7421" s="45"/>
      <c r="L7421" s="8"/>
    </row>
    <row r="7422" spans="7:12" x14ac:dyDescent="0.2">
      <c r="G7422" s="45"/>
      <c r="L7422" s="8"/>
    </row>
    <row r="7423" spans="7:12" x14ac:dyDescent="0.2">
      <c r="G7423" s="45"/>
      <c r="L7423" s="8"/>
    </row>
    <row r="7424" spans="7:12" x14ac:dyDescent="0.2">
      <c r="G7424" s="45"/>
      <c r="L7424" s="8"/>
    </row>
    <row r="7425" spans="7:12" x14ac:dyDescent="0.2">
      <c r="G7425" s="45"/>
      <c r="L7425" s="8"/>
    </row>
    <row r="7426" spans="7:12" x14ac:dyDescent="0.2">
      <c r="G7426" s="45"/>
      <c r="L7426" s="8"/>
    </row>
    <row r="7427" spans="7:12" x14ac:dyDescent="0.2">
      <c r="G7427" s="45"/>
      <c r="L7427" s="8"/>
    </row>
    <row r="7428" spans="7:12" x14ac:dyDescent="0.2">
      <c r="G7428" s="45"/>
      <c r="L7428" s="8"/>
    </row>
    <row r="7429" spans="7:12" x14ac:dyDescent="0.2">
      <c r="G7429" s="45"/>
      <c r="L7429" s="8"/>
    </row>
    <row r="7430" spans="7:12" x14ac:dyDescent="0.2">
      <c r="G7430" s="45"/>
      <c r="L7430" s="8"/>
    </row>
    <row r="7431" spans="7:12" x14ac:dyDescent="0.2">
      <c r="G7431" s="45"/>
      <c r="L7431" s="8"/>
    </row>
    <row r="7432" spans="7:12" x14ac:dyDescent="0.2">
      <c r="G7432" s="45"/>
      <c r="L7432" s="8"/>
    </row>
    <row r="7433" spans="7:12" x14ac:dyDescent="0.2">
      <c r="G7433" s="45"/>
      <c r="L7433" s="8"/>
    </row>
    <row r="7434" spans="7:12" x14ac:dyDescent="0.2">
      <c r="G7434" s="45"/>
      <c r="L7434" s="8"/>
    </row>
    <row r="7435" spans="7:12" x14ac:dyDescent="0.2">
      <c r="G7435" s="45"/>
      <c r="L7435" s="8"/>
    </row>
    <row r="7436" spans="7:12" x14ac:dyDescent="0.2">
      <c r="G7436" s="45"/>
      <c r="L7436" s="8"/>
    </row>
    <row r="7437" spans="7:12" x14ac:dyDescent="0.2">
      <c r="G7437" s="45"/>
      <c r="L7437" s="8"/>
    </row>
    <row r="7438" spans="7:12" x14ac:dyDescent="0.2">
      <c r="G7438" s="45"/>
      <c r="L7438" s="8"/>
    </row>
    <row r="7439" spans="7:12" x14ac:dyDescent="0.2">
      <c r="G7439" s="45"/>
      <c r="L7439" s="8"/>
    </row>
    <row r="7440" spans="7:12" x14ac:dyDescent="0.2">
      <c r="G7440" s="45"/>
      <c r="L7440" s="8"/>
    </row>
    <row r="7441" spans="7:12" x14ac:dyDescent="0.2">
      <c r="G7441" s="45"/>
      <c r="L7441" s="8"/>
    </row>
    <row r="7442" spans="7:12" x14ac:dyDescent="0.2">
      <c r="G7442" s="45"/>
      <c r="L7442" s="8"/>
    </row>
    <row r="7443" spans="7:12" x14ac:dyDescent="0.2">
      <c r="G7443" s="45"/>
      <c r="L7443" s="8"/>
    </row>
    <row r="7444" spans="7:12" x14ac:dyDescent="0.2">
      <c r="G7444" s="45"/>
      <c r="L7444" s="8"/>
    </row>
    <row r="7445" spans="7:12" x14ac:dyDescent="0.2">
      <c r="G7445" s="45"/>
      <c r="L7445" s="8"/>
    </row>
    <row r="7446" spans="7:12" x14ac:dyDescent="0.2">
      <c r="G7446" s="45"/>
      <c r="L7446" s="8"/>
    </row>
    <row r="7447" spans="7:12" x14ac:dyDescent="0.2">
      <c r="G7447" s="45"/>
      <c r="L7447" s="8"/>
    </row>
    <row r="7448" spans="7:12" x14ac:dyDescent="0.2">
      <c r="G7448" s="45"/>
      <c r="L7448" s="8"/>
    </row>
    <row r="7449" spans="7:12" x14ac:dyDescent="0.2">
      <c r="G7449" s="45"/>
      <c r="L7449" s="8"/>
    </row>
    <row r="7450" spans="7:12" x14ac:dyDescent="0.2">
      <c r="G7450" s="45"/>
      <c r="L7450" s="8"/>
    </row>
    <row r="7451" spans="7:12" x14ac:dyDescent="0.2">
      <c r="G7451" s="45"/>
      <c r="L7451" s="8"/>
    </row>
    <row r="7452" spans="7:12" x14ac:dyDescent="0.2">
      <c r="G7452" s="45"/>
      <c r="L7452" s="8"/>
    </row>
    <row r="7453" spans="7:12" x14ac:dyDescent="0.2">
      <c r="G7453" s="45"/>
      <c r="L7453" s="8"/>
    </row>
    <row r="7454" spans="7:12" x14ac:dyDescent="0.2">
      <c r="G7454" s="45"/>
      <c r="L7454" s="8"/>
    </row>
    <row r="7455" spans="7:12" x14ac:dyDescent="0.2">
      <c r="G7455" s="45"/>
      <c r="L7455" s="8"/>
    </row>
    <row r="7456" spans="7:12" x14ac:dyDescent="0.2">
      <c r="G7456" s="45"/>
      <c r="L7456" s="8"/>
    </row>
    <row r="7457" spans="7:12" x14ac:dyDescent="0.2">
      <c r="G7457" s="45"/>
      <c r="L7457" s="8"/>
    </row>
    <row r="7458" spans="7:12" x14ac:dyDescent="0.2">
      <c r="G7458" s="45"/>
      <c r="L7458" s="8"/>
    </row>
    <row r="7459" spans="7:12" x14ac:dyDescent="0.2">
      <c r="G7459" s="45"/>
      <c r="L7459" s="8"/>
    </row>
    <row r="7460" spans="7:12" x14ac:dyDescent="0.2">
      <c r="G7460" s="45"/>
      <c r="L7460" s="8"/>
    </row>
    <row r="7461" spans="7:12" x14ac:dyDescent="0.2">
      <c r="G7461" s="45"/>
      <c r="L7461" s="8"/>
    </row>
    <row r="7462" spans="7:12" x14ac:dyDescent="0.2">
      <c r="G7462" s="45"/>
      <c r="L7462" s="8"/>
    </row>
    <row r="7463" spans="7:12" x14ac:dyDescent="0.2">
      <c r="G7463" s="45"/>
      <c r="L7463" s="8"/>
    </row>
    <row r="7464" spans="7:12" x14ac:dyDescent="0.2">
      <c r="G7464" s="45"/>
      <c r="L7464" s="8"/>
    </row>
    <row r="7465" spans="7:12" x14ac:dyDescent="0.2">
      <c r="G7465" s="45"/>
      <c r="L7465" s="8"/>
    </row>
    <row r="7466" spans="7:12" x14ac:dyDescent="0.2">
      <c r="G7466" s="45"/>
      <c r="L7466" s="8"/>
    </row>
    <row r="7467" spans="7:12" x14ac:dyDescent="0.2">
      <c r="G7467" s="45"/>
      <c r="L7467" s="8"/>
    </row>
    <row r="7468" spans="7:12" x14ac:dyDescent="0.2">
      <c r="G7468" s="45"/>
      <c r="L7468" s="8"/>
    </row>
    <row r="7469" spans="7:12" x14ac:dyDescent="0.2">
      <c r="G7469" s="45"/>
      <c r="L7469" s="8"/>
    </row>
    <row r="7470" spans="7:12" x14ac:dyDescent="0.2">
      <c r="G7470" s="45"/>
      <c r="L7470" s="8"/>
    </row>
    <row r="7471" spans="7:12" x14ac:dyDescent="0.2">
      <c r="G7471" s="45"/>
      <c r="L7471" s="8"/>
    </row>
    <row r="7472" spans="7:12" x14ac:dyDescent="0.2">
      <c r="G7472" s="45"/>
      <c r="L7472" s="8"/>
    </row>
    <row r="7473" spans="7:12" x14ac:dyDescent="0.2">
      <c r="G7473" s="45"/>
      <c r="L7473" s="8"/>
    </row>
    <row r="7474" spans="7:12" x14ac:dyDescent="0.2">
      <c r="G7474" s="45"/>
      <c r="L7474" s="8"/>
    </row>
    <row r="7475" spans="7:12" x14ac:dyDescent="0.2">
      <c r="G7475" s="45"/>
      <c r="L7475" s="8"/>
    </row>
    <row r="7476" spans="7:12" x14ac:dyDescent="0.2">
      <c r="G7476" s="45"/>
      <c r="L7476" s="8"/>
    </row>
    <row r="7477" spans="7:12" x14ac:dyDescent="0.2">
      <c r="G7477" s="45"/>
      <c r="L7477" s="8"/>
    </row>
    <row r="7478" spans="7:12" x14ac:dyDescent="0.2">
      <c r="G7478" s="45"/>
      <c r="L7478" s="8"/>
    </row>
    <row r="7479" spans="7:12" x14ac:dyDescent="0.2">
      <c r="G7479" s="45"/>
      <c r="L7479" s="8"/>
    </row>
    <row r="7480" spans="7:12" x14ac:dyDescent="0.2">
      <c r="G7480" s="45"/>
      <c r="L7480" s="8"/>
    </row>
    <row r="7481" spans="7:12" x14ac:dyDescent="0.2">
      <c r="G7481" s="45"/>
      <c r="L7481" s="8"/>
    </row>
    <row r="7482" spans="7:12" x14ac:dyDescent="0.2">
      <c r="G7482" s="45"/>
      <c r="L7482" s="8"/>
    </row>
    <row r="7483" spans="7:12" x14ac:dyDescent="0.2">
      <c r="G7483" s="45"/>
      <c r="L7483" s="8"/>
    </row>
    <row r="7484" spans="7:12" x14ac:dyDescent="0.2">
      <c r="G7484" s="45"/>
      <c r="L7484" s="8"/>
    </row>
    <row r="7485" spans="7:12" x14ac:dyDescent="0.2">
      <c r="G7485" s="45"/>
      <c r="L7485" s="8"/>
    </row>
    <row r="7486" spans="7:12" x14ac:dyDescent="0.2">
      <c r="G7486" s="45"/>
      <c r="L7486" s="8"/>
    </row>
    <row r="7487" spans="7:12" x14ac:dyDescent="0.2">
      <c r="G7487" s="45"/>
      <c r="L7487" s="8"/>
    </row>
    <row r="7488" spans="7:12" x14ac:dyDescent="0.2">
      <c r="G7488" s="45"/>
      <c r="L7488" s="8"/>
    </row>
    <row r="7489" spans="7:12" x14ac:dyDescent="0.2">
      <c r="G7489" s="45"/>
      <c r="L7489" s="8"/>
    </row>
    <row r="7490" spans="7:12" x14ac:dyDescent="0.2">
      <c r="G7490" s="45"/>
      <c r="L7490" s="8"/>
    </row>
    <row r="7491" spans="7:12" x14ac:dyDescent="0.2">
      <c r="G7491" s="45"/>
      <c r="L7491" s="8"/>
    </row>
    <row r="7492" spans="7:12" x14ac:dyDescent="0.2">
      <c r="G7492" s="45"/>
      <c r="L7492" s="8"/>
    </row>
    <row r="7493" spans="7:12" x14ac:dyDescent="0.2">
      <c r="G7493" s="45"/>
      <c r="L7493" s="8"/>
    </row>
    <row r="7494" spans="7:12" x14ac:dyDescent="0.2">
      <c r="G7494" s="45"/>
      <c r="L7494" s="8"/>
    </row>
    <row r="7495" spans="7:12" x14ac:dyDescent="0.2">
      <c r="G7495" s="45"/>
      <c r="L7495" s="8"/>
    </row>
    <row r="7496" spans="7:12" x14ac:dyDescent="0.2">
      <c r="G7496" s="45"/>
      <c r="L7496" s="8"/>
    </row>
    <row r="7497" spans="7:12" x14ac:dyDescent="0.2">
      <c r="G7497" s="45"/>
      <c r="L7497" s="8"/>
    </row>
    <row r="7498" spans="7:12" x14ac:dyDescent="0.2">
      <c r="G7498" s="45"/>
      <c r="L7498" s="8"/>
    </row>
    <row r="7499" spans="7:12" x14ac:dyDescent="0.2">
      <c r="G7499" s="45"/>
      <c r="L7499" s="8"/>
    </row>
    <row r="7500" spans="7:12" x14ac:dyDescent="0.2">
      <c r="G7500" s="45"/>
      <c r="L7500" s="8"/>
    </row>
    <row r="7501" spans="7:12" x14ac:dyDescent="0.2">
      <c r="G7501" s="45"/>
      <c r="L7501" s="8"/>
    </row>
    <row r="7502" spans="7:12" x14ac:dyDescent="0.2">
      <c r="G7502" s="45"/>
      <c r="L7502" s="8"/>
    </row>
    <row r="7503" spans="7:12" x14ac:dyDescent="0.2">
      <c r="G7503" s="45"/>
      <c r="L7503" s="8"/>
    </row>
    <row r="7504" spans="7:12" x14ac:dyDescent="0.2">
      <c r="G7504" s="45"/>
      <c r="L7504" s="8"/>
    </row>
    <row r="7505" spans="7:12" x14ac:dyDescent="0.2">
      <c r="G7505" s="45"/>
      <c r="L7505" s="8"/>
    </row>
    <row r="7506" spans="7:12" x14ac:dyDescent="0.2">
      <c r="G7506" s="45"/>
      <c r="L7506" s="8"/>
    </row>
    <row r="7507" spans="7:12" x14ac:dyDescent="0.2">
      <c r="G7507" s="45"/>
      <c r="L7507" s="8"/>
    </row>
    <row r="7508" spans="7:12" x14ac:dyDescent="0.2">
      <c r="G7508" s="45"/>
      <c r="L7508" s="8"/>
    </row>
    <row r="7509" spans="7:12" x14ac:dyDescent="0.2">
      <c r="G7509" s="45"/>
      <c r="L7509" s="8"/>
    </row>
    <row r="7510" spans="7:12" x14ac:dyDescent="0.2">
      <c r="G7510" s="45"/>
      <c r="L7510" s="8"/>
    </row>
    <row r="7511" spans="7:12" x14ac:dyDescent="0.2">
      <c r="G7511" s="45"/>
      <c r="L7511" s="8"/>
    </row>
    <row r="7512" spans="7:12" x14ac:dyDescent="0.2">
      <c r="G7512" s="45"/>
      <c r="L7512" s="8"/>
    </row>
    <row r="7513" spans="7:12" x14ac:dyDescent="0.2">
      <c r="G7513" s="45"/>
      <c r="L7513" s="8"/>
    </row>
    <row r="7514" spans="7:12" x14ac:dyDescent="0.2">
      <c r="G7514" s="45"/>
      <c r="L7514" s="8"/>
    </row>
    <row r="7515" spans="7:12" x14ac:dyDescent="0.2">
      <c r="G7515" s="45"/>
      <c r="L7515" s="8"/>
    </row>
    <row r="7516" spans="7:12" x14ac:dyDescent="0.2">
      <c r="G7516" s="45"/>
      <c r="L7516" s="8"/>
    </row>
    <row r="7517" spans="7:12" x14ac:dyDescent="0.2">
      <c r="G7517" s="45"/>
      <c r="L7517" s="8"/>
    </row>
    <row r="7518" spans="7:12" x14ac:dyDescent="0.2">
      <c r="G7518" s="45"/>
      <c r="L7518" s="8"/>
    </row>
    <row r="7519" spans="7:12" x14ac:dyDescent="0.2">
      <c r="G7519" s="45"/>
      <c r="L7519" s="8"/>
    </row>
    <row r="7520" spans="7:12" x14ac:dyDescent="0.2">
      <c r="G7520" s="45"/>
      <c r="L7520" s="8"/>
    </row>
    <row r="7521" spans="7:12" x14ac:dyDescent="0.2">
      <c r="G7521" s="45"/>
      <c r="L7521" s="8"/>
    </row>
    <row r="7522" spans="7:12" x14ac:dyDescent="0.2">
      <c r="G7522" s="45"/>
      <c r="L7522" s="8"/>
    </row>
    <row r="7523" spans="7:12" x14ac:dyDescent="0.2">
      <c r="G7523" s="45"/>
      <c r="L7523" s="8"/>
    </row>
    <row r="7524" spans="7:12" x14ac:dyDescent="0.2">
      <c r="G7524" s="45"/>
      <c r="L7524" s="8"/>
    </row>
    <row r="7525" spans="7:12" x14ac:dyDescent="0.2">
      <c r="G7525" s="45"/>
      <c r="L7525" s="8"/>
    </row>
    <row r="7526" spans="7:12" x14ac:dyDescent="0.2">
      <c r="G7526" s="45"/>
      <c r="L7526" s="8"/>
    </row>
    <row r="7527" spans="7:12" x14ac:dyDescent="0.2">
      <c r="G7527" s="45"/>
      <c r="L7527" s="8"/>
    </row>
    <row r="7528" spans="7:12" x14ac:dyDescent="0.2">
      <c r="G7528" s="45"/>
      <c r="L7528" s="8"/>
    </row>
    <row r="7529" spans="7:12" x14ac:dyDescent="0.2">
      <c r="G7529" s="45"/>
      <c r="L7529" s="8"/>
    </row>
    <row r="7530" spans="7:12" x14ac:dyDescent="0.2">
      <c r="G7530" s="45"/>
      <c r="L7530" s="8"/>
    </row>
    <row r="7531" spans="7:12" x14ac:dyDescent="0.2">
      <c r="G7531" s="45"/>
      <c r="L7531" s="8"/>
    </row>
    <row r="7532" spans="7:12" x14ac:dyDescent="0.2">
      <c r="G7532" s="45"/>
      <c r="L7532" s="8"/>
    </row>
    <row r="7533" spans="7:12" x14ac:dyDescent="0.2">
      <c r="G7533" s="45"/>
      <c r="L7533" s="8"/>
    </row>
    <row r="7534" spans="7:12" x14ac:dyDescent="0.2">
      <c r="G7534" s="45"/>
      <c r="L7534" s="8"/>
    </row>
    <row r="7535" spans="7:12" x14ac:dyDescent="0.2">
      <c r="G7535" s="45"/>
      <c r="L7535" s="8"/>
    </row>
    <row r="7536" spans="7:12" x14ac:dyDescent="0.2">
      <c r="G7536" s="45"/>
      <c r="L7536" s="8"/>
    </row>
    <row r="7537" spans="7:12" x14ac:dyDescent="0.2">
      <c r="G7537" s="45"/>
      <c r="L7537" s="8"/>
    </row>
    <row r="7538" spans="7:12" x14ac:dyDescent="0.2">
      <c r="G7538" s="45"/>
      <c r="L7538" s="8"/>
    </row>
    <row r="7539" spans="7:12" x14ac:dyDescent="0.2">
      <c r="G7539" s="45"/>
      <c r="L7539" s="8"/>
    </row>
    <row r="7540" spans="7:12" x14ac:dyDescent="0.2">
      <c r="G7540" s="45"/>
      <c r="L7540" s="8"/>
    </row>
    <row r="7541" spans="7:12" x14ac:dyDescent="0.2">
      <c r="G7541" s="45"/>
      <c r="L7541" s="8"/>
    </row>
    <row r="7542" spans="7:12" x14ac:dyDescent="0.2">
      <c r="G7542" s="45"/>
      <c r="L7542" s="8"/>
    </row>
    <row r="7543" spans="7:12" x14ac:dyDescent="0.2">
      <c r="G7543" s="45"/>
      <c r="L7543" s="8"/>
    </row>
    <row r="7544" spans="7:12" x14ac:dyDescent="0.2">
      <c r="G7544" s="45"/>
      <c r="L7544" s="8"/>
    </row>
    <row r="7545" spans="7:12" x14ac:dyDescent="0.2">
      <c r="G7545" s="45"/>
      <c r="L7545" s="8"/>
    </row>
    <row r="7546" spans="7:12" x14ac:dyDescent="0.2">
      <c r="G7546" s="45"/>
      <c r="L7546" s="8"/>
    </row>
    <row r="7547" spans="7:12" x14ac:dyDescent="0.2">
      <c r="G7547" s="45"/>
      <c r="L7547" s="8"/>
    </row>
    <row r="7548" spans="7:12" x14ac:dyDescent="0.2">
      <c r="G7548" s="45"/>
      <c r="L7548" s="8"/>
    </row>
    <row r="7549" spans="7:12" x14ac:dyDescent="0.2">
      <c r="G7549" s="45"/>
      <c r="L7549" s="8"/>
    </row>
    <row r="7550" spans="7:12" x14ac:dyDescent="0.2">
      <c r="G7550" s="45"/>
      <c r="L7550" s="8"/>
    </row>
    <row r="7551" spans="7:12" x14ac:dyDescent="0.2">
      <c r="G7551" s="45"/>
      <c r="L7551" s="8"/>
    </row>
    <row r="7552" spans="7:12" x14ac:dyDescent="0.2">
      <c r="G7552" s="45"/>
      <c r="L7552" s="8"/>
    </row>
    <row r="7553" spans="7:12" x14ac:dyDescent="0.2">
      <c r="G7553" s="45"/>
      <c r="L7553" s="8"/>
    </row>
    <row r="7554" spans="7:12" x14ac:dyDescent="0.2">
      <c r="G7554" s="45"/>
      <c r="L7554" s="8"/>
    </row>
    <row r="7555" spans="7:12" x14ac:dyDescent="0.2">
      <c r="G7555" s="45"/>
      <c r="L7555" s="8"/>
    </row>
    <row r="7556" spans="7:12" x14ac:dyDescent="0.2">
      <c r="G7556" s="45"/>
      <c r="L7556" s="8"/>
    </row>
    <row r="7557" spans="7:12" x14ac:dyDescent="0.2">
      <c r="G7557" s="45"/>
      <c r="L7557" s="8"/>
    </row>
    <row r="7558" spans="7:12" x14ac:dyDescent="0.2">
      <c r="G7558" s="45"/>
      <c r="L7558" s="8"/>
    </row>
    <row r="7559" spans="7:12" x14ac:dyDescent="0.2">
      <c r="G7559" s="45"/>
      <c r="L7559" s="8"/>
    </row>
    <row r="7560" spans="7:12" x14ac:dyDescent="0.2">
      <c r="G7560" s="45"/>
      <c r="L7560" s="8"/>
    </row>
    <row r="7561" spans="7:12" x14ac:dyDescent="0.2">
      <c r="G7561" s="45"/>
      <c r="L7561" s="8"/>
    </row>
    <row r="7562" spans="7:12" x14ac:dyDescent="0.2">
      <c r="G7562" s="45"/>
      <c r="L7562" s="8"/>
    </row>
    <row r="7563" spans="7:12" x14ac:dyDescent="0.2">
      <c r="G7563" s="45"/>
      <c r="L7563" s="8"/>
    </row>
    <row r="7564" spans="7:12" x14ac:dyDescent="0.2">
      <c r="G7564" s="45"/>
      <c r="L7564" s="8"/>
    </row>
    <row r="7565" spans="7:12" x14ac:dyDescent="0.2">
      <c r="G7565" s="45"/>
      <c r="L7565" s="8"/>
    </row>
    <row r="7566" spans="7:12" x14ac:dyDescent="0.2">
      <c r="G7566" s="45"/>
      <c r="L7566" s="8"/>
    </row>
    <row r="7567" spans="7:12" x14ac:dyDescent="0.2">
      <c r="G7567" s="45"/>
      <c r="L7567" s="8"/>
    </row>
    <row r="7568" spans="7:12" x14ac:dyDescent="0.2">
      <c r="G7568" s="45"/>
      <c r="L7568" s="8"/>
    </row>
    <row r="7569" spans="7:12" x14ac:dyDescent="0.2">
      <c r="G7569" s="45"/>
      <c r="L7569" s="8"/>
    </row>
    <row r="7570" spans="7:12" x14ac:dyDescent="0.2">
      <c r="G7570" s="45"/>
      <c r="L7570" s="8"/>
    </row>
    <row r="7571" spans="7:12" x14ac:dyDescent="0.2">
      <c r="G7571" s="45"/>
      <c r="L7571" s="8"/>
    </row>
    <row r="7572" spans="7:12" x14ac:dyDescent="0.2">
      <c r="G7572" s="45"/>
      <c r="L7572" s="8"/>
    </row>
    <row r="7573" spans="7:12" x14ac:dyDescent="0.2">
      <c r="G7573" s="45"/>
      <c r="L7573" s="8"/>
    </row>
    <row r="7574" spans="7:12" x14ac:dyDescent="0.2">
      <c r="G7574" s="45"/>
      <c r="L7574" s="8"/>
    </row>
    <row r="7575" spans="7:12" x14ac:dyDescent="0.2">
      <c r="G7575" s="45"/>
      <c r="L7575" s="8"/>
    </row>
    <row r="7576" spans="7:12" x14ac:dyDescent="0.2">
      <c r="G7576" s="45"/>
      <c r="L7576" s="8"/>
    </row>
    <row r="7577" spans="7:12" x14ac:dyDescent="0.2">
      <c r="G7577" s="45"/>
      <c r="L7577" s="8"/>
    </row>
    <row r="7578" spans="7:12" x14ac:dyDescent="0.2">
      <c r="G7578" s="45"/>
      <c r="L7578" s="8"/>
    </row>
    <row r="7579" spans="7:12" x14ac:dyDescent="0.2">
      <c r="G7579" s="45"/>
      <c r="L7579" s="8"/>
    </row>
    <row r="7580" spans="7:12" x14ac:dyDescent="0.2">
      <c r="G7580" s="45"/>
      <c r="L7580" s="8"/>
    </row>
    <row r="7581" spans="7:12" x14ac:dyDescent="0.2">
      <c r="G7581" s="45"/>
      <c r="L7581" s="8"/>
    </row>
    <row r="7582" spans="7:12" x14ac:dyDescent="0.2">
      <c r="G7582" s="45"/>
      <c r="L7582" s="8"/>
    </row>
    <row r="7583" spans="7:12" x14ac:dyDescent="0.2">
      <c r="G7583" s="45"/>
      <c r="L7583" s="8"/>
    </row>
    <row r="7584" spans="7:12" x14ac:dyDescent="0.2">
      <c r="G7584" s="45"/>
      <c r="L7584" s="8"/>
    </row>
    <row r="7585" spans="7:12" x14ac:dyDescent="0.2">
      <c r="G7585" s="45"/>
      <c r="L7585" s="8"/>
    </row>
    <row r="7586" spans="7:12" x14ac:dyDescent="0.2">
      <c r="G7586" s="45"/>
      <c r="L7586" s="8"/>
    </row>
    <row r="7587" spans="7:12" x14ac:dyDescent="0.2">
      <c r="G7587" s="45"/>
      <c r="L7587" s="8"/>
    </row>
    <row r="7588" spans="7:12" x14ac:dyDescent="0.2">
      <c r="G7588" s="45"/>
      <c r="L7588" s="8"/>
    </row>
    <row r="7589" spans="7:12" x14ac:dyDescent="0.2">
      <c r="G7589" s="45"/>
      <c r="L7589" s="8"/>
    </row>
    <row r="7590" spans="7:12" x14ac:dyDescent="0.2">
      <c r="G7590" s="45"/>
      <c r="L7590" s="8"/>
    </row>
    <row r="7591" spans="7:12" x14ac:dyDescent="0.2">
      <c r="G7591" s="45"/>
      <c r="L7591" s="8"/>
    </row>
    <row r="7592" spans="7:12" x14ac:dyDescent="0.2">
      <c r="G7592" s="45"/>
      <c r="L7592" s="8"/>
    </row>
    <row r="7593" spans="7:12" x14ac:dyDescent="0.2">
      <c r="G7593" s="45"/>
      <c r="L7593" s="8"/>
    </row>
    <row r="7594" spans="7:12" x14ac:dyDescent="0.2">
      <c r="G7594" s="45"/>
      <c r="L7594" s="8"/>
    </row>
    <row r="7595" spans="7:12" x14ac:dyDescent="0.2">
      <c r="G7595" s="45"/>
      <c r="L7595" s="8"/>
    </row>
    <row r="7596" spans="7:12" x14ac:dyDescent="0.2">
      <c r="G7596" s="45"/>
      <c r="L7596" s="8"/>
    </row>
    <row r="7597" spans="7:12" x14ac:dyDescent="0.2">
      <c r="G7597" s="45"/>
      <c r="L7597" s="8"/>
    </row>
    <row r="7598" spans="7:12" x14ac:dyDescent="0.2">
      <c r="G7598" s="45"/>
      <c r="L7598" s="8"/>
    </row>
    <row r="7599" spans="7:12" x14ac:dyDescent="0.2">
      <c r="G7599" s="45"/>
      <c r="L7599" s="8"/>
    </row>
    <row r="7600" spans="7:12" x14ac:dyDescent="0.2">
      <c r="G7600" s="45"/>
      <c r="L7600" s="8"/>
    </row>
    <row r="7601" spans="7:12" x14ac:dyDescent="0.2">
      <c r="G7601" s="45"/>
      <c r="L7601" s="8"/>
    </row>
    <row r="7602" spans="7:12" x14ac:dyDescent="0.2">
      <c r="G7602" s="45"/>
      <c r="L7602" s="8"/>
    </row>
    <row r="7603" spans="7:12" x14ac:dyDescent="0.2">
      <c r="G7603" s="45"/>
      <c r="L7603" s="8"/>
    </row>
    <row r="7604" spans="7:12" x14ac:dyDescent="0.2">
      <c r="G7604" s="45"/>
      <c r="L7604" s="8"/>
    </row>
    <row r="7605" spans="7:12" x14ac:dyDescent="0.2">
      <c r="G7605" s="45"/>
      <c r="L7605" s="8"/>
    </row>
    <row r="7606" spans="7:12" x14ac:dyDescent="0.2">
      <c r="G7606" s="45"/>
      <c r="L7606" s="8"/>
    </row>
    <row r="7607" spans="7:12" x14ac:dyDescent="0.2">
      <c r="G7607" s="45"/>
      <c r="L7607" s="8"/>
    </row>
    <row r="7608" spans="7:12" x14ac:dyDescent="0.2">
      <c r="G7608" s="45"/>
      <c r="L7608" s="8"/>
    </row>
    <row r="7609" spans="7:12" x14ac:dyDescent="0.2">
      <c r="G7609" s="45"/>
      <c r="L7609" s="8"/>
    </row>
    <row r="7610" spans="7:12" x14ac:dyDescent="0.2">
      <c r="G7610" s="45"/>
      <c r="L7610" s="8"/>
    </row>
    <row r="7611" spans="7:12" x14ac:dyDescent="0.2">
      <c r="G7611" s="45"/>
      <c r="L7611" s="8"/>
    </row>
    <row r="7612" spans="7:12" x14ac:dyDescent="0.2">
      <c r="G7612" s="45"/>
      <c r="L7612" s="8"/>
    </row>
    <row r="7613" spans="7:12" x14ac:dyDescent="0.2">
      <c r="G7613" s="45"/>
      <c r="L7613" s="8"/>
    </row>
    <row r="7614" spans="7:12" x14ac:dyDescent="0.2">
      <c r="G7614" s="45"/>
      <c r="L7614" s="8"/>
    </row>
    <row r="7615" spans="7:12" x14ac:dyDescent="0.2">
      <c r="G7615" s="45"/>
      <c r="L7615" s="8"/>
    </row>
    <row r="7616" spans="7:12" x14ac:dyDescent="0.2">
      <c r="G7616" s="45"/>
      <c r="L7616" s="8"/>
    </row>
    <row r="7617" spans="7:12" x14ac:dyDescent="0.2">
      <c r="G7617" s="45"/>
      <c r="L7617" s="8"/>
    </row>
    <row r="7618" spans="7:12" x14ac:dyDescent="0.2">
      <c r="G7618" s="45"/>
      <c r="L7618" s="8"/>
    </row>
    <row r="7619" spans="7:12" x14ac:dyDescent="0.2">
      <c r="G7619" s="45"/>
      <c r="L7619" s="8"/>
    </row>
    <row r="7620" spans="7:12" x14ac:dyDescent="0.2">
      <c r="G7620" s="45"/>
      <c r="L7620" s="8"/>
    </row>
    <row r="7621" spans="7:12" x14ac:dyDescent="0.2">
      <c r="G7621" s="45"/>
      <c r="L7621" s="8"/>
    </row>
    <row r="7622" spans="7:12" x14ac:dyDescent="0.2">
      <c r="G7622" s="45"/>
      <c r="L7622" s="8"/>
    </row>
    <row r="7623" spans="7:12" x14ac:dyDescent="0.2">
      <c r="G7623" s="45"/>
      <c r="L7623" s="8"/>
    </row>
    <row r="7624" spans="7:12" x14ac:dyDescent="0.2">
      <c r="G7624" s="45"/>
      <c r="L7624" s="8"/>
    </row>
    <row r="7625" spans="7:12" x14ac:dyDescent="0.2">
      <c r="G7625" s="45"/>
      <c r="L7625" s="8"/>
    </row>
    <row r="7626" spans="7:12" x14ac:dyDescent="0.2">
      <c r="G7626" s="45"/>
      <c r="L7626" s="8"/>
    </row>
    <row r="7627" spans="7:12" x14ac:dyDescent="0.2">
      <c r="G7627" s="45"/>
      <c r="L7627" s="8"/>
    </row>
    <row r="7628" spans="7:12" x14ac:dyDescent="0.2">
      <c r="G7628" s="45"/>
      <c r="L7628" s="8"/>
    </row>
    <row r="7629" spans="7:12" x14ac:dyDescent="0.2">
      <c r="G7629" s="45"/>
      <c r="L7629" s="8"/>
    </row>
    <row r="7630" spans="7:12" x14ac:dyDescent="0.2">
      <c r="G7630" s="45"/>
      <c r="L7630" s="8"/>
    </row>
    <row r="7631" spans="7:12" x14ac:dyDescent="0.2">
      <c r="G7631" s="45"/>
      <c r="L7631" s="8"/>
    </row>
    <row r="7632" spans="7:12" x14ac:dyDescent="0.2">
      <c r="G7632" s="45"/>
      <c r="L7632" s="8"/>
    </row>
    <row r="7633" spans="7:12" x14ac:dyDescent="0.2">
      <c r="G7633" s="45"/>
      <c r="L7633" s="8"/>
    </row>
    <row r="7634" spans="7:12" x14ac:dyDescent="0.2">
      <c r="G7634" s="45"/>
      <c r="L7634" s="8"/>
    </row>
    <row r="7635" spans="7:12" x14ac:dyDescent="0.2">
      <c r="G7635" s="45"/>
      <c r="L7635" s="8"/>
    </row>
    <row r="7636" spans="7:12" x14ac:dyDescent="0.2">
      <c r="G7636" s="45"/>
      <c r="L7636" s="8"/>
    </row>
    <row r="7637" spans="7:12" x14ac:dyDescent="0.2">
      <c r="G7637" s="45"/>
      <c r="L7637" s="8"/>
    </row>
    <row r="7638" spans="7:12" x14ac:dyDescent="0.2">
      <c r="G7638" s="45"/>
      <c r="L7638" s="8"/>
    </row>
    <row r="7639" spans="7:12" x14ac:dyDescent="0.2">
      <c r="G7639" s="45"/>
      <c r="L7639" s="8"/>
    </row>
    <row r="7640" spans="7:12" x14ac:dyDescent="0.2">
      <c r="G7640" s="45"/>
      <c r="L7640" s="8"/>
    </row>
    <row r="7641" spans="7:12" x14ac:dyDescent="0.2">
      <c r="G7641" s="45"/>
      <c r="L7641" s="8"/>
    </row>
    <row r="7642" spans="7:12" x14ac:dyDescent="0.2">
      <c r="G7642" s="45"/>
      <c r="L7642" s="8"/>
    </row>
    <row r="7643" spans="7:12" x14ac:dyDescent="0.2">
      <c r="G7643" s="45"/>
      <c r="L7643" s="8"/>
    </row>
    <row r="7644" spans="7:12" x14ac:dyDescent="0.2">
      <c r="G7644" s="45"/>
      <c r="L7644" s="8"/>
    </row>
    <row r="7645" spans="7:12" x14ac:dyDescent="0.2">
      <c r="G7645" s="45"/>
      <c r="L7645" s="8"/>
    </row>
    <row r="7646" spans="7:12" x14ac:dyDescent="0.2">
      <c r="G7646" s="45"/>
      <c r="L7646" s="8"/>
    </row>
    <row r="7647" spans="7:12" x14ac:dyDescent="0.2">
      <c r="G7647" s="45"/>
      <c r="L7647" s="8"/>
    </row>
    <row r="7648" spans="7:12" x14ac:dyDescent="0.2">
      <c r="G7648" s="45"/>
      <c r="L7648" s="8"/>
    </row>
    <row r="7649" spans="7:12" x14ac:dyDescent="0.2">
      <c r="G7649" s="45"/>
      <c r="L7649" s="8"/>
    </row>
    <row r="7650" spans="7:12" x14ac:dyDescent="0.2">
      <c r="G7650" s="45"/>
      <c r="L7650" s="8"/>
    </row>
    <row r="7651" spans="7:12" x14ac:dyDescent="0.2">
      <c r="G7651" s="45"/>
      <c r="L7651" s="8"/>
    </row>
    <row r="7652" spans="7:12" x14ac:dyDescent="0.2">
      <c r="G7652" s="45"/>
      <c r="L7652" s="8"/>
    </row>
    <row r="7653" spans="7:12" x14ac:dyDescent="0.2">
      <c r="G7653" s="45"/>
      <c r="L7653" s="8"/>
    </row>
    <row r="7654" spans="7:12" x14ac:dyDescent="0.2">
      <c r="G7654" s="45"/>
      <c r="L7654" s="8"/>
    </row>
    <row r="7655" spans="7:12" x14ac:dyDescent="0.2">
      <c r="G7655" s="45"/>
      <c r="L7655" s="8"/>
    </row>
    <row r="7656" spans="7:12" x14ac:dyDescent="0.2">
      <c r="G7656" s="45"/>
      <c r="L7656" s="8"/>
    </row>
    <row r="7657" spans="7:12" x14ac:dyDescent="0.2">
      <c r="G7657" s="45"/>
      <c r="L7657" s="8"/>
    </row>
    <row r="7658" spans="7:12" x14ac:dyDescent="0.2">
      <c r="G7658" s="45"/>
      <c r="L7658" s="8"/>
    </row>
    <row r="7659" spans="7:12" x14ac:dyDescent="0.2">
      <c r="G7659" s="45"/>
      <c r="L7659" s="8"/>
    </row>
    <row r="7660" spans="7:12" x14ac:dyDescent="0.2">
      <c r="G7660" s="45"/>
      <c r="L7660" s="8"/>
    </row>
    <row r="7661" spans="7:12" x14ac:dyDescent="0.2">
      <c r="G7661" s="45"/>
      <c r="L7661" s="8"/>
    </row>
    <row r="7662" spans="7:12" x14ac:dyDescent="0.2">
      <c r="G7662" s="45"/>
      <c r="L7662" s="8"/>
    </row>
    <row r="7663" spans="7:12" x14ac:dyDescent="0.2">
      <c r="G7663" s="45"/>
      <c r="L7663" s="8"/>
    </row>
    <row r="7664" spans="7:12" x14ac:dyDescent="0.2">
      <c r="G7664" s="45"/>
      <c r="L7664" s="8"/>
    </row>
    <row r="7665" spans="7:12" x14ac:dyDescent="0.2">
      <c r="G7665" s="45"/>
      <c r="L7665" s="8"/>
    </row>
    <row r="7666" spans="7:12" x14ac:dyDescent="0.2">
      <c r="G7666" s="45"/>
      <c r="L7666" s="8"/>
    </row>
    <row r="7667" spans="7:12" x14ac:dyDescent="0.2">
      <c r="G7667" s="45"/>
      <c r="L7667" s="8"/>
    </row>
    <row r="7668" spans="7:12" x14ac:dyDescent="0.2">
      <c r="G7668" s="45"/>
      <c r="L7668" s="8"/>
    </row>
    <row r="7669" spans="7:12" x14ac:dyDescent="0.2">
      <c r="G7669" s="45"/>
      <c r="L7669" s="8"/>
    </row>
    <row r="7670" spans="7:12" x14ac:dyDescent="0.2">
      <c r="G7670" s="45"/>
      <c r="L7670" s="8"/>
    </row>
    <row r="7671" spans="7:12" x14ac:dyDescent="0.2">
      <c r="G7671" s="45"/>
      <c r="L7671" s="8"/>
    </row>
    <row r="7672" spans="7:12" x14ac:dyDescent="0.2">
      <c r="G7672" s="45"/>
      <c r="L7672" s="8"/>
    </row>
    <row r="7673" spans="7:12" x14ac:dyDescent="0.2">
      <c r="G7673" s="45"/>
      <c r="L7673" s="8"/>
    </row>
    <row r="7674" spans="7:12" x14ac:dyDescent="0.2">
      <c r="G7674" s="45"/>
      <c r="L7674" s="8"/>
    </row>
    <row r="7675" spans="7:12" x14ac:dyDescent="0.2">
      <c r="G7675" s="45"/>
      <c r="L7675" s="8"/>
    </row>
    <row r="7676" spans="7:12" x14ac:dyDescent="0.2">
      <c r="G7676" s="45"/>
      <c r="L7676" s="8"/>
    </row>
    <row r="7677" spans="7:12" x14ac:dyDescent="0.2">
      <c r="G7677" s="45"/>
      <c r="L7677" s="8"/>
    </row>
    <row r="7678" spans="7:12" x14ac:dyDescent="0.2">
      <c r="G7678" s="45"/>
      <c r="L7678" s="8"/>
    </row>
    <row r="7679" spans="7:12" x14ac:dyDescent="0.2">
      <c r="G7679" s="45"/>
      <c r="L7679" s="8"/>
    </row>
    <row r="7680" spans="7:12" x14ac:dyDescent="0.2">
      <c r="G7680" s="45"/>
      <c r="L7680" s="8"/>
    </row>
    <row r="7681" spans="7:12" x14ac:dyDescent="0.2">
      <c r="G7681" s="45"/>
      <c r="L7681" s="8"/>
    </row>
    <row r="7682" spans="7:12" x14ac:dyDescent="0.2">
      <c r="G7682" s="45"/>
      <c r="L7682" s="8"/>
    </row>
    <row r="7683" spans="7:12" x14ac:dyDescent="0.2">
      <c r="G7683" s="45"/>
      <c r="L7683" s="8"/>
    </row>
    <row r="7684" spans="7:12" x14ac:dyDescent="0.2">
      <c r="G7684" s="45"/>
      <c r="L7684" s="8"/>
    </row>
    <row r="7685" spans="7:12" x14ac:dyDescent="0.2">
      <c r="G7685" s="45"/>
      <c r="L7685" s="8"/>
    </row>
    <row r="7686" spans="7:12" x14ac:dyDescent="0.2">
      <c r="G7686" s="45"/>
      <c r="L7686" s="8"/>
    </row>
    <row r="7687" spans="7:12" x14ac:dyDescent="0.2">
      <c r="G7687" s="45"/>
      <c r="L7687" s="8"/>
    </row>
    <row r="7688" spans="7:12" x14ac:dyDescent="0.2">
      <c r="G7688" s="45"/>
      <c r="L7688" s="8"/>
    </row>
    <row r="7689" spans="7:12" x14ac:dyDescent="0.2">
      <c r="G7689" s="45"/>
      <c r="L7689" s="8"/>
    </row>
    <row r="7690" spans="7:12" x14ac:dyDescent="0.2">
      <c r="G7690" s="45"/>
      <c r="L7690" s="8"/>
    </row>
    <row r="7691" spans="7:12" x14ac:dyDescent="0.2">
      <c r="G7691" s="45"/>
      <c r="L7691" s="8"/>
    </row>
    <row r="7692" spans="7:12" x14ac:dyDescent="0.2">
      <c r="G7692" s="45"/>
      <c r="L7692" s="8"/>
    </row>
    <row r="7693" spans="7:12" x14ac:dyDescent="0.2">
      <c r="G7693" s="45"/>
      <c r="L7693" s="8"/>
    </row>
    <row r="7694" spans="7:12" x14ac:dyDescent="0.2">
      <c r="G7694" s="45"/>
      <c r="L7694" s="8"/>
    </row>
    <row r="7695" spans="7:12" x14ac:dyDescent="0.2">
      <c r="G7695" s="45"/>
      <c r="L7695" s="8"/>
    </row>
    <row r="7696" spans="7:12" x14ac:dyDescent="0.2">
      <c r="G7696" s="45"/>
      <c r="L7696" s="8"/>
    </row>
    <row r="7697" spans="7:12" x14ac:dyDescent="0.2">
      <c r="G7697" s="45"/>
      <c r="L7697" s="8"/>
    </row>
    <row r="7698" spans="7:12" x14ac:dyDescent="0.2">
      <c r="G7698" s="45"/>
      <c r="L7698" s="8"/>
    </row>
    <row r="7699" spans="7:12" x14ac:dyDescent="0.2">
      <c r="G7699" s="45"/>
      <c r="L7699" s="8"/>
    </row>
    <row r="7700" spans="7:12" x14ac:dyDescent="0.2">
      <c r="G7700" s="45"/>
      <c r="L7700" s="8"/>
    </row>
    <row r="7701" spans="7:12" x14ac:dyDescent="0.2">
      <c r="G7701" s="45"/>
      <c r="L7701" s="8"/>
    </row>
    <row r="7702" spans="7:12" x14ac:dyDescent="0.2">
      <c r="G7702" s="45"/>
      <c r="L7702" s="8"/>
    </row>
    <row r="7703" spans="7:12" x14ac:dyDescent="0.2">
      <c r="G7703" s="45"/>
      <c r="L7703" s="8"/>
    </row>
    <row r="7704" spans="7:12" x14ac:dyDescent="0.2">
      <c r="G7704" s="45"/>
      <c r="L7704" s="8"/>
    </row>
    <row r="7705" spans="7:12" x14ac:dyDescent="0.2">
      <c r="G7705" s="45"/>
      <c r="L7705" s="8"/>
    </row>
    <row r="7706" spans="7:12" x14ac:dyDescent="0.2">
      <c r="G7706" s="45"/>
      <c r="L7706" s="8"/>
    </row>
    <row r="7707" spans="7:12" x14ac:dyDescent="0.2">
      <c r="G7707" s="45"/>
      <c r="L7707" s="8"/>
    </row>
    <row r="7708" spans="7:12" x14ac:dyDescent="0.2">
      <c r="G7708" s="45"/>
      <c r="L7708" s="8"/>
    </row>
    <row r="7709" spans="7:12" x14ac:dyDescent="0.2">
      <c r="G7709" s="45"/>
      <c r="L7709" s="8"/>
    </row>
    <row r="7710" spans="7:12" x14ac:dyDescent="0.2">
      <c r="G7710" s="45"/>
      <c r="L7710" s="8"/>
    </row>
    <row r="7711" spans="7:12" x14ac:dyDescent="0.2">
      <c r="G7711" s="45"/>
      <c r="L7711" s="8"/>
    </row>
    <row r="7712" spans="7:12" x14ac:dyDescent="0.2">
      <c r="G7712" s="45"/>
      <c r="L7712" s="8"/>
    </row>
    <row r="7713" spans="7:12" x14ac:dyDescent="0.2">
      <c r="G7713" s="45"/>
      <c r="L7713" s="8"/>
    </row>
    <row r="7714" spans="7:12" x14ac:dyDescent="0.2">
      <c r="G7714" s="45"/>
      <c r="L7714" s="8"/>
    </row>
    <row r="7715" spans="7:12" x14ac:dyDescent="0.2">
      <c r="G7715" s="45"/>
      <c r="L7715" s="8"/>
    </row>
    <row r="7716" spans="7:12" x14ac:dyDescent="0.2">
      <c r="G7716" s="45"/>
      <c r="L7716" s="8"/>
    </row>
    <row r="7717" spans="7:12" x14ac:dyDescent="0.2">
      <c r="G7717" s="45"/>
      <c r="L7717" s="8"/>
    </row>
    <row r="7718" spans="7:12" x14ac:dyDescent="0.2">
      <c r="G7718" s="45"/>
      <c r="L7718" s="8"/>
    </row>
    <row r="7719" spans="7:12" x14ac:dyDescent="0.2">
      <c r="G7719" s="45"/>
      <c r="L7719" s="8"/>
    </row>
    <row r="7720" spans="7:12" x14ac:dyDescent="0.2">
      <c r="G7720" s="45"/>
      <c r="L7720" s="8"/>
    </row>
    <row r="7721" spans="7:12" x14ac:dyDescent="0.2">
      <c r="G7721" s="45"/>
      <c r="L7721" s="8"/>
    </row>
    <row r="7722" spans="7:12" x14ac:dyDescent="0.2">
      <c r="G7722" s="45"/>
      <c r="L7722" s="8"/>
    </row>
    <row r="7723" spans="7:12" x14ac:dyDescent="0.2">
      <c r="G7723" s="45"/>
      <c r="L7723" s="8"/>
    </row>
    <row r="7724" spans="7:12" x14ac:dyDescent="0.2">
      <c r="G7724" s="45"/>
      <c r="L7724" s="8"/>
    </row>
    <row r="7725" spans="7:12" x14ac:dyDescent="0.2">
      <c r="G7725" s="45"/>
      <c r="L7725" s="8"/>
    </row>
    <row r="7726" spans="7:12" x14ac:dyDescent="0.2">
      <c r="G7726" s="45"/>
      <c r="L7726" s="8"/>
    </row>
    <row r="7727" spans="7:12" x14ac:dyDescent="0.2">
      <c r="G7727" s="45"/>
      <c r="L7727" s="8"/>
    </row>
    <row r="7728" spans="7:12" x14ac:dyDescent="0.2">
      <c r="G7728" s="45"/>
      <c r="L7728" s="8"/>
    </row>
    <row r="7729" spans="7:12" x14ac:dyDescent="0.2">
      <c r="G7729" s="45"/>
      <c r="L7729" s="8"/>
    </row>
    <row r="7730" spans="7:12" x14ac:dyDescent="0.2">
      <c r="G7730" s="45"/>
      <c r="L7730" s="8"/>
    </row>
    <row r="7731" spans="7:12" x14ac:dyDescent="0.2">
      <c r="G7731" s="45"/>
      <c r="L7731" s="8"/>
    </row>
    <row r="7732" spans="7:12" x14ac:dyDescent="0.2">
      <c r="G7732" s="45"/>
      <c r="L7732" s="8"/>
    </row>
    <row r="7733" spans="7:12" x14ac:dyDescent="0.2">
      <c r="G7733" s="45"/>
      <c r="L7733" s="8"/>
    </row>
    <row r="7734" spans="7:12" x14ac:dyDescent="0.2">
      <c r="G7734" s="45"/>
      <c r="L7734" s="8"/>
    </row>
    <row r="7735" spans="7:12" x14ac:dyDescent="0.2">
      <c r="G7735" s="45"/>
      <c r="L7735" s="8"/>
    </row>
    <row r="7736" spans="7:12" x14ac:dyDescent="0.2">
      <c r="G7736" s="45"/>
      <c r="L7736" s="8"/>
    </row>
    <row r="7737" spans="7:12" x14ac:dyDescent="0.2">
      <c r="G7737" s="45"/>
      <c r="L7737" s="8"/>
    </row>
    <row r="7738" spans="7:12" x14ac:dyDescent="0.2">
      <c r="G7738" s="45"/>
      <c r="L7738" s="8"/>
    </row>
    <row r="7739" spans="7:12" x14ac:dyDescent="0.2">
      <c r="G7739" s="45"/>
      <c r="L7739" s="8"/>
    </row>
    <row r="7740" spans="7:12" x14ac:dyDescent="0.2">
      <c r="G7740" s="45"/>
      <c r="L7740" s="8"/>
    </row>
    <row r="7741" spans="7:12" x14ac:dyDescent="0.2">
      <c r="G7741" s="45"/>
      <c r="L7741" s="8"/>
    </row>
    <row r="7742" spans="7:12" x14ac:dyDescent="0.2">
      <c r="G7742" s="45"/>
      <c r="L7742" s="8"/>
    </row>
    <row r="7743" spans="7:12" x14ac:dyDescent="0.2">
      <c r="G7743" s="45"/>
      <c r="L7743" s="8"/>
    </row>
    <row r="7744" spans="7:12" x14ac:dyDescent="0.2">
      <c r="G7744" s="45"/>
      <c r="L7744" s="8"/>
    </row>
    <row r="7745" spans="7:12" x14ac:dyDescent="0.2">
      <c r="G7745" s="45"/>
      <c r="L7745" s="8"/>
    </row>
    <row r="7746" spans="7:12" x14ac:dyDescent="0.2">
      <c r="G7746" s="45"/>
      <c r="L7746" s="8"/>
    </row>
    <row r="7747" spans="7:12" x14ac:dyDescent="0.2">
      <c r="G7747" s="45"/>
      <c r="L7747" s="8"/>
    </row>
    <row r="7748" spans="7:12" x14ac:dyDescent="0.2">
      <c r="G7748" s="45"/>
      <c r="L7748" s="8"/>
    </row>
    <row r="7749" spans="7:12" x14ac:dyDescent="0.2">
      <c r="G7749" s="45"/>
      <c r="L7749" s="8"/>
    </row>
    <row r="7750" spans="7:12" x14ac:dyDescent="0.2">
      <c r="G7750" s="45"/>
      <c r="L7750" s="8"/>
    </row>
    <row r="7751" spans="7:12" x14ac:dyDescent="0.2">
      <c r="G7751" s="45"/>
      <c r="L7751" s="8"/>
    </row>
    <row r="7752" spans="7:12" x14ac:dyDescent="0.2">
      <c r="G7752" s="45"/>
      <c r="L7752" s="8"/>
    </row>
    <row r="7753" spans="7:12" x14ac:dyDescent="0.2">
      <c r="G7753" s="45"/>
      <c r="L7753" s="8"/>
    </row>
    <row r="7754" spans="7:12" x14ac:dyDescent="0.2">
      <c r="G7754" s="45"/>
      <c r="L7754" s="8"/>
    </row>
    <row r="7755" spans="7:12" x14ac:dyDescent="0.2">
      <c r="G7755" s="45"/>
      <c r="L7755" s="8"/>
    </row>
    <row r="7756" spans="7:12" x14ac:dyDescent="0.2">
      <c r="G7756" s="45"/>
      <c r="L7756" s="8"/>
    </row>
    <row r="7757" spans="7:12" x14ac:dyDescent="0.2">
      <c r="G7757" s="45"/>
      <c r="L7757" s="8"/>
    </row>
    <row r="7758" spans="7:12" x14ac:dyDescent="0.2">
      <c r="G7758" s="45"/>
      <c r="L7758" s="8"/>
    </row>
    <row r="7759" spans="7:12" x14ac:dyDescent="0.2">
      <c r="G7759" s="45"/>
      <c r="L7759" s="8"/>
    </row>
    <row r="7760" spans="7:12" x14ac:dyDescent="0.2">
      <c r="G7760" s="45"/>
      <c r="L7760" s="8"/>
    </row>
    <row r="7761" spans="7:12" x14ac:dyDescent="0.2">
      <c r="G7761" s="45"/>
      <c r="L7761" s="8"/>
    </row>
    <row r="7762" spans="7:12" x14ac:dyDescent="0.2">
      <c r="G7762" s="45"/>
      <c r="L7762" s="8"/>
    </row>
    <row r="7763" spans="7:12" x14ac:dyDescent="0.2">
      <c r="G7763" s="45"/>
      <c r="L7763" s="8"/>
    </row>
    <row r="7764" spans="7:12" x14ac:dyDescent="0.2">
      <c r="G7764" s="45"/>
      <c r="L7764" s="8"/>
    </row>
    <row r="7765" spans="7:12" x14ac:dyDescent="0.2">
      <c r="G7765" s="45"/>
      <c r="L7765" s="8"/>
    </row>
    <row r="7766" spans="7:12" x14ac:dyDescent="0.2">
      <c r="G7766" s="45"/>
      <c r="L7766" s="8"/>
    </row>
    <row r="7767" spans="7:12" x14ac:dyDescent="0.2">
      <c r="G7767" s="45"/>
      <c r="L7767" s="8"/>
    </row>
    <row r="7768" spans="7:12" x14ac:dyDescent="0.2">
      <c r="G7768" s="45"/>
      <c r="L7768" s="8"/>
    </row>
    <row r="7769" spans="7:12" x14ac:dyDescent="0.2">
      <c r="G7769" s="45"/>
      <c r="L7769" s="8"/>
    </row>
    <row r="7770" spans="7:12" x14ac:dyDescent="0.2">
      <c r="G7770" s="45"/>
      <c r="L7770" s="8"/>
    </row>
    <row r="7771" spans="7:12" x14ac:dyDescent="0.2">
      <c r="G7771" s="45"/>
      <c r="L7771" s="8"/>
    </row>
    <row r="7772" spans="7:12" x14ac:dyDescent="0.2">
      <c r="G7772" s="45"/>
      <c r="L7772" s="8"/>
    </row>
    <row r="7773" spans="7:12" x14ac:dyDescent="0.2">
      <c r="G7773" s="45"/>
      <c r="L7773" s="8"/>
    </row>
    <row r="7774" spans="7:12" x14ac:dyDescent="0.2">
      <c r="G7774" s="45"/>
      <c r="L7774" s="8"/>
    </row>
    <row r="7775" spans="7:12" x14ac:dyDescent="0.2">
      <c r="G7775" s="45"/>
      <c r="L7775" s="8"/>
    </row>
    <row r="7776" spans="7:12" x14ac:dyDescent="0.2">
      <c r="G7776" s="45"/>
      <c r="L7776" s="8"/>
    </row>
    <row r="7777" spans="7:12" x14ac:dyDescent="0.2">
      <c r="G7777" s="45"/>
      <c r="L7777" s="8"/>
    </row>
    <row r="7778" spans="7:12" x14ac:dyDescent="0.2">
      <c r="G7778" s="45"/>
      <c r="L7778" s="8"/>
    </row>
    <row r="7779" spans="7:12" x14ac:dyDescent="0.2">
      <c r="G7779" s="45"/>
      <c r="L7779" s="8"/>
    </row>
    <row r="7780" spans="7:12" x14ac:dyDescent="0.2">
      <c r="G7780" s="45"/>
      <c r="L7780" s="8"/>
    </row>
    <row r="7781" spans="7:12" x14ac:dyDescent="0.2">
      <c r="G7781" s="45"/>
      <c r="L7781" s="8"/>
    </row>
    <row r="7782" spans="7:12" x14ac:dyDescent="0.2">
      <c r="G7782" s="45"/>
      <c r="L7782" s="8"/>
    </row>
    <row r="7783" spans="7:12" x14ac:dyDescent="0.2">
      <c r="G7783" s="45"/>
      <c r="L7783" s="8"/>
    </row>
    <row r="7784" spans="7:12" x14ac:dyDescent="0.2">
      <c r="G7784" s="45"/>
      <c r="L7784" s="8"/>
    </row>
    <row r="7785" spans="7:12" x14ac:dyDescent="0.2">
      <c r="G7785" s="45"/>
      <c r="L7785" s="8"/>
    </row>
    <row r="7786" spans="7:12" x14ac:dyDescent="0.2">
      <c r="G7786" s="45"/>
      <c r="L7786" s="8"/>
    </row>
    <row r="7787" spans="7:12" x14ac:dyDescent="0.2">
      <c r="G7787" s="45"/>
      <c r="L7787" s="8"/>
    </row>
    <row r="7788" spans="7:12" x14ac:dyDescent="0.2">
      <c r="G7788" s="45"/>
      <c r="L7788" s="8"/>
    </row>
    <row r="7789" spans="7:12" x14ac:dyDescent="0.2">
      <c r="G7789" s="45"/>
      <c r="L7789" s="8"/>
    </row>
    <row r="7790" spans="7:12" x14ac:dyDescent="0.2">
      <c r="G7790" s="45"/>
      <c r="L7790" s="8"/>
    </row>
    <row r="7791" spans="7:12" x14ac:dyDescent="0.2">
      <c r="G7791" s="45"/>
      <c r="L7791" s="8"/>
    </row>
    <row r="7792" spans="7:12" x14ac:dyDescent="0.2">
      <c r="G7792" s="45"/>
      <c r="L7792" s="8"/>
    </row>
    <row r="7793" spans="7:12" x14ac:dyDescent="0.2">
      <c r="G7793" s="45"/>
      <c r="L7793" s="8"/>
    </row>
    <row r="7794" spans="7:12" x14ac:dyDescent="0.2">
      <c r="G7794" s="45"/>
      <c r="L7794" s="8"/>
    </row>
    <row r="7795" spans="7:12" x14ac:dyDescent="0.2">
      <c r="G7795" s="45"/>
      <c r="L7795" s="8"/>
    </row>
    <row r="7796" spans="7:12" x14ac:dyDescent="0.2">
      <c r="G7796" s="45"/>
      <c r="L7796" s="8"/>
    </row>
    <row r="7797" spans="7:12" x14ac:dyDescent="0.2">
      <c r="G7797" s="45"/>
      <c r="L7797" s="8"/>
    </row>
    <row r="7798" spans="7:12" x14ac:dyDescent="0.2">
      <c r="G7798" s="45"/>
      <c r="L7798" s="8"/>
    </row>
    <row r="7799" spans="7:12" x14ac:dyDescent="0.2">
      <c r="G7799" s="45"/>
      <c r="L7799" s="8"/>
    </row>
    <row r="7800" spans="7:12" x14ac:dyDescent="0.2">
      <c r="G7800" s="45"/>
      <c r="L7800" s="8"/>
    </row>
    <row r="7801" spans="7:12" x14ac:dyDescent="0.2">
      <c r="G7801" s="45"/>
      <c r="L7801" s="8"/>
    </row>
    <row r="7802" spans="7:12" x14ac:dyDescent="0.2">
      <c r="G7802" s="45"/>
      <c r="L7802" s="8"/>
    </row>
    <row r="7803" spans="7:12" x14ac:dyDescent="0.2">
      <c r="G7803" s="45"/>
      <c r="L7803" s="8"/>
    </row>
    <row r="7804" spans="7:12" x14ac:dyDescent="0.2">
      <c r="G7804" s="45"/>
      <c r="L7804" s="8"/>
    </row>
    <row r="7805" spans="7:12" x14ac:dyDescent="0.2">
      <c r="G7805" s="45"/>
      <c r="L7805" s="8"/>
    </row>
    <row r="7806" spans="7:12" x14ac:dyDescent="0.2">
      <c r="G7806" s="45"/>
      <c r="L7806" s="8"/>
    </row>
    <row r="7807" spans="7:12" x14ac:dyDescent="0.2">
      <c r="G7807" s="45"/>
      <c r="L7807" s="8"/>
    </row>
    <row r="7808" spans="7:12" x14ac:dyDescent="0.2">
      <c r="G7808" s="45"/>
      <c r="L7808" s="8"/>
    </row>
    <row r="7809" spans="7:12" x14ac:dyDescent="0.2">
      <c r="G7809" s="45"/>
      <c r="L7809" s="8"/>
    </row>
    <row r="7810" spans="7:12" x14ac:dyDescent="0.2">
      <c r="G7810" s="45"/>
      <c r="L7810" s="8"/>
    </row>
    <row r="7811" spans="7:12" x14ac:dyDescent="0.2">
      <c r="G7811" s="45"/>
      <c r="L7811" s="8"/>
    </row>
    <row r="7812" spans="7:12" x14ac:dyDescent="0.2">
      <c r="G7812" s="45"/>
      <c r="L7812" s="8"/>
    </row>
    <row r="7813" spans="7:12" x14ac:dyDescent="0.2">
      <c r="G7813" s="45"/>
      <c r="L7813" s="8"/>
    </row>
    <row r="7814" spans="7:12" x14ac:dyDescent="0.2">
      <c r="G7814" s="45"/>
      <c r="L7814" s="8"/>
    </row>
    <row r="7815" spans="7:12" x14ac:dyDescent="0.2">
      <c r="G7815" s="45"/>
      <c r="L7815" s="8"/>
    </row>
    <row r="7816" spans="7:12" x14ac:dyDescent="0.2">
      <c r="G7816" s="45"/>
      <c r="L7816" s="8"/>
    </row>
    <row r="7817" spans="7:12" x14ac:dyDescent="0.2">
      <c r="G7817" s="45"/>
      <c r="L7817" s="8"/>
    </row>
    <row r="7818" spans="7:12" x14ac:dyDescent="0.2">
      <c r="G7818" s="45"/>
      <c r="L7818" s="8"/>
    </row>
    <row r="7819" spans="7:12" x14ac:dyDescent="0.2">
      <c r="G7819" s="45"/>
      <c r="L7819" s="8"/>
    </row>
    <row r="7820" spans="7:12" x14ac:dyDescent="0.2">
      <c r="G7820" s="45"/>
      <c r="L7820" s="8"/>
    </row>
    <row r="7821" spans="7:12" x14ac:dyDescent="0.2">
      <c r="G7821" s="45"/>
      <c r="L7821" s="8"/>
    </row>
    <row r="7822" spans="7:12" x14ac:dyDescent="0.2">
      <c r="G7822" s="45"/>
      <c r="L7822" s="8"/>
    </row>
    <row r="7823" spans="7:12" x14ac:dyDescent="0.2">
      <c r="G7823" s="45"/>
      <c r="L7823" s="8"/>
    </row>
    <row r="7824" spans="7:12" x14ac:dyDescent="0.2">
      <c r="G7824" s="45"/>
      <c r="L7824" s="8"/>
    </row>
    <row r="7825" spans="7:12" x14ac:dyDescent="0.2">
      <c r="G7825" s="45"/>
      <c r="L7825" s="8"/>
    </row>
    <row r="7826" spans="7:12" x14ac:dyDescent="0.2">
      <c r="G7826" s="45"/>
      <c r="L7826" s="8"/>
    </row>
    <row r="7827" spans="7:12" x14ac:dyDescent="0.2">
      <c r="G7827" s="45"/>
      <c r="L7827" s="8"/>
    </row>
    <row r="7828" spans="7:12" x14ac:dyDescent="0.2">
      <c r="G7828" s="45"/>
      <c r="L7828" s="8"/>
    </row>
    <row r="7829" spans="7:12" x14ac:dyDescent="0.2">
      <c r="G7829" s="45"/>
      <c r="L7829" s="8"/>
    </row>
    <row r="7830" spans="7:12" x14ac:dyDescent="0.2">
      <c r="G7830" s="45"/>
      <c r="L7830" s="8"/>
    </row>
    <row r="7831" spans="7:12" x14ac:dyDescent="0.2">
      <c r="G7831" s="45"/>
      <c r="L7831" s="8"/>
    </row>
    <row r="7832" spans="7:12" x14ac:dyDescent="0.2">
      <c r="G7832" s="45"/>
      <c r="L7832" s="8"/>
    </row>
    <row r="7833" spans="7:12" x14ac:dyDescent="0.2">
      <c r="G7833" s="45"/>
      <c r="L7833" s="8"/>
    </row>
    <row r="7834" spans="7:12" x14ac:dyDescent="0.2">
      <c r="G7834" s="45"/>
      <c r="L7834" s="8"/>
    </row>
    <row r="7835" spans="7:12" x14ac:dyDescent="0.2">
      <c r="G7835" s="45"/>
      <c r="L7835" s="8"/>
    </row>
    <row r="7836" spans="7:12" x14ac:dyDescent="0.2">
      <c r="G7836" s="45"/>
      <c r="L7836" s="8"/>
    </row>
    <row r="7837" spans="7:12" x14ac:dyDescent="0.2">
      <c r="G7837" s="45"/>
      <c r="L7837" s="8"/>
    </row>
    <row r="7838" spans="7:12" x14ac:dyDescent="0.2">
      <c r="G7838" s="45"/>
      <c r="L7838" s="8"/>
    </row>
    <row r="7839" spans="7:12" x14ac:dyDescent="0.2">
      <c r="G7839" s="45"/>
      <c r="L7839" s="8"/>
    </row>
    <row r="7840" spans="7:12" x14ac:dyDescent="0.2">
      <c r="G7840" s="45"/>
      <c r="L7840" s="8"/>
    </row>
    <row r="7841" spans="7:12" x14ac:dyDescent="0.2">
      <c r="G7841" s="45"/>
      <c r="L7841" s="8"/>
    </row>
    <row r="7842" spans="7:12" x14ac:dyDescent="0.2">
      <c r="G7842" s="45"/>
      <c r="L7842" s="8"/>
    </row>
    <row r="7843" spans="7:12" x14ac:dyDescent="0.2">
      <c r="G7843" s="45"/>
      <c r="L7843" s="8"/>
    </row>
    <row r="7844" spans="7:12" x14ac:dyDescent="0.2">
      <c r="G7844" s="45"/>
      <c r="L7844" s="8"/>
    </row>
    <row r="7845" spans="7:12" x14ac:dyDescent="0.2">
      <c r="G7845" s="45"/>
      <c r="L7845" s="8"/>
    </row>
    <row r="7846" spans="7:12" x14ac:dyDescent="0.2">
      <c r="G7846" s="45"/>
      <c r="L7846" s="8"/>
    </row>
    <row r="7847" spans="7:12" x14ac:dyDescent="0.2">
      <c r="G7847" s="45"/>
      <c r="L7847" s="8"/>
    </row>
    <row r="7848" spans="7:12" x14ac:dyDescent="0.2">
      <c r="G7848" s="45"/>
      <c r="L7848" s="8"/>
    </row>
    <row r="7849" spans="7:12" x14ac:dyDescent="0.2">
      <c r="G7849" s="45"/>
      <c r="L7849" s="8"/>
    </row>
    <row r="7850" spans="7:12" x14ac:dyDescent="0.2">
      <c r="G7850" s="45"/>
      <c r="L7850" s="8"/>
    </row>
    <row r="7851" spans="7:12" x14ac:dyDescent="0.2">
      <c r="G7851" s="45"/>
      <c r="L7851" s="8"/>
    </row>
    <row r="7852" spans="7:12" x14ac:dyDescent="0.2">
      <c r="G7852" s="45"/>
      <c r="L7852" s="8"/>
    </row>
    <row r="7853" spans="7:12" x14ac:dyDescent="0.2">
      <c r="G7853" s="45"/>
      <c r="L7853" s="8"/>
    </row>
    <row r="7854" spans="7:12" x14ac:dyDescent="0.2">
      <c r="G7854" s="45"/>
      <c r="L7854" s="8"/>
    </row>
    <row r="7855" spans="7:12" x14ac:dyDescent="0.2">
      <c r="G7855" s="45"/>
      <c r="L7855" s="8"/>
    </row>
    <row r="7856" spans="7:12" x14ac:dyDescent="0.2">
      <c r="G7856" s="45"/>
      <c r="L7856" s="8"/>
    </row>
    <row r="7857" spans="7:12" x14ac:dyDescent="0.2">
      <c r="G7857" s="45"/>
      <c r="L7857" s="8"/>
    </row>
    <row r="7858" spans="7:12" x14ac:dyDescent="0.2">
      <c r="G7858" s="45"/>
      <c r="L7858" s="8"/>
    </row>
    <row r="7859" spans="7:12" x14ac:dyDescent="0.2">
      <c r="G7859" s="45"/>
      <c r="L7859" s="8"/>
    </row>
    <row r="7860" spans="7:12" x14ac:dyDescent="0.2">
      <c r="G7860" s="45"/>
      <c r="L7860" s="8"/>
    </row>
    <row r="7861" spans="7:12" x14ac:dyDescent="0.2">
      <c r="G7861" s="45"/>
      <c r="L7861" s="8"/>
    </row>
    <row r="7862" spans="7:12" x14ac:dyDescent="0.2">
      <c r="G7862" s="45"/>
      <c r="L7862" s="8"/>
    </row>
    <row r="7863" spans="7:12" x14ac:dyDescent="0.2">
      <c r="G7863" s="45"/>
      <c r="L7863" s="8"/>
    </row>
    <row r="7864" spans="7:12" x14ac:dyDescent="0.2">
      <c r="G7864" s="45"/>
      <c r="L7864" s="8"/>
    </row>
    <row r="7865" spans="7:12" x14ac:dyDescent="0.2">
      <c r="G7865" s="45"/>
      <c r="L7865" s="8"/>
    </row>
    <row r="7866" spans="7:12" x14ac:dyDescent="0.2">
      <c r="G7866" s="45"/>
      <c r="L7866" s="8"/>
    </row>
    <row r="7867" spans="7:12" x14ac:dyDescent="0.2">
      <c r="G7867" s="45"/>
      <c r="L7867" s="8"/>
    </row>
    <row r="7868" spans="7:12" x14ac:dyDescent="0.2">
      <c r="G7868" s="45"/>
      <c r="L7868" s="8"/>
    </row>
    <row r="7869" spans="7:12" x14ac:dyDescent="0.2">
      <c r="G7869" s="45"/>
      <c r="L7869" s="8"/>
    </row>
    <row r="7870" spans="7:12" x14ac:dyDescent="0.2">
      <c r="G7870" s="45"/>
      <c r="L7870" s="8"/>
    </row>
    <row r="7871" spans="7:12" x14ac:dyDescent="0.2">
      <c r="G7871" s="45"/>
      <c r="L7871" s="8"/>
    </row>
    <row r="7872" spans="7:12" x14ac:dyDescent="0.2">
      <c r="G7872" s="45"/>
      <c r="L7872" s="8"/>
    </row>
    <row r="7873" spans="7:12" x14ac:dyDescent="0.2">
      <c r="G7873" s="45"/>
      <c r="L7873" s="8"/>
    </row>
    <row r="7874" spans="7:12" x14ac:dyDescent="0.2">
      <c r="G7874" s="45"/>
      <c r="L7874" s="8"/>
    </row>
    <row r="7875" spans="7:12" x14ac:dyDescent="0.2">
      <c r="G7875" s="45"/>
      <c r="L7875" s="8"/>
    </row>
    <row r="7876" spans="7:12" x14ac:dyDescent="0.2">
      <c r="G7876" s="45"/>
      <c r="L7876" s="8"/>
    </row>
    <row r="7877" spans="7:12" x14ac:dyDescent="0.2">
      <c r="G7877" s="45"/>
      <c r="L7877" s="8"/>
    </row>
    <row r="7878" spans="7:12" x14ac:dyDescent="0.2">
      <c r="G7878" s="45"/>
      <c r="L7878" s="8"/>
    </row>
    <row r="7879" spans="7:12" x14ac:dyDescent="0.2">
      <c r="G7879" s="45"/>
      <c r="L7879" s="8"/>
    </row>
    <row r="7880" spans="7:12" x14ac:dyDescent="0.2">
      <c r="G7880" s="45"/>
      <c r="L7880" s="8"/>
    </row>
    <row r="7881" spans="7:12" x14ac:dyDescent="0.2">
      <c r="G7881" s="45"/>
      <c r="L7881" s="8"/>
    </row>
    <row r="7882" spans="7:12" x14ac:dyDescent="0.2">
      <c r="G7882" s="45"/>
      <c r="L7882" s="8"/>
    </row>
    <row r="7883" spans="7:12" x14ac:dyDescent="0.2">
      <c r="G7883" s="45"/>
      <c r="L7883" s="8"/>
    </row>
    <row r="7884" spans="7:12" x14ac:dyDescent="0.2">
      <c r="G7884" s="45"/>
      <c r="L7884" s="8"/>
    </row>
    <row r="7885" spans="7:12" x14ac:dyDescent="0.2">
      <c r="G7885" s="45"/>
      <c r="L7885" s="8"/>
    </row>
    <row r="7886" spans="7:12" x14ac:dyDescent="0.2">
      <c r="G7886" s="45"/>
      <c r="L7886" s="8"/>
    </row>
    <row r="7887" spans="7:12" x14ac:dyDescent="0.2">
      <c r="G7887" s="45"/>
      <c r="L7887" s="8"/>
    </row>
    <row r="7888" spans="7:12" x14ac:dyDescent="0.2">
      <c r="G7888" s="45"/>
      <c r="L7888" s="8"/>
    </row>
    <row r="7889" spans="7:12" x14ac:dyDescent="0.2">
      <c r="G7889" s="45"/>
      <c r="L7889" s="8"/>
    </row>
    <row r="7890" spans="7:12" x14ac:dyDescent="0.2">
      <c r="G7890" s="45"/>
      <c r="L7890" s="8"/>
    </row>
    <row r="7891" spans="7:12" x14ac:dyDescent="0.2">
      <c r="G7891" s="45"/>
      <c r="L7891" s="8"/>
    </row>
    <row r="7892" spans="7:12" x14ac:dyDescent="0.2">
      <c r="G7892" s="45"/>
      <c r="L7892" s="8"/>
    </row>
    <row r="7893" spans="7:12" x14ac:dyDescent="0.2">
      <c r="G7893" s="45"/>
      <c r="L7893" s="8"/>
    </row>
    <row r="7894" spans="7:12" x14ac:dyDescent="0.2">
      <c r="G7894" s="45"/>
      <c r="L7894" s="8"/>
    </row>
    <row r="7895" spans="7:12" x14ac:dyDescent="0.2">
      <c r="G7895" s="45"/>
      <c r="L7895" s="8"/>
    </row>
    <row r="7896" spans="7:12" x14ac:dyDescent="0.2">
      <c r="G7896" s="45"/>
      <c r="L7896" s="8"/>
    </row>
    <row r="7897" spans="7:12" x14ac:dyDescent="0.2">
      <c r="G7897" s="45"/>
      <c r="L7897" s="8"/>
    </row>
    <row r="7898" spans="7:12" x14ac:dyDescent="0.2">
      <c r="G7898" s="45"/>
      <c r="L7898" s="8"/>
    </row>
    <row r="7899" spans="7:12" x14ac:dyDescent="0.2">
      <c r="G7899" s="45"/>
      <c r="L7899" s="8"/>
    </row>
    <row r="7900" spans="7:12" x14ac:dyDescent="0.2">
      <c r="G7900" s="45"/>
      <c r="L7900" s="8"/>
    </row>
    <row r="7901" spans="7:12" x14ac:dyDescent="0.2">
      <c r="G7901" s="45"/>
      <c r="L7901" s="8"/>
    </row>
    <row r="7902" spans="7:12" x14ac:dyDescent="0.2">
      <c r="G7902" s="45"/>
      <c r="L7902" s="8"/>
    </row>
    <row r="7903" spans="7:12" x14ac:dyDescent="0.2">
      <c r="G7903" s="45"/>
      <c r="L7903" s="8"/>
    </row>
    <row r="7904" spans="7:12" x14ac:dyDescent="0.2">
      <c r="G7904" s="45"/>
      <c r="L7904" s="8"/>
    </row>
    <row r="7905" spans="7:12" x14ac:dyDescent="0.2">
      <c r="G7905" s="45"/>
      <c r="L7905" s="8"/>
    </row>
    <row r="7906" spans="7:12" x14ac:dyDescent="0.2">
      <c r="G7906" s="45"/>
      <c r="L7906" s="8"/>
    </row>
    <row r="7907" spans="7:12" x14ac:dyDescent="0.2">
      <c r="G7907" s="45"/>
      <c r="L7907" s="8"/>
    </row>
    <row r="7908" spans="7:12" x14ac:dyDescent="0.2">
      <c r="G7908" s="45"/>
      <c r="L7908" s="8"/>
    </row>
    <row r="7909" spans="7:12" x14ac:dyDescent="0.2">
      <c r="G7909" s="45"/>
      <c r="L7909" s="8"/>
    </row>
    <row r="7910" spans="7:12" x14ac:dyDescent="0.2">
      <c r="G7910" s="45"/>
      <c r="L7910" s="8"/>
    </row>
    <row r="7911" spans="7:12" x14ac:dyDescent="0.2">
      <c r="G7911" s="45"/>
      <c r="L7911" s="8"/>
    </row>
    <row r="7912" spans="7:12" x14ac:dyDescent="0.2">
      <c r="G7912" s="45"/>
      <c r="L7912" s="8"/>
    </row>
    <row r="7913" spans="7:12" x14ac:dyDescent="0.2">
      <c r="G7913" s="45"/>
      <c r="L7913" s="8"/>
    </row>
    <row r="7914" spans="7:12" x14ac:dyDescent="0.2">
      <c r="G7914" s="45"/>
      <c r="L7914" s="8"/>
    </row>
    <row r="7915" spans="7:12" x14ac:dyDescent="0.2">
      <c r="G7915" s="45"/>
      <c r="L7915" s="8"/>
    </row>
    <row r="7916" spans="7:12" x14ac:dyDescent="0.2">
      <c r="G7916" s="45"/>
      <c r="L7916" s="8"/>
    </row>
    <row r="7917" spans="7:12" x14ac:dyDescent="0.2">
      <c r="G7917" s="45"/>
      <c r="L7917" s="8"/>
    </row>
    <row r="7918" spans="7:12" x14ac:dyDescent="0.2">
      <c r="G7918" s="45"/>
      <c r="L7918" s="8"/>
    </row>
    <row r="7919" spans="7:12" x14ac:dyDescent="0.2">
      <c r="G7919" s="45"/>
      <c r="L7919" s="8"/>
    </row>
    <row r="7920" spans="7:12" x14ac:dyDescent="0.2">
      <c r="G7920" s="45"/>
      <c r="L7920" s="8"/>
    </row>
    <row r="7921" spans="7:12" x14ac:dyDescent="0.2">
      <c r="G7921" s="45"/>
      <c r="L7921" s="8"/>
    </row>
    <row r="7922" spans="7:12" x14ac:dyDescent="0.2">
      <c r="G7922" s="45"/>
      <c r="L7922" s="8"/>
    </row>
    <row r="7923" spans="7:12" x14ac:dyDescent="0.2">
      <c r="G7923" s="45"/>
      <c r="L7923" s="8"/>
    </row>
    <row r="7924" spans="7:12" x14ac:dyDescent="0.2">
      <c r="G7924" s="45"/>
      <c r="L7924" s="8"/>
    </row>
    <row r="7925" spans="7:12" x14ac:dyDescent="0.2">
      <c r="G7925" s="45"/>
      <c r="L7925" s="8"/>
    </row>
    <row r="7926" spans="7:12" x14ac:dyDescent="0.2">
      <c r="G7926" s="45"/>
      <c r="L7926" s="8"/>
    </row>
    <row r="7927" spans="7:12" x14ac:dyDescent="0.2">
      <c r="G7927" s="45"/>
      <c r="L7927" s="8"/>
    </row>
    <row r="7928" spans="7:12" x14ac:dyDescent="0.2">
      <c r="G7928" s="45"/>
      <c r="L7928" s="8"/>
    </row>
    <row r="7929" spans="7:12" x14ac:dyDescent="0.2">
      <c r="G7929" s="45"/>
      <c r="L7929" s="8"/>
    </row>
    <row r="7930" spans="7:12" x14ac:dyDescent="0.2">
      <c r="G7930" s="45"/>
      <c r="L7930" s="8"/>
    </row>
    <row r="7931" spans="7:12" x14ac:dyDescent="0.2">
      <c r="G7931" s="45"/>
      <c r="L7931" s="8"/>
    </row>
    <row r="7932" spans="7:12" x14ac:dyDescent="0.2">
      <c r="G7932" s="45"/>
      <c r="L7932" s="8"/>
    </row>
    <row r="7933" spans="7:12" x14ac:dyDescent="0.2">
      <c r="G7933" s="45"/>
      <c r="L7933" s="8"/>
    </row>
    <row r="7934" spans="7:12" x14ac:dyDescent="0.2">
      <c r="G7934" s="45"/>
      <c r="L7934" s="8"/>
    </row>
    <row r="7935" spans="7:12" x14ac:dyDescent="0.2">
      <c r="G7935" s="45"/>
      <c r="L7935" s="8"/>
    </row>
    <row r="7936" spans="7:12" x14ac:dyDescent="0.2">
      <c r="G7936" s="45"/>
      <c r="L7936" s="8"/>
    </row>
    <row r="7937" spans="7:12" x14ac:dyDescent="0.2">
      <c r="G7937" s="45"/>
      <c r="L7937" s="8"/>
    </row>
    <row r="7938" spans="7:12" x14ac:dyDescent="0.2">
      <c r="G7938" s="45"/>
      <c r="L7938" s="8"/>
    </row>
    <row r="7939" spans="7:12" x14ac:dyDescent="0.2">
      <c r="G7939" s="45"/>
      <c r="L7939" s="8"/>
    </row>
    <row r="7940" spans="7:12" x14ac:dyDescent="0.2">
      <c r="G7940" s="45"/>
      <c r="L7940" s="8"/>
    </row>
    <row r="7941" spans="7:12" x14ac:dyDescent="0.2">
      <c r="G7941" s="45"/>
      <c r="L7941" s="8"/>
    </row>
    <row r="7942" spans="7:12" x14ac:dyDescent="0.2">
      <c r="G7942" s="45"/>
      <c r="L7942" s="8"/>
    </row>
    <row r="7943" spans="7:12" x14ac:dyDescent="0.2">
      <c r="G7943" s="45"/>
      <c r="L7943" s="8"/>
    </row>
    <row r="7944" spans="7:12" x14ac:dyDescent="0.2">
      <c r="G7944" s="45"/>
      <c r="L7944" s="8"/>
    </row>
    <row r="7945" spans="7:12" x14ac:dyDescent="0.2">
      <c r="G7945" s="45"/>
      <c r="L7945" s="8"/>
    </row>
    <row r="7946" spans="7:12" x14ac:dyDescent="0.2">
      <c r="G7946" s="45"/>
      <c r="L7946" s="8"/>
    </row>
    <row r="7947" spans="7:12" x14ac:dyDescent="0.2">
      <c r="G7947" s="45"/>
      <c r="L7947" s="8"/>
    </row>
    <row r="7948" spans="7:12" x14ac:dyDescent="0.2">
      <c r="G7948" s="45"/>
      <c r="L7948" s="8"/>
    </row>
    <row r="7949" spans="7:12" x14ac:dyDescent="0.2">
      <c r="G7949" s="45"/>
      <c r="L7949" s="8"/>
    </row>
    <row r="7950" spans="7:12" x14ac:dyDescent="0.2">
      <c r="G7950" s="45"/>
      <c r="L7950" s="8"/>
    </row>
    <row r="7951" spans="7:12" x14ac:dyDescent="0.2">
      <c r="G7951" s="45"/>
      <c r="L7951" s="8"/>
    </row>
    <row r="7952" spans="7:12" x14ac:dyDescent="0.2">
      <c r="G7952" s="45"/>
      <c r="L7952" s="8"/>
    </row>
    <row r="7953" spans="7:12" x14ac:dyDescent="0.2">
      <c r="G7953" s="45"/>
      <c r="L7953" s="8"/>
    </row>
    <row r="7954" spans="7:12" x14ac:dyDescent="0.2">
      <c r="G7954" s="45"/>
      <c r="L7954" s="8"/>
    </row>
    <row r="7955" spans="7:12" x14ac:dyDescent="0.2">
      <c r="G7955" s="45"/>
      <c r="L7955" s="8"/>
    </row>
    <row r="7956" spans="7:12" x14ac:dyDescent="0.2">
      <c r="G7956" s="45"/>
      <c r="L7956" s="8"/>
    </row>
    <row r="7957" spans="7:12" x14ac:dyDescent="0.2">
      <c r="G7957" s="45"/>
      <c r="L7957" s="8"/>
    </row>
    <row r="7958" spans="7:12" x14ac:dyDescent="0.2">
      <c r="G7958" s="45"/>
      <c r="L7958" s="8"/>
    </row>
    <row r="7959" spans="7:12" x14ac:dyDescent="0.2">
      <c r="G7959" s="45"/>
      <c r="L7959" s="8"/>
    </row>
    <row r="7960" spans="7:12" x14ac:dyDescent="0.2">
      <c r="G7960" s="45"/>
      <c r="L7960" s="8"/>
    </row>
    <row r="7961" spans="7:12" x14ac:dyDescent="0.2">
      <c r="G7961" s="45"/>
      <c r="L7961" s="8"/>
    </row>
    <row r="7962" spans="7:12" x14ac:dyDescent="0.2">
      <c r="G7962" s="45"/>
      <c r="L7962" s="8"/>
    </row>
    <row r="7963" spans="7:12" x14ac:dyDescent="0.2">
      <c r="G7963" s="45"/>
      <c r="L7963" s="8"/>
    </row>
    <row r="7964" spans="7:12" x14ac:dyDescent="0.2">
      <c r="G7964" s="45"/>
      <c r="L7964" s="8"/>
    </row>
    <row r="7965" spans="7:12" x14ac:dyDescent="0.2">
      <c r="G7965" s="45"/>
      <c r="L7965" s="8"/>
    </row>
    <row r="7966" spans="7:12" x14ac:dyDescent="0.2">
      <c r="G7966" s="45"/>
      <c r="L7966" s="8"/>
    </row>
    <row r="7967" spans="7:12" x14ac:dyDescent="0.2">
      <c r="G7967" s="45"/>
      <c r="L7967" s="8"/>
    </row>
    <row r="7968" spans="7:12" x14ac:dyDescent="0.2">
      <c r="G7968" s="45"/>
      <c r="L7968" s="8"/>
    </row>
    <row r="7969" spans="7:12" x14ac:dyDescent="0.2">
      <c r="G7969" s="45"/>
      <c r="L7969" s="8"/>
    </row>
    <row r="7970" spans="7:12" x14ac:dyDescent="0.2">
      <c r="G7970" s="45"/>
      <c r="L7970" s="8"/>
    </row>
    <row r="7971" spans="7:12" x14ac:dyDescent="0.2">
      <c r="G7971" s="45"/>
      <c r="L7971" s="8"/>
    </row>
    <row r="7972" spans="7:12" x14ac:dyDescent="0.2">
      <c r="G7972" s="45"/>
      <c r="L7972" s="8"/>
    </row>
    <row r="7973" spans="7:12" x14ac:dyDescent="0.2">
      <c r="G7973" s="45"/>
      <c r="L7973" s="8"/>
    </row>
    <row r="7974" spans="7:12" x14ac:dyDescent="0.2">
      <c r="G7974" s="45"/>
      <c r="L7974" s="8"/>
    </row>
    <row r="7975" spans="7:12" x14ac:dyDescent="0.2">
      <c r="G7975" s="45"/>
      <c r="L7975" s="8"/>
    </row>
    <row r="7976" spans="7:12" x14ac:dyDescent="0.2">
      <c r="G7976" s="45"/>
      <c r="L7976" s="8"/>
    </row>
    <row r="7977" spans="7:12" x14ac:dyDescent="0.2">
      <c r="G7977" s="45"/>
      <c r="L7977" s="8"/>
    </row>
    <row r="7978" spans="7:12" x14ac:dyDescent="0.2">
      <c r="G7978" s="45"/>
      <c r="L7978" s="8"/>
    </row>
    <row r="7979" spans="7:12" x14ac:dyDescent="0.2">
      <c r="G7979" s="45"/>
      <c r="L7979" s="8"/>
    </row>
    <row r="7980" spans="7:12" x14ac:dyDescent="0.2">
      <c r="G7980" s="45"/>
      <c r="L7980" s="8"/>
    </row>
    <row r="7981" spans="7:12" x14ac:dyDescent="0.2">
      <c r="G7981" s="45"/>
      <c r="L7981" s="8"/>
    </row>
    <row r="7982" spans="7:12" x14ac:dyDescent="0.2">
      <c r="G7982" s="45"/>
      <c r="L7982" s="8"/>
    </row>
    <row r="7983" spans="7:12" x14ac:dyDescent="0.2">
      <c r="G7983" s="45"/>
      <c r="L7983" s="8"/>
    </row>
    <row r="7984" spans="7:12" x14ac:dyDescent="0.2">
      <c r="G7984" s="45"/>
      <c r="L7984" s="8"/>
    </row>
    <row r="7985" spans="7:12" x14ac:dyDescent="0.2">
      <c r="G7985" s="45"/>
      <c r="L7985" s="8"/>
    </row>
    <row r="7986" spans="7:12" x14ac:dyDescent="0.2">
      <c r="G7986" s="45"/>
      <c r="L7986" s="8"/>
    </row>
    <row r="7987" spans="7:12" x14ac:dyDescent="0.2">
      <c r="G7987" s="45"/>
      <c r="L7987" s="8"/>
    </row>
    <row r="7988" spans="7:12" x14ac:dyDescent="0.2">
      <c r="G7988" s="45"/>
      <c r="L7988" s="8"/>
    </row>
    <row r="7989" spans="7:12" x14ac:dyDescent="0.2">
      <c r="G7989" s="45"/>
      <c r="L7989" s="8"/>
    </row>
    <row r="7990" spans="7:12" x14ac:dyDescent="0.2">
      <c r="G7990" s="45"/>
      <c r="L7990" s="8"/>
    </row>
    <row r="7991" spans="7:12" x14ac:dyDescent="0.2">
      <c r="G7991" s="45"/>
      <c r="L7991" s="8"/>
    </row>
    <row r="7992" spans="7:12" x14ac:dyDescent="0.2">
      <c r="G7992" s="45"/>
      <c r="L7992" s="8"/>
    </row>
    <row r="7993" spans="7:12" x14ac:dyDescent="0.2">
      <c r="G7993" s="45"/>
      <c r="L7993" s="8"/>
    </row>
    <row r="7994" spans="7:12" x14ac:dyDescent="0.2">
      <c r="G7994" s="45"/>
      <c r="L7994" s="8"/>
    </row>
    <row r="7995" spans="7:12" x14ac:dyDescent="0.2">
      <c r="G7995" s="45"/>
      <c r="L7995" s="8"/>
    </row>
    <row r="7996" spans="7:12" x14ac:dyDescent="0.2">
      <c r="G7996" s="45"/>
      <c r="L7996" s="8"/>
    </row>
    <row r="7997" spans="7:12" x14ac:dyDescent="0.2">
      <c r="G7997" s="45"/>
      <c r="L7997" s="8"/>
    </row>
    <row r="7998" spans="7:12" x14ac:dyDescent="0.2">
      <c r="G7998" s="45"/>
      <c r="L7998" s="8"/>
    </row>
    <row r="7999" spans="7:12" x14ac:dyDescent="0.2">
      <c r="G7999" s="45"/>
      <c r="L7999" s="8"/>
    </row>
    <row r="8000" spans="7:12" x14ac:dyDescent="0.2">
      <c r="G8000" s="45"/>
      <c r="L8000" s="8"/>
    </row>
    <row r="8001" spans="7:12" x14ac:dyDescent="0.2">
      <c r="G8001" s="45"/>
      <c r="L8001" s="8"/>
    </row>
    <row r="8002" spans="7:12" x14ac:dyDescent="0.2">
      <c r="G8002" s="45"/>
      <c r="L8002" s="8"/>
    </row>
    <row r="8003" spans="7:12" x14ac:dyDescent="0.2">
      <c r="G8003" s="45"/>
      <c r="L8003" s="8"/>
    </row>
    <row r="8004" spans="7:12" x14ac:dyDescent="0.2">
      <c r="G8004" s="45"/>
      <c r="L8004" s="8"/>
    </row>
    <row r="8005" spans="7:12" x14ac:dyDescent="0.2">
      <c r="G8005" s="45"/>
      <c r="L8005" s="8"/>
    </row>
    <row r="8006" spans="7:12" x14ac:dyDescent="0.2">
      <c r="G8006" s="45"/>
      <c r="L8006" s="8"/>
    </row>
    <row r="8007" spans="7:12" x14ac:dyDescent="0.2">
      <c r="G8007" s="45"/>
      <c r="L8007" s="8"/>
    </row>
    <row r="8008" spans="7:12" x14ac:dyDescent="0.2">
      <c r="G8008" s="45"/>
      <c r="L8008" s="8"/>
    </row>
    <row r="8009" spans="7:12" x14ac:dyDescent="0.2">
      <c r="G8009" s="45"/>
      <c r="L8009" s="8"/>
    </row>
    <row r="8010" spans="7:12" x14ac:dyDescent="0.2">
      <c r="G8010" s="45"/>
      <c r="L8010" s="8"/>
    </row>
    <row r="8011" spans="7:12" x14ac:dyDescent="0.2">
      <c r="G8011" s="45"/>
      <c r="L8011" s="8"/>
    </row>
    <row r="8012" spans="7:12" x14ac:dyDescent="0.2">
      <c r="G8012" s="45"/>
      <c r="L8012" s="8"/>
    </row>
    <row r="8013" spans="7:12" x14ac:dyDescent="0.2">
      <c r="G8013" s="45"/>
      <c r="L8013" s="8"/>
    </row>
    <row r="8014" spans="7:12" x14ac:dyDescent="0.2">
      <c r="G8014" s="45"/>
      <c r="L8014" s="8"/>
    </row>
    <row r="8015" spans="7:12" x14ac:dyDescent="0.2">
      <c r="G8015" s="45"/>
      <c r="L8015" s="8"/>
    </row>
    <row r="8016" spans="7:12" x14ac:dyDescent="0.2">
      <c r="G8016" s="45"/>
      <c r="L8016" s="8"/>
    </row>
    <row r="8017" spans="7:12" x14ac:dyDescent="0.2">
      <c r="G8017" s="45"/>
      <c r="L8017" s="8"/>
    </row>
    <row r="8018" spans="7:12" x14ac:dyDescent="0.2">
      <c r="G8018" s="45"/>
      <c r="L8018" s="8"/>
    </row>
    <row r="8019" spans="7:12" x14ac:dyDescent="0.2">
      <c r="G8019" s="45"/>
      <c r="L8019" s="8"/>
    </row>
    <row r="8020" spans="7:12" x14ac:dyDescent="0.2">
      <c r="G8020" s="45"/>
      <c r="L8020" s="8"/>
    </row>
    <row r="8021" spans="7:12" x14ac:dyDescent="0.2">
      <c r="G8021" s="45"/>
      <c r="L8021" s="8"/>
    </row>
    <row r="8022" spans="7:12" x14ac:dyDescent="0.2">
      <c r="G8022" s="45"/>
      <c r="L8022" s="8"/>
    </row>
    <row r="8023" spans="7:12" x14ac:dyDescent="0.2">
      <c r="G8023" s="45"/>
      <c r="L8023" s="8"/>
    </row>
    <row r="8024" spans="7:12" x14ac:dyDescent="0.2">
      <c r="G8024" s="45"/>
      <c r="L8024" s="8"/>
    </row>
    <row r="8025" spans="7:12" x14ac:dyDescent="0.2">
      <c r="G8025" s="45"/>
      <c r="L8025" s="8"/>
    </row>
    <row r="8026" spans="7:12" x14ac:dyDescent="0.2">
      <c r="G8026" s="45"/>
      <c r="L8026" s="8"/>
    </row>
    <row r="8027" spans="7:12" x14ac:dyDescent="0.2">
      <c r="G8027" s="45"/>
      <c r="L8027" s="8"/>
    </row>
    <row r="8028" spans="7:12" x14ac:dyDescent="0.2">
      <c r="G8028" s="45"/>
      <c r="L8028" s="8"/>
    </row>
    <row r="8029" spans="7:12" x14ac:dyDescent="0.2">
      <c r="G8029" s="45"/>
      <c r="L8029" s="8"/>
    </row>
    <row r="8030" spans="7:12" x14ac:dyDescent="0.2">
      <c r="G8030" s="45"/>
      <c r="L8030" s="8"/>
    </row>
    <row r="8031" spans="7:12" x14ac:dyDescent="0.2">
      <c r="G8031" s="45"/>
      <c r="L8031" s="8"/>
    </row>
    <row r="8032" spans="7:12" x14ac:dyDescent="0.2">
      <c r="G8032" s="45"/>
      <c r="L8032" s="8"/>
    </row>
    <row r="8033" spans="7:12" x14ac:dyDescent="0.2">
      <c r="G8033" s="45"/>
      <c r="L8033" s="8"/>
    </row>
    <row r="8034" spans="7:12" x14ac:dyDescent="0.2">
      <c r="G8034" s="45"/>
      <c r="L8034" s="8"/>
    </row>
    <row r="8035" spans="7:12" x14ac:dyDescent="0.2">
      <c r="G8035" s="45"/>
      <c r="L8035" s="8"/>
    </row>
    <row r="8036" spans="7:12" x14ac:dyDescent="0.2">
      <c r="G8036" s="45"/>
      <c r="L8036" s="8"/>
    </row>
    <row r="8037" spans="7:12" x14ac:dyDescent="0.2">
      <c r="G8037" s="45"/>
      <c r="L8037" s="8"/>
    </row>
    <row r="8038" spans="7:12" x14ac:dyDescent="0.2">
      <c r="G8038" s="45"/>
      <c r="L8038" s="8"/>
    </row>
    <row r="8039" spans="7:12" x14ac:dyDescent="0.2">
      <c r="G8039" s="45"/>
      <c r="L8039" s="8"/>
    </row>
    <row r="8040" spans="7:12" x14ac:dyDescent="0.2">
      <c r="G8040" s="45"/>
      <c r="L8040" s="8"/>
    </row>
    <row r="8041" spans="7:12" x14ac:dyDescent="0.2">
      <c r="G8041" s="45"/>
      <c r="L8041" s="8"/>
    </row>
    <row r="8042" spans="7:12" x14ac:dyDescent="0.2">
      <c r="G8042" s="45"/>
      <c r="L8042" s="8"/>
    </row>
    <row r="8043" spans="7:12" x14ac:dyDescent="0.2">
      <c r="G8043" s="45"/>
      <c r="L8043" s="8"/>
    </row>
    <row r="8044" spans="7:12" x14ac:dyDescent="0.2">
      <c r="G8044" s="45"/>
      <c r="L8044" s="8"/>
    </row>
    <row r="8045" spans="7:12" x14ac:dyDescent="0.2">
      <c r="G8045" s="45"/>
      <c r="L8045" s="8"/>
    </row>
    <row r="8046" spans="7:12" x14ac:dyDescent="0.2">
      <c r="G8046" s="45"/>
      <c r="L8046" s="8"/>
    </row>
    <row r="8047" spans="7:12" x14ac:dyDescent="0.2">
      <c r="G8047" s="45"/>
      <c r="L8047" s="8"/>
    </row>
    <row r="8048" spans="7:12" x14ac:dyDescent="0.2">
      <c r="G8048" s="45"/>
      <c r="L8048" s="8"/>
    </row>
    <row r="8049" spans="7:12" x14ac:dyDescent="0.2">
      <c r="G8049" s="45"/>
      <c r="L8049" s="8"/>
    </row>
    <row r="8050" spans="7:12" x14ac:dyDescent="0.2">
      <c r="G8050" s="45"/>
      <c r="L8050" s="8"/>
    </row>
    <row r="8051" spans="7:12" x14ac:dyDescent="0.2">
      <c r="G8051" s="45"/>
      <c r="L8051" s="8"/>
    </row>
    <row r="8052" spans="7:12" x14ac:dyDescent="0.2">
      <c r="G8052" s="45"/>
      <c r="L8052" s="8"/>
    </row>
    <row r="8053" spans="7:12" x14ac:dyDescent="0.2">
      <c r="G8053" s="45"/>
      <c r="L8053" s="8"/>
    </row>
    <row r="8054" spans="7:12" x14ac:dyDescent="0.2">
      <c r="G8054" s="45"/>
      <c r="L8054" s="8"/>
    </row>
    <row r="8055" spans="7:12" x14ac:dyDescent="0.2">
      <c r="G8055" s="45"/>
      <c r="L8055" s="8"/>
    </row>
    <row r="8056" spans="7:12" x14ac:dyDescent="0.2">
      <c r="G8056" s="45"/>
      <c r="L8056" s="8"/>
    </row>
    <row r="8057" spans="7:12" x14ac:dyDescent="0.2">
      <c r="G8057" s="45"/>
      <c r="L8057" s="8"/>
    </row>
    <row r="8058" spans="7:12" x14ac:dyDescent="0.2">
      <c r="G8058" s="45"/>
      <c r="L8058" s="8"/>
    </row>
    <row r="8059" spans="7:12" x14ac:dyDescent="0.2">
      <c r="G8059" s="45"/>
      <c r="L8059" s="8"/>
    </row>
    <row r="8060" spans="7:12" x14ac:dyDescent="0.2">
      <c r="G8060" s="45"/>
      <c r="L8060" s="8"/>
    </row>
    <row r="8061" spans="7:12" x14ac:dyDescent="0.2">
      <c r="G8061" s="45"/>
      <c r="L8061" s="8"/>
    </row>
    <row r="8062" spans="7:12" x14ac:dyDescent="0.2">
      <c r="G8062" s="45"/>
      <c r="L8062" s="8"/>
    </row>
    <row r="8063" spans="7:12" x14ac:dyDescent="0.2">
      <c r="G8063" s="45"/>
      <c r="L8063" s="8"/>
    </row>
    <row r="8064" spans="7:12" x14ac:dyDescent="0.2">
      <c r="G8064" s="45"/>
      <c r="L8064" s="8"/>
    </row>
    <row r="8065" spans="7:12" x14ac:dyDescent="0.2">
      <c r="G8065" s="45"/>
      <c r="L8065" s="8"/>
    </row>
    <row r="8066" spans="7:12" x14ac:dyDescent="0.2">
      <c r="G8066" s="45"/>
      <c r="L8066" s="8"/>
    </row>
    <row r="8067" spans="7:12" x14ac:dyDescent="0.2">
      <c r="G8067" s="45"/>
      <c r="L8067" s="8"/>
    </row>
    <row r="8068" spans="7:12" x14ac:dyDescent="0.2">
      <c r="G8068" s="45"/>
      <c r="L8068" s="8"/>
    </row>
    <row r="8069" spans="7:12" x14ac:dyDescent="0.2">
      <c r="G8069" s="45"/>
      <c r="L8069" s="8"/>
    </row>
    <row r="8070" spans="7:12" x14ac:dyDescent="0.2">
      <c r="G8070" s="45"/>
      <c r="L8070" s="8"/>
    </row>
    <row r="8071" spans="7:12" x14ac:dyDescent="0.2">
      <c r="G8071" s="45"/>
      <c r="L8071" s="8"/>
    </row>
    <row r="8072" spans="7:12" x14ac:dyDescent="0.2">
      <c r="G8072" s="45"/>
      <c r="L8072" s="8"/>
    </row>
    <row r="8073" spans="7:12" x14ac:dyDescent="0.2">
      <c r="G8073" s="45"/>
      <c r="L8073" s="8"/>
    </row>
    <row r="8074" spans="7:12" x14ac:dyDescent="0.2">
      <c r="G8074" s="45"/>
      <c r="L8074" s="8"/>
    </row>
    <row r="8075" spans="7:12" x14ac:dyDescent="0.2">
      <c r="G8075" s="45"/>
      <c r="L8075" s="8"/>
    </row>
    <row r="8076" spans="7:12" x14ac:dyDescent="0.2">
      <c r="G8076" s="45"/>
      <c r="L8076" s="8"/>
    </row>
    <row r="8077" spans="7:12" x14ac:dyDescent="0.2">
      <c r="G8077" s="45"/>
      <c r="L8077" s="8"/>
    </row>
    <row r="8078" spans="7:12" x14ac:dyDescent="0.2">
      <c r="G8078" s="45"/>
      <c r="L8078" s="8"/>
    </row>
    <row r="8079" spans="7:12" x14ac:dyDescent="0.2">
      <c r="G8079" s="45"/>
      <c r="L8079" s="8"/>
    </row>
    <row r="8080" spans="7:12" x14ac:dyDescent="0.2">
      <c r="G8080" s="45"/>
      <c r="L8080" s="8"/>
    </row>
    <row r="8081" spans="7:12" x14ac:dyDescent="0.2">
      <c r="G8081" s="45"/>
      <c r="L8081" s="8"/>
    </row>
    <row r="8082" spans="7:12" x14ac:dyDescent="0.2">
      <c r="G8082" s="45"/>
      <c r="L8082" s="8"/>
    </row>
    <row r="8083" spans="7:12" x14ac:dyDescent="0.2">
      <c r="G8083" s="45"/>
      <c r="L8083" s="8"/>
    </row>
    <row r="8084" spans="7:12" x14ac:dyDescent="0.2">
      <c r="G8084" s="45"/>
      <c r="L8084" s="8"/>
    </row>
    <row r="8085" spans="7:12" x14ac:dyDescent="0.2">
      <c r="G8085" s="45"/>
      <c r="L8085" s="8"/>
    </row>
    <row r="8086" spans="7:12" x14ac:dyDescent="0.2">
      <c r="G8086" s="45"/>
      <c r="L8086" s="8"/>
    </row>
    <row r="8087" spans="7:12" x14ac:dyDescent="0.2">
      <c r="G8087" s="45"/>
      <c r="L8087" s="8"/>
    </row>
    <row r="8088" spans="7:12" x14ac:dyDescent="0.2">
      <c r="G8088" s="45"/>
      <c r="L8088" s="8"/>
    </row>
    <row r="8089" spans="7:12" x14ac:dyDescent="0.2">
      <c r="G8089" s="45"/>
      <c r="L8089" s="8"/>
    </row>
    <row r="8090" spans="7:12" x14ac:dyDescent="0.2">
      <c r="G8090" s="45"/>
      <c r="L8090" s="8"/>
    </row>
    <row r="8091" spans="7:12" x14ac:dyDescent="0.2">
      <c r="G8091" s="45"/>
      <c r="L8091" s="8"/>
    </row>
    <row r="8092" spans="7:12" x14ac:dyDescent="0.2">
      <c r="G8092" s="45"/>
      <c r="L8092" s="8"/>
    </row>
    <row r="8093" spans="7:12" x14ac:dyDescent="0.2">
      <c r="G8093" s="45"/>
      <c r="L8093" s="8"/>
    </row>
    <row r="8094" spans="7:12" x14ac:dyDescent="0.2">
      <c r="G8094" s="45"/>
      <c r="L8094" s="8"/>
    </row>
    <row r="8095" spans="7:12" x14ac:dyDescent="0.2">
      <c r="G8095" s="45"/>
      <c r="L8095" s="8"/>
    </row>
    <row r="8096" spans="7:12" x14ac:dyDescent="0.2">
      <c r="G8096" s="45"/>
      <c r="L8096" s="8"/>
    </row>
    <row r="8097" spans="7:12" x14ac:dyDescent="0.2">
      <c r="G8097" s="45"/>
      <c r="L8097" s="8"/>
    </row>
    <row r="8098" spans="7:12" x14ac:dyDescent="0.2">
      <c r="G8098" s="45"/>
      <c r="L8098" s="8"/>
    </row>
    <row r="8099" spans="7:12" x14ac:dyDescent="0.2">
      <c r="G8099" s="45"/>
      <c r="L8099" s="8"/>
    </row>
    <row r="8100" spans="7:12" x14ac:dyDescent="0.2">
      <c r="G8100" s="45"/>
      <c r="L8100" s="8"/>
    </row>
    <row r="8101" spans="7:12" x14ac:dyDescent="0.2">
      <c r="G8101" s="45"/>
      <c r="L8101" s="8"/>
    </row>
    <row r="8102" spans="7:12" x14ac:dyDescent="0.2">
      <c r="G8102" s="45"/>
      <c r="L8102" s="8"/>
    </row>
    <row r="8103" spans="7:12" x14ac:dyDescent="0.2">
      <c r="G8103" s="45"/>
      <c r="L8103" s="8"/>
    </row>
    <row r="8104" spans="7:12" x14ac:dyDescent="0.2">
      <c r="G8104" s="45"/>
      <c r="L8104" s="8"/>
    </row>
    <row r="8105" spans="7:12" x14ac:dyDescent="0.2">
      <c r="G8105" s="45"/>
      <c r="L8105" s="8"/>
    </row>
    <row r="8106" spans="7:12" x14ac:dyDescent="0.2">
      <c r="G8106" s="45"/>
      <c r="L8106" s="8"/>
    </row>
    <row r="8107" spans="7:12" x14ac:dyDescent="0.2">
      <c r="G8107" s="45"/>
      <c r="L8107" s="8"/>
    </row>
    <row r="8108" spans="7:12" x14ac:dyDescent="0.2">
      <c r="G8108" s="45"/>
      <c r="L8108" s="8"/>
    </row>
    <row r="8109" spans="7:12" x14ac:dyDescent="0.2">
      <c r="G8109" s="45"/>
      <c r="L8109" s="8"/>
    </row>
    <row r="8110" spans="7:12" x14ac:dyDescent="0.2">
      <c r="G8110" s="45"/>
      <c r="L8110" s="8"/>
    </row>
    <row r="8111" spans="7:12" x14ac:dyDescent="0.2">
      <c r="G8111" s="45"/>
      <c r="L8111" s="8"/>
    </row>
    <row r="8112" spans="7:12" x14ac:dyDescent="0.2">
      <c r="G8112" s="45"/>
      <c r="L8112" s="8"/>
    </row>
    <row r="8113" spans="7:12" x14ac:dyDescent="0.2">
      <c r="G8113" s="45"/>
      <c r="L8113" s="8"/>
    </row>
    <row r="8114" spans="7:12" x14ac:dyDescent="0.2">
      <c r="G8114" s="45"/>
      <c r="L8114" s="8"/>
    </row>
    <row r="8115" spans="7:12" x14ac:dyDescent="0.2">
      <c r="G8115" s="45"/>
      <c r="L8115" s="8"/>
    </row>
    <row r="8116" spans="7:12" x14ac:dyDescent="0.2">
      <c r="G8116" s="45"/>
      <c r="L8116" s="8"/>
    </row>
    <row r="8117" spans="7:12" x14ac:dyDescent="0.2">
      <c r="G8117" s="45"/>
      <c r="L8117" s="8"/>
    </row>
    <row r="8118" spans="7:12" x14ac:dyDescent="0.2">
      <c r="G8118" s="45"/>
      <c r="L8118" s="8"/>
    </row>
    <row r="8119" spans="7:12" x14ac:dyDescent="0.2">
      <c r="G8119" s="45"/>
      <c r="L8119" s="8"/>
    </row>
    <row r="8120" spans="7:12" x14ac:dyDescent="0.2">
      <c r="G8120" s="45"/>
      <c r="L8120" s="8"/>
    </row>
    <row r="8121" spans="7:12" x14ac:dyDescent="0.2">
      <c r="G8121" s="45"/>
      <c r="L8121" s="8"/>
    </row>
    <row r="8122" spans="7:12" x14ac:dyDescent="0.2">
      <c r="G8122" s="45"/>
      <c r="L8122" s="8"/>
    </row>
    <row r="8123" spans="7:12" x14ac:dyDescent="0.2">
      <c r="G8123" s="45"/>
      <c r="L8123" s="8"/>
    </row>
    <row r="8124" spans="7:12" x14ac:dyDescent="0.2">
      <c r="G8124" s="45"/>
      <c r="L8124" s="8"/>
    </row>
    <row r="8125" spans="7:12" x14ac:dyDescent="0.2">
      <c r="G8125" s="45"/>
      <c r="L8125" s="8"/>
    </row>
    <row r="8126" spans="7:12" x14ac:dyDescent="0.2">
      <c r="G8126" s="45"/>
      <c r="L8126" s="8"/>
    </row>
    <row r="8127" spans="7:12" x14ac:dyDescent="0.2">
      <c r="G8127" s="45"/>
      <c r="L8127" s="8"/>
    </row>
    <row r="8128" spans="7:12" x14ac:dyDescent="0.2">
      <c r="G8128" s="45"/>
      <c r="L8128" s="8"/>
    </row>
    <row r="8129" spans="7:12" x14ac:dyDescent="0.2">
      <c r="G8129" s="45"/>
      <c r="L8129" s="8"/>
    </row>
    <row r="8130" spans="7:12" x14ac:dyDescent="0.2">
      <c r="G8130" s="45"/>
      <c r="L8130" s="8"/>
    </row>
    <row r="8131" spans="7:12" x14ac:dyDescent="0.2">
      <c r="G8131" s="45"/>
      <c r="L8131" s="8"/>
    </row>
    <row r="8132" spans="7:12" x14ac:dyDescent="0.2">
      <c r="G8132" s="45"/>
      <c r="L8132" s="8"/>
    </row>
    <row r="8133" spans="7:12" x14ac:dyDescent="0.2">
      <c r="G8133" s="45"/>
      <c r="L8133" s="8"/>
    </row>
    <row r="8134" spans="7:12" x14ac:dyDescent="0.2">
      <c r="G8134" s="45"/>
      <c r="L8134" s="8"/>
    </row>
    <row r="8135" spans="7:12" x14ac:dyDescent="0.2">
      <c r="G8135" s="45"/>
      <c r="L8135" s="8"/>
    </row>
    <row r="8136" spans="7:12" x14ac:dyDescent="0.2">
      <c r="G8136" s="45"/>
      <c r="L8136" s="8"/>
    </row>
    <row r="8137" spans="7:12" x14ac:dyDescent="0.2">
      <c r="G8137" s="45"/>
      <c r="L8137" s="8"/>
    </row>
    <row r="8138" spans="7:12" x14ac:dyDescent="0.2">
      <c r="G8138" s="45"/>
      <c r="L8138" s="8"/>
    </row>
    <row r="8139" spans="7:12" x14ac:dyDescent="0.2">
      <c r="G8139" s="45"/>
      <c r="L8139" s="8"/>
    </row>
    <row r="8140" spans="7:12" x14ac:dyDescent="0.2">
      <c r="G8140" s="45"/>
      <c r="L8140" s="8"/>
    </row>
    <row r="8141" spans="7:12" x14ac:dyDescent="0.2">
      <c r="G8141" s="45"/>
      <c r="L8141" s="8"/>
    </row>
    <row r="8142" spans="7:12" x14ac:dyDescent="0.2">
      <c r="G8142" s="45"/>
      <c r="L8142" s="8"/>
    </row>
    <row r="8143" spans="7:12" x14ac:dyDescent="0.2">
      <c r="G8143" s="45"/>
      <c r="L8143" s="8"/>
    </row>
    <row r="8144" spans="7:12" x14ac:dyDescent="0.2">
      <c r="G8144" s="45"/>
      <c r="L8144" s="8"/>
    </row>
    <row r="8145" spans="7:12" x14ac:dyDescent="0.2">
      <c r="G8145" s="45"/>
      <c r="L8145" s="8"/>
    </row>
    <row r="8146" spans="7:12" x14ac:dyDescent="0.2">
      <c r="G8146" s="45"/>
      <c r="L8146" s="8"/>
    </row>
    <row r="8147" spans="7:12" x14ac:dyDescent="0.2">
      <c r="G8147" s="45"/>
      <c r="L8147" s="8"/>
    </row>
    <row r="8148" spans="7:12" x14ac:dyDescent="0.2">
      <c r="G8148" s="45"/>
      <c r="L8148" s="8"/>
    </row>
    <row r="8149" spans="7:12" x14ac:dyDescent="0.2">
      <c r="G8149" s="45"/>
      <c r="L8149" s="8"/>
    </row>
    <row r="8150" spans="7:12" x14ac:dyDescent="0.2">
      <c r="G8150" s="45"/>
      <c r="L8150" s="8"/>
    </row>
    <row r="8151" spans="7:12" x14ac:dyDescent="0.2">
      <c r="G8151" s="45"/>
      <c r="L8151" s="8"/>
    </row>
    <row r="8152" spans="7:12" x14ac:dyDescent="0.2">
      <c r="G8152" s="45"/>
      <c r="L8152" s="8"/>
    </row>
    <row r="8153" spans="7:12" x14ac:dyDescent="0.2">
      <c r="G8153" s="45"/>
      <c r="L8153" s="8"/>
    </row>
    <row r="8154" spans="7:12" x14ac:dyDescent="0.2">
      <c r="G8154" s="45"/>
      <c r="L8154" s="8"/>
    </row>
    <row r="8155" spans="7:12" x14ac:dyDescent="0.2">
      <c r="G8155" s="45"/>
      <c r="L8155" s="8"/>
    </row>
    <row r="8156" spans="7:12" x14ac:dyDescent="0.2">
      <c r="G8156" s="45"/>
      <c r="L8156" s="8"/>
    </row>
    <row r="8157" spans="7:12" x14ac:dyDescent="0.2">
      <c r="G8157" s="45"/>
      <c r="L8157" s="8"/>
    </row>
    <row r="8158" spans="7:12" x14ac:dyDescent="0.2">
      <c r="G8158" s="45"/>
      <c r="L8158" s="8"/>
    </row>
    <row r="8159" spans="7:12" x14ac:dyDescent="0.2">
      <c r="G8159" s="45"/>
      <c r="L8159" s="8"/>
    </row>
    <row r="8160" spans="7:12" x14ac:dyDescent="0.2">
      <c r="G8160" s="45"/>
      <c r="L8160" s="8"/>
    </row>
    <row r="8161" spans="7:12" x14ac:dyDescent="0.2">
      <c r="G8161" s="45"/>
      <c r="L8161" s="8"/>
    </row>
    <row r="8162" spans="7:12" x14ac:dyDescent="0.2">
      <c r="G8162" s="45"/>
      <c r="L8162" s="8"/>
    </row>
    <row r="8163" spans="7:12" x14ac:dyDescent="0.2">
      <c r="G8163" s="45"/>
      <c r="L8163" s="8"/>
    </row>
    <row r="8164" spans="7:12" x14ac:dyDescent="0.2">
      <c r="G8164" s="45"/>
      <c r="L8164" s="8"/>
    </row>
    <row r="8165" spans="7:12" x14ac:dyDescent="0.2">
      <c r="G8165" s="45"/>
      <c r="L8165" s="8"/>
    </row>
    <row r="8166" spans="7:12" x14ac:dyDescent="0.2">
      <c r="G8166" s="45"/>
      <c r="L8166" s="8"/>
    </row>
    <row r="8167" spans="7:12" x14ac:dyDescent="0.2">
      <c r="G8167" s="45"/>
      <c r="L8167" s="8"/>
    </row>
    <row r="8168" spans="7:12" x14ac:dyDescent="0.2">
      <c r="G8168" s="45"/>
      <c r="L8168" s="8"/>
    </row>
    <row r="8169" spans="7:12" x14ac:dyDescent="0.2">
      <c r="G8169" s="45"/>
      <c r="L8169" s="8"/>
    </row>
    <row r="8170" spans="7:12" x14ac:dyDescent="0.2">
      <c r="G8170" s="45"/>
      <c r="L8170" s="8"/>
    </row>
    <row r="8171" spans="7:12" x14ac:dyDescent="0.2">
      <c r="G8171" s="45"/>
      <c r="L8171" s="8"/>
    </row>
    <row r="8172" spans="7:12" x14ac:dyDescent="0.2">
      <c r="G8172" s="45"/>
      <c r="L8172" s="8"/>
    </row>
    <row r="8173" spans="7:12" x14ac:dyDescent="0.2">
      <c r="G8173" s="45"/>
      <c r="L8173" s="8"/>
    </row>
    <row r="8174" spans="7:12" x14ac:dyDescent="0.2">
      <c r="G8174" s="45"/>
      <c r="L8174" s="8"/>
    </row>
    <row r="8175" spans="7:12" x14ac:dyDescent="0.2">
      <c r="G8175" s="45"/>
      <c r="L8175" s="8"/>
    </row>
    <row r="8176" spans="7:12" x14ac:dyDescent="0.2">
      <c r="G8176" s="45"/>
      <c r="L8176" s="8"/>
    </row>
    <row r="8177" spans="7:12" x14ac:dyDescent="0.2">
      <c r="G8177" s="45"/>
      <c r="L8177" s="8"/>
    </row>
    <row r="8178" spans="7:12" x14ac:dyDescent="0.2">
      <c r="G8178" s="45"/>
      <c r="L8178" s="8"/>
    </row>
    <row r="8179" spans="7:12" x14ac:dyDescent="0.2">
      <c r="G8179" s="45"/>
      <c r="L8179" s="8"/>
    </row>
    <row r="8180" spans="7:12" x14ac:dyDescent="0.2">
      <c r="G8180" s="45"/>
      <c r="L8180" s="8"/>
    </row>
    <row r="8181" spans="7:12" x14ac:dyDescent="0.2">
      <c r="G8181" s="45"/>
      <c r="L8181" s="8"/>
    </row>
    <row r="8182" spans="7:12" x14ac:dyDescent="0.2">
      <c r="G8182" s="45"/>
      <c r="L8182" s="8"/>
    </row>
    <row r="8183" spans="7:12" x14ac:dyDescent="0.2">
      <c r="G8183" s="45"/>
      <c r="L8183" s="8"/>
    </row>
    <row r="8184" spans="7:12" x14ac:dyDescent="0.2">
      <c r="G8184" s="45"/>
      <c r="L8184" s="8"/>
    </row>
    <row r="8185" spans="7:12" x14ac:dyDescent="0.2">
      <c r="G8185" s="45"/>
      <c r="L8185" s="8"/>
    </row>
    <row r="8186" spans="7:12" x14ac:dyDescent="0.2">
      <c r="G8186" s="45"/>
      <c r="L8186" s="8"/>
    </row>
    <row r="8187" spans="7:12" x14ac:dyDescent="0.2">
      <c r="G8187" s="45"/>
      <c r="L8187" s="8"/>
    </row>
    <row r="8188" spans="7:12" x14ac:dyDescent="0.2">
      <c r="G8188" s="45"/>
      <c r="L8188" s="8"/>
    </row>
    <row r="8189" spans="7:12" x14ac:dyDescent="0.2">
      <c r="G8189" s="45"/>
      <c r="L8189" s="8"/>
    </row>
    <row r="8190" spans="7:12" x14ac:dyDescent="0.2">
      <c r="G8190" s="45"/>
      <c r="L8190" s="8"/>
    </row>
    <row r="8191" spans="7:12" x14ac:dyDescent="0.2">
      <c r="G8191" s="45"/>
      <c r="L8191" s="8"/>
    </row>
    <row r="8192" spans="7:12" x14ac:dyDescent="0.2">
      <c r="G8192" s="45"/>
      <c r="L8192" s="8"/>
    </row>
    <row r="8193" spans="7:12" x14ac:dyDescent="0.2">
      <c r="G8193" s="45"/>
      <c r="L8193" s="8"/>
    </row>
    <row r="8194" spans="7:12" x14ac:dyDescent="0.2">
      <c r="G8194" s="45"/>
      <c r="L8194" s="8"/>
    </row>
    <row r="8195" spans="7:12" x14ac:dyDescent="0.2">
      <c r="G8195" s="45"/>
      <c r="L8195" s="8"/>
    </row>
    <row r="8196" spans="7:12" x14ac:dyDescent="0.2">
      <c r="G8196" s="45"/>
      <c r="L8196" s="8"/>
    </row>
    <row r="8197" spans="7:12" x14ac:dyDescent="0.2">
      <c r="G8197" s="45"/>
      <c r="L8197" s="8"/>
    </row>
    <row r="8198" spans="7:12" x14ac:dyDescent="0.2">
      <c r="G8198" s="45"/>
      <c r="L8198" s="8"/>
    </row>
    <row r="8199" spans="7:12" x14ac:dyDescent="0.2">
      <c r="G8199" s="45"/>
      <c r="L8199" s="8"/>
    </row>
    <row r="8200" spans="7:12" x14ac:dyDescent="0.2">
      <c r="G8200" s="45"/>
      <c r="L8200" s="8"/>
    </row>
    <row r="8201" spans="7:12" x14ac:dyDescent="0.2">
      <c r="G8201" s="45"/>
      <c r="L8201" s="8"/>
    </row>
    <row r="8202" spans="7:12" x14ac:dyDescent="0.2">
      <c r="G8202" s="45"/>
      <c r="L8202" s="8"/>
    </row>
    <row r="8203" spans="7:12" x14ac:dyDescent="0.2">
      <c r="G8203" s="45"/>
      <c r="L8203" s="8"/>
    </row>
    <row r="8204" spans="7:12" x14ac:dyDescent="0.2">
      <c r="G8204" s="45"/>
      <c r="L8204" s="8"/>
    </row>
    <row r="8205" spans="7:12" x14ac:dyDescent="0.2">
      <c r="G8205" s="45"/>
      <c r="L8205" s="8"/>
    </row>
    <row r="8206" spans="7:12" x14ac:dyDescent="0.2">
      <c r="G8206" s="45"/>
      <c r="L8206" s="8"/>
    </row>
    <row r="8207" spans="7:12" x14ac:dyDescent="0.2">
      <c r="G8207" s="45"/>
      <c r="L8207" s="8"/>
    </row>
    <row r="8208" spans="7:12" x14ac:dyDescent="0.2">
      <c r="G8208" s="45"/>
      <c r="L8208" s="8"/>
    </row>
    <row r="8209" spans="7:12" x14ac:dyDescent="0.2">
      <c r="G8209" s="45"/>
      <c r="L8209" s="8"/>
    </row>
    <row r="8210" spans="7:12" x14ac:dyDescent="0.2">
      <c r="G8210" s="45"/>
      <c r="L8210" s="8"/>
    </row>
    <row r="8211" spans="7:12" x14ac:dyDescent="0.2">
      <c r="G8211" s="45"/>
      <c r="L8211" s="8"/>
    </row>
    <row r="8212" spans="7:12" x14ac:dyDescent="0.2">
      <c r="G8212" s="45"/>
      <c r="L8212" s="8"/>
    </row>
    <row r="8213" spans="7:12" x14ac:dyDescent="0.2">
      <c r="G8213" s="45"/>
      <c r="L8213" s="8"/>
    </row>
    <row r="8214" spans="7:12" x14ac:dyDescent="0.2">
      <c r="G8214" s="45"/>
      <c r="L8214" s="8"/>
    </row>
    <row r="8215" spans="7:12" x14ac:dyDescent="0.2">
      <c r="G8215" s="45"/>
      <c r="L8215" s="8"/>
    </row>
    <row r="8216" spans="7:12" x14ac:dyDescent="0.2">
      <c r="G8216" s="45"/>
      <c r="L8216" s="8"/>
    </row>
    <row r="8217" spans="7:12" x14ac:dyDescent="0.2">
      <c r="G8217" s="45"/>
      <c r="L8217" s="8"/>
    </row>
    <row r="8218" spans="7:12" x14ac:dyDescent="0.2">
      <c r="G8218" s="45"/>
      <c r="L8218" s="8"/>
    </row>
    <row r="8219" spans="7:12" x14ac:dyDescent="0.2">
      <c r="G8219" s="45"/>
      <c r="L8219" s="8"/>
    </row>
    <row r="8220" spans="7:12" x14ac:dyDescent="0.2">
      <c r="G8220" s="45"/>
      <c r="L8220" s="8"/>
    </row>
    <row r="8221" spans="7:12" x14ac:dyDescent="0.2">
      <c r="G8221" s="45"/>
      <c r="L8221" s="8"/>
    </row>
    <row r="8222" spans="7:12" x14ac:dyDescent="0.2">
      <c r="G8222" s="45"/>
      <c r="L8222" s="8"/>
    </row>
    <row r="8223" spans="7:12" x14ac:dyDescent="0.2">
      <c r="G8223" s="45"/>
      <c r="L8223" s="8"/>
    </row>
    <row r="8224" spans="7:12" x14ac:dyDescent="0.2">
      <c r="G8224" s="45"/>
      <c r="L8224" s="8"/>
    </row>
    <row r="8225" spans="7:12" x14ac:dyDescent="0.2">
      <c r="G8225" s="45"/>
      <c r="L8225" s="8"/>
    </row>
    <row r="8226" spans="7:12" x14ac:dyDescent="0.2">
      <c r="G8226" s="45"/>
      <c r="L8226" s="8"/>
    </row>
    <row r="8227" spans="7:12" x14ac:dyDescent="0.2">
      <c r="G8227" s="45"/>
      <c r="L8227" s="8"/>
    </row>
    <row r="8228" spans="7:12" x14ac:dyDescent="0.2">
      <c r="G8228" s="45"/>
      <c r="L8228" s="8"/>
    </row>
    <row r="8229" spans="7:12" x14ac:dyDescent="0.2">
      <c r="G8229" s="45"/>
      <c r="L8229" s="8"/>
    </row>
    <row r="8230" spans="7:12" x14ac:dyDescent="0.2">
      <c r="G8230" s="45"/>
      <c r="L8230" s="8"/>
    </row>
    <row r="8231" spans="7:12" x14ac:dyDescent="0.2">
      <c r="G8231" s="45"/>
      <c r="L8231" s="8"/>
    </row>
    <row r="8232" spans="7:12" x14ac:dyDescent="0.2">
      <c r="G8232" s="45"/>
      <c r="L8232" s="8"/>
    </row>
    <row r="8233" spans="7:12" x14ac:dyDescent="0.2">
      <c r="G8233" s="45"/>
      <c r="L8233" s="8"/>
    </row>
    <row r="8234" spans="7:12" x14ac:dyDescent="0.2">
      <c r="G8234" s="45"/>
      <c r="L8234" s="8"/>
    </row>
    <row r="8235" spans="7:12" x14ac:dyDescent="0.2">
      <c r="G8235" s="45"/>
      <c r="L8235" s="8"/>
    </row>
    <row r="8236" spans="7:12" x14ac:dyDescent="0.2">
      <c r="G8236" s="45"/>
      <c r="L8236" s="8"/>
    </row>
    <row r="8237" spans="7:12" x14ac:dyDescent="0.2">
      <c r="G8237" s="45"/>
      <c r="L8237" s="8"/>
    </row>
    <row r="8238" spans="7:12" x14ac:dyDescent="0.2">
      <c r="G8238" s="45"/>
      <c r="L8238" s="8"/>
    </row>
    <row r="8239" spans="7:12" x14ac:dyDescent="0.2">
      <c r="G8239" s="45"/>
      <c r="L8239" s="8"/>
    </row>
    <row r="8240" spans="7:12" x14ac:dyDescent="0.2">
      <c r="G8240" s="45"/>
      <c r="L8240" s="8"/>
    </row>
    <row r="8241" spans="7:12" x14ac:dyDescent="0.2">
      <c r="G8241" s="45"/>
      <c r="L8241" s="8"/>
    </row>
    <row r="8242" spans="7:12" x14ac:dyDescent="0.2">
      <c r="G8242" s="45"/>
      <c r="L8242" s="8"/>
    </row>
    <row r="8243" spans="7:12" x14ac:dyDescent="0.2">
      <c r="G8243" s="45"/>
      <c r="L8243" s="8"/>
    </row>
    <row r="8244" spans="7:12" x14ac:dyDescent="0.2">
      <c r="G8244" s="45"/>
      <c r="L8244" s="8"/>
    </row>
    <row r="8245" spans="7:12" x14ac:dyDescent="0.2">
      <c r="G8245" s="45"/>
      <c r="L8245" s="8"/>
    </row>
    <row r="8246" spans="7:12" x14ac:dyDescent="0.2">
      <c r="G8246" s="45"/>
      <c r="L8246" s="8"/>
    </row>
    <row r="8247" spans="7:12" x14ac:dyDescent="0.2">
      <c r="G8247" s="45"/>
      <c r="L8247" s="8"/>
    </row>
    <row r="8248" spans="7:12" x14ac:dyDescent="0.2">
      <c r="G8248" s="45"/>
      <c r="L8248" s="8"/>
    </row>
    <row r="8249" spans="7:12" x14ac:dyDescent="0.2">
      <c r="G8249" s="45"/>
      <c r="L8249" s="8"/>
    </row>
    <row r="8250" spans="7:12" x14ac:dyDescent="0.2">
      <c r="G8250" s="45"/>
      <c r="L8250" s="8"/>
    </row>
    <row r="8251" spans="7:12" x14ac:dyDescent="0.2">
      <c r="G8251" s="45"/>
      <c r="L8251" s="8"/>
    </row>
    <row r="8252" spans="7:12" x14ac:dyDescent="0.2">
      <c r="G8252" s="45"/>
      <c r="L8252" s="8"/>
    </row>
    <row r="8253" spans="7:12" x14ac:dyDescent="0.2">
      <c r="G8253" s="45"/>
      <c r="L8253" s="8"/>
    </row>
    <row r="8254" spans="7:12" x14ac:dyDescent="0.2">
      <c r="G8254" s="45"/>
      <c r="L8254" s="8"/>
    </row>
    <row r="8255" spans="7:12" x14ac:dyDescent="0.2">
      <c r="G8255" s="45"/>
      <c r="L8255" s="8"/>
    </row>
    <row r="8256" spans="7:12" x14ac:dyDescent="0.2">
      <c r="G8256" s="45"/>
      <c r="L8256" s="8"/>
    </row>
    <row r="8257" spans="7:12" x14ac:dyDescent="0.2">
      <c r="G8257" s="45"/>
      <c r="L8257" s="8"/>
    </row>
    <row r="8258" spans="7:12" x14ac:dyDescent="0.2">
      <c r="G8258" s="45"/>
      <c r="L8258" s="8"/>
    </row>
    <row r="8259" spans="7:12" x14ac:dyDescent="0.2">
      <c r="G8259" s="45"/>
      <c r="L8259" s="8"/>
    </row>
    <row r="8260" spans="7:12" x14ac:dyDescent="0.2">
      <c r="G8260" s="45"/>
      <c r="L8260" s="8"/>
    </row>
    <row r="8261" spans="7:12" x14ac:dyDescent="0.2">
      <c r="G8261" s="45"/>
      <c r="L8261" s="8"/>
    </row>
    <row r="8262" spans="7:12" x14ac:dyDescent="0.2">
      <c r="G8262" s="45"/>
      <c r="L8262" s="8"/>
    </row>
    <row r="8263" spans="7:12" x14ac:dyDescent="0.2">
      <c r="G8263" s="45"/>
      <c r="L8263" s="8"/>
    </row>
    <row r="8264" spans="7:12" x14ac:dyDescent="0.2">
      <c r="G8264" s="45"/>
      <c r="L8264" s="8"/>
    </row>
    <row r="8265" spans="7:12" x14ac:dyDescent="0.2">
      <c r="G8265" s="45"/>
      <c r="L8265" s="8"/>
    </row>
    <row r="8266" spans="7:12" x14ac:dyDescent="0.2">
      <c r="G8266" s="45"/>
      <c r="L8266" s="8"/>
    </row>
    <row r="8267" spans="7:12" x14ac:dyDescent="0.2">
      <c r="G8267" s="45"/>
      <c r="L8267" s="8"/>
    </row>
    <row r="8268" spans="7:12" x14ac:dyDescent="0.2">
      <c r="G8268" s="45"/>
      <c r="L8268" s="8"/>
    </row>
    <row r="8269" spans="7:12" x14ac:dyDescent="0.2">
      <c r="G8269" s="45"/>
      <c r="L8269" s="8"/>
    </row>
    <row r="8270" spans="7:12" x14ac:dyDescent="0.2">
      <c r="G8270" s="45"/>
      <c r="L8270" s="8"/>
    </row>
    <row r="8271" spans="7:12" x14ac:dyDescent="0.2">
      <c r="G8271" s="45"/>
      <c r="L8271" s="8"/>
    </row>
    <row r="8272" spans="7:12" x14ac:dyDescent="0.2">
      <c r="G8272" s="45"/>
      <c r="L8272" s="8"/>
    </row>
    <row r="8273" spans="7:12" x14ac:dyDescent="0.2">
      <c r="G8273" s="45"/>
      <c r="L8273" s="8"/>
    </row>
    <row r="8274" spans="7:12" x14ac:dyDescent="0.2">
      <c r="G8274" s="45"/>
      <c r="L8274" s="8"/>
    </row>
    <row r="8275" spans="7:12" x14ac:dyDescent="0.2">
      <c r="G8275" s="45"/>
      <c r="L8275" s="8"/>
    </row>
    <row r="8276" spans="7:12" x14ac:dyDescent="0.2">
      <c r="G8276" s="45"/>
      <c r="L8276" s="8"/>
    </row>
    <row r="8277" spans="7:12" x14ac:dyDescent="0.2">
      <c r="G8277" s="45"/>
      <c r="L8277" s="8"/>
    </row>
    <row r="8278" spans="7:12" x14ac:dyDescent="0.2">
      <c r="G8278" s="45"/>
      <c r="L8278" s="8"/>
    </row>
    <row r="8279" spans="7:12" x14ac:dyDescent="0.2">
      <c r="G8279" s="45"/>
      <c r="L8279" s="8"/>
    </row>
    <row r="8280" spans="7:12" x14ac:dyDescent="0.2">
      <c r="G8280" s="45"/>
      <c r="L8280" s="8"/>
    </row>
    <row r="8281" spans="7:12" x14ac:dyDescent="0.2">
      <c r="G8281" s="45"/>
      <c r="L8281" s="8"/>
    </row>
    <row r="8282" spans="7:12" x14ac:dyDescent="0.2">
      <c r="G8282" s="45"/>
      <c r="L8282" s="8"/>
    </row>
    <row r="8283" spans="7:12" x14ac:dyDescent="0.2">
      <c r="G8283" s="45"/>
      <c r="L8283" s="8"/>
    </row>
    <row r="8284" spans="7:12" x14ac:dyDescent="0.2">
      <c r="G8284" s="45"/>
      <c r="L8284" s="8"/>
    </row>
    <row r="8285" spans="7:12" x14ac:dyDescent="0.2">
      <c r="G8285" s="45"/>
      <c r="L8285" s="8"/>
    </row>
    <row r="8286" spans="7:12" x14ac:dyDescent="0.2">
      <c r="G8286" s="45"/>
      <c r="L8286" s="8"/>
    </row>
    <row r="8287" spans="7:12" x14ac:dyDescent="0.2">
      <c r="G8287" s="45"/>
      <c r="L8287" s="8"/>
    </row>
    <row r="8288" spans="7:12" x14ac:dyDescent="0.2">
      <c r="G8288" s="45"/>
      <c r="L8288" s="8"/>
    </row>
    <row r="8289" spans="7:12" x14ac:dyDescent="0.2">
      <c r="G8289" s="45"/>
      <c r="L8289" s="8"/>
    </row>
    <row r="8290" spans="7:12" x14ac:dyDescent="0.2">
      <c r="G8290" s="45"/>
      <c r="L8290" s="8"/>
    </row>
    <row r="8291" spans="7:12" x14ac:dyDescent="0.2">
      <c r="G8291" s="45"/>
      <c r="L8291" s="8"/>
    </row>
    <row r="8292" spans="7:12" x14ac:dyDescent="0.2">
      <c r="G8292" s="45"/>
      <c r="L8292" s="8"/>
    </row>
    <row r="8293" spans="7:12" x14ac:dyDescent="0.2">
      <c r="G8293" s="45"/>
      <c r="L8293" s="8"/>
    </row>
    <row r="8294" spans="7:12" x14ac:dyDescent="0.2">
      <c r="G8294" s="45"/>
      <c r="L8294" s="8"/>
    </row>
    <row r="8295" spans="7:12" x14ac:dyDescent="0.2">
      <c r="G8295" s="45"/>
      <c r="L8295" s="8"/>
    </row>
    <row r="8296" spans="7:12" x14ac:dyDescent="0.2">
      <c r="G8296" s="45"/>
      <c r="L8296" s="8"/>
    </row>
    <row r="8297" spans="7:12" x14ac:dyDescent="0.2">
      <c r="G8297" s="45"/>
      <c r="L8297" s="8"/>
    </row>
    <row r="8298" spans="7:12" x14ac:dyDescent="0.2">
      <c r="G8298" s="45"/>
      <c r="L8298" s="8"/>
    </row>
    <row r="8299" spans="7:12" x14ac:dyDescent="0.2">
      <c r="G8299" s="45"/>
      <c r="L8299" s="8"/>
    </row>
    <row r="8300" spans="7:12" x14ac:dyDescent="0.2">
      <c r="G8300" s="45"/>
      <c r="L8300" s="8"/>
    </row>
    <row r="8301" spans="7:12" x14ac:dyDescent="0.2">
      <c r="G8301" s="45"/>
      <c r="L8301" s="8"/>
    </row>
    <row r="8302" spans="7:12" x14ac:dyDescent="0.2">
      <c r="G8302" s="45"/>
      <c r="L8302" s="8"/>
    </row>
    <row r="8303" spans="7:12" x14ac:dyDescent="0.2">
      <c r="G8303" s="45"/>
      <c r="L8303" s="8"/>
    </row>
    <row r="8304" spans="7:12" x14ac:dyDescent="0.2">
      <c r="G8304" s="45"/>
      <c r="L8304" s="8"/>
    </row>
    <row r="8305" spans="7:12" x14ac:dyDescent="0.2">
      <c r="G8305" s="45"/>
      <c r="L8305" s="8"/>
    </row>
    <row r="8306" spans="7:12" x14ac:dyDescent="0.2">
      <c r="G8306" s="45"/>
      <c r="L8306" s="8"/>
    </row>
    <row r="8307" spans="7:12" x14ac:dyDescent="0.2">
      <c r="G8307" s="45"/>
      <c r="L8307" s="8"/>
    </row>
    <row r="8308" spans="7:12" x14ac:dyDescent="0.2">
      <c r="G8308" s="45"/>
      <c r="L8308" s="8"/>
    </row>
    <row r="8309" spans="7:12" x14ac:dyDescent="0.2">
      <c r="G8309" s="45"/>
      <c r="L8309" s="8"/>
    </row>
    <row r="8310" spans="7:12" x14ac:dyDescent="0.2">
      <c r="G8310" s="45"/>
      <c r="L8310" s="8"/>
    </row>
    <row r="8311" spans="7:12" x14ac:dyDescent="0.2">
      <c r="G8311" s="45"/>
      <c r="L8311" s="8"/>
    </row>
    <row r="8312" spans="7:12" x14ac:dyDescent="0.2">
      <c r="G8312" s="45"/>
      <c r="L8312" s="8"/>
    </row>
    <row r="8313" spans="7:12" x14ac:dyDescent="0.2">
      <c r="G8313" s="45"/>
      <c r="L8313" s="8"/>
    </row>
    <row r="8314" spans="7:12" x14ac:dyDescent="0.2">
      <c r="G8314" s="45"/>
      <c r="L8314" s="8"/>
    </row>
    <row r="8315" spans="7:12" x14ac:dyDescent="0.2">
      <c r="G8315" s="45"/>
      <c r="L8315" s="8"/>
    </row>
    <row r="8316" spans="7:12" x14ac:dyDescent="0.2">
      <c r="G8316" s="45"/>
      <c r="L8316" s="8"/>
    </row>
    <row r="8317" spans="7:12" x14ac:dyDescent="0.2">
      <c r="G8317" s="45"/>
      <c r="L8317" s="8"/>
    </row>
    <row r="8318" spans="7:12" x14ac:dyDescent="0.2">
      <c r="G8318" s="45"/>
      <c r="L8318" s="8"/>
    </row>
    <row r="8319" spans="7:12" x14ac:dyDescent="0.2">
      <c r="G8319" s="45"/>
      <c r="L8319" s="8"/>
    </row>
    <row r="8320" spans="7:12" x14ac:dyDescent="0.2">
      <c r="G8320" s="45"/>
      <c r="L8320" s="8"/>
    </row>
    <row r="8321" spans="7:12" x14ac:dyDescent="0.2">
      <c r="G8321" s="45"/>
      <c r="L8321" s="8"/>
    </row>
    <row r="8322" spans="7:12" x14ac:dyDescent="0.2">
      <c r="G8322" s="45"/>
      <c r="L8322" s="8"/>
    </row>
    <row r="8323" spans="7:12" x14ac:dyDescent="0.2">
      <c r="G8323" s="45"/>
      <c r="L8323" s="8"/>
    </row>
    <row r="8324" spans="7:12" x14ac:dyDescent="0.2">
      <c r="G8324" s="45"/>
      <c r="L8324" s="8"/>
    </row>
    <row r="8325" spans="7:12" x14ac:dyDescent="0.2">
      <c r="G8325" s="45"/>
      <c r="L8325" s="8"/>
    </row>
    <row r="8326" spans="7:12" x14ac:dyDescent="0.2">
      <c r="G8326" s="45"/>
      <c r="L8326" s="8"/>
    </row>
    <row r="8327" spans="7:12" x14ac:dyDescent="0.2">
      <c r="G8327" s="45"/>
      <c r="L8327" s="8"/>
    </row>
    <row r="8328" spans="7:12" x14ac:dyDescent="0.2">
      <c r="G8328" s="45"/>
      <c r="L8328" s="8"/>
    </row>
    <row r="8329" spans="7:12" x14ac:dyDescent="0.2">
      <c r="G8329" s="45"/>
      <c r="L8329" s="8"/>
    </row>
    <row r="8330" spans="7:12" x14ac:dyDescent="0.2">
      <c r="G8330" s="45"/>
      <c r="L8330" s="8"/>
    </row>
    <row r="8331" spans="7:12" x14ac:dyDescent="0.2">
      <c r="G8331" s="45"/>
      <c r="L8331" s="8"/>
    </row>
    <row r="8332" spans="7:12" x14ac:dyDescent="0.2">
      <c r="G8332" s="45"/>
      <c r="L8332" s="8"/>
    </row>
    <row r="8333" spans="7:12" x14ac:dyDescent="0.2">
      <c r="G8333" s="45"/>
      <c r="L8333" s="8"/>
    </row>
    <row r="8334" spans="7:12" x14ac:dyDescent="0.2">
      <c r="G8334" s="45"/>
      <c r="L8334" s="8"/>
    </row>
    <row r="8335" spans="7:12" x14ac:dyDescent="0.2">
      <c r="G8335" s="45"/>
      <c r="L8335" s="8"/>
    </row>
    <row r="8336" spans="7:12" x14ac:dyDescent="0.2">
      <c r="G8336" s="45"/>
      <c r="L8336" s="8"/>
    </row>
    <row r="8337" spans="7:12" x14ac:dyDescent="0.2">
      <c r="G8337" s="45"/>
      <c r="L8337" s="8"/>
    </row>
    <row r="8338" spans="7:12" x14ac:dyDescent="0.2">
      <c r="G8338" s="45"/>
      <c r="L8338" s="8"/>
    </row>
    <row r="8339" spans="7:12" x14ac:dyDescent="0.2">
      <c r="G8339" s="45"/>
      <c r="L8339" s="8"/>
    </row>
    <row r="8340" spans="7:12" x14ac:dyDescent="0.2">
      <c r="G8340" s="45"/>
      <c r="L8340" s="8"/>
    </row>
    <row r="8341" spans="7:12" x14ac:dyDescent="0.2">
      <c r="G8341" s="45"/>
      <c r="L8341" s="8"/>
    </row>
    <row r="8342" spans="7:12" x14ac:dyDescent="0.2">
      <c r="G8342" s="45"/>
      <c r="L8342" s="8"/>
    </row>
    <row r="8343" spans="7:12" x14ac:dyDescent="0.2">
      <c r="G8343" s="45"/>
      <c r="L8343" s="8"/>
    </row>
    <row r="8344" spans="7:12" x14ac:dyDescent="0.2">
      <c r="G8344" s="45"/>
      <c r="L8344" s="8"/>
    </row>
    <row r="8345" spans="7:12" x14ac:dyDescent="0.2">
      <c r="G8345" s="45"/>
      <c r="L8345" s="8"/>
    </row>
    <row r="8346" spans="7:12" x14ac:dyDescent="0.2">
      <c r="G8346" s="45"/>
      <c r="L8346" s="8"/>
    </row>
    <row r="8347" spans="7:12" x14ac:dyDescent="0.2">
      <c r="G8347" s="45"/>
      <c r="L8347" s="8"/>
    </row>
    <row r="8348" spans="7:12" x14ac:dyDescent="0.2">
      <c r="G8348" s="45"/>
      <c r="L8348" s="8"/>
    </row>
    <row r="8349" spans="7:12" x14ac:dyDescent="0.2">
      <c r="G8349" s="45"/>
      <c r="L8349" s="8"/>
    </row>
    <row r="8350" spans="7:12" x14ac:dyDescent="0.2">
      <c r="G8350" s="45"/>
      <c r="L8350" s="8"/>
    </row>
    <row r="8351" spans="7:12" x14ac:dyDescent="0.2">
      <c r="G8351" s="45"/>
      <c r="L8351" s="8"/>
    </row>
    <row r="8352" spans="7:12" x14ac:dyDescent="0.2">
      <c r="G8352" s="45"/>
      <c r="L8352" s="8"/>
    </row>
    <row r="8353" spans="7:12" x14ac:dyDescent="0.2">
      <c r="G8353" s="45"/>
      <c r="L8353" s="8"/>
    </row>
    <row r="8354" spans="7:12" x14ac:dyDescent="0.2">
      <c r="G8354" s="45"/>
      <c r="L8354" s="8"/>
    </row>
    <row r="8355" spans="7:12" x14ac:dyDescent="0.2">
      <c r="G8355" s="45"/>
      <c r="L8355" s="8"/>
    </row>
    <row r="8356" spans="7:12" x14ac:dyDescent="0.2">
      <c r="G8356" s="45"/>
      <c r="L8356" s="8"/>
    </row>
    <row r="8357" spans="7:12" x14ac:dyDescent="0.2">
      <c r="G8357" s="45"/>
      <c r="L8357" s="8"/>
    </row>
    <row r="8358" spans="7:12" x14ac:dyDescent="0.2">
      <c r="G8358" s="45"/>
      <c r="L8358" s="8"/>
    </row>
    <row r="8359" spans="7:12" x14ac:dyDescent="0.2">
      <c r="G8359" s="45"/>
      <c r="L8359" s="8"/>
    </row>
    <row r="8360" spans="7:12" x14ac:dyDescent="0.2">
      <c r="G8360" s="45"/>
      <c r="L8360" s="8"/>
    </row>
    <row r="8361" spans="7:12" x14ac:dyDescent="0.2">
      <c r="G8361" s="45"/>
      <c r="L8361" s="8"/>
    </row>
    <row r="8362" spans="7:12" x14ac:dyDescent="0.2">
      <c r="G8362" s="45"/>
      <c r="L8362" s="8"/>
    </row>
    <row r="8363" spans="7:12" x14ac:dyDescent="0.2">
      <c r="G8363" s="45"/>
      <c r="L8363" s="8"/>
    </row>
    <row r="8364" spans="7:12" x14ac:dyDescent="0.2">
      <c r="G8364" s="45"/>
      <c r="L8364" s="8"/>
    </row>
    <row r="8365" spans="7:12" x14ac:dyDescent="0.2">
      <c r="G8365" s="45"/>
      <c r="L8365" s="8"/>
    </row>
    <row r="8366" spans="7:12" x14ac:dyDescent="0.2">
      <c r="G8366" s="45"/>
      <c r="L8366" s="8"/>
    </row>
    <row r="8367" spans="7:12" x14ac:dyDescent="0.2">
      <c r="G8367" s="45"/>
      <c r="L8367" s="8"/>
    </row>
    <row r="8368" spans="7:12" x14ac:dyDescent="0.2">
      <c r="G8368" s="45"/>
      <c r="L8368" s="8"/>
    </row>
    <row r="8369" spans="7:12" x14ac:dyDescent="0.2">
      <c r="G8369" s="45"/>
      <c r="L8369" s="8"/>
    </row>
    <row r="8370" spans="7:12" x14ac:dyDescent="0.2">
      <c r="G8370" s="45"/>
      <c r="L8370" s="8"/>
    </row>
    <row r="8371" spans="7:12" x14ac:dyDescent="0.2">
      <c r="G8371" s="45"/>
      <c r="L8371" s="8"/>
    </row>
    <row r="8372" spans="7:12" x14ac:dyDescent="0.2">
      <c r="G8372" s="45"/>
      <c r="L8372" s="8"/>
    </row>
    <row r="8373" spans="7:12" x14ac:dyDescent="0.2">
      <c r="G8373" s="45"/>
      <c r="L8373" s="8"/>
    </row>
    <row r="8374" spans="7:12" x14ac:dyDescent="0.2">
      <c r="G8374" s="45"/>
      <c r="L8374" s="8"/>
    </row>
    <row r="8375" spans="7:12" x14ac:dyDescent="0.2">
      <c r="G8375" s="45"/>
      <c r="L8375" s="8"/>
    </row>
    <row r="8376" spans="7:12" x14ac:dyDescent="0.2">
      <c r="G8376" s="45"/>
      <c r="L8376" s="8"/>
    </row>
    <row r="8377" spans="7:12" x14ac:dyDescent="0.2">
      <c r="G8377" s="45"/>
      <c r="L8377" s="8"/>
    </row>
    <row r="8378" spans="7:12" x14ac:dyDescent="0.2">
      <c r="G8378" s="45"/>
      <c r="L8378" s="8"/>
    </row>
    <row r="8379" spans="7:12" x14ac:dyDescent="0.2">
      <c r="G8379" s="45"/>
      <c r="L8379" s="8"/>
    </row>
    <row r="8380" spans="7:12" x14ac:dyDescent="0.2">
      <c r="G8380" s="45"/>
      <c r="L8380" s="8"/>
    </row>
    <row r="8381" spans="7:12" x14ac:dyDescent="0.2">
      <c r="G8381" s="45"/>
      <c r="L8381" s="8"/>
    </row>
    <row r="8382" spans="7:12" x14ac:dyDescent="0.2">
      <c r="G8382" s="45"/>
      <c r="L8382" s="8"/>
    </row>
    <row r="8383" spans="7:12" x14ac:dyDescent="0.2">
      <c r="G8383" s="45"/>
      <c r="L8383" s="8"/>
    </row>
    <row r="8384" spans="7:12" x14ac:dyDescent="0.2">
      <c r="G8384" s="45"/>
      <c r="L8384" s="8"/>
    </row>
    <row r="8385" spans="7:12" x14ac:dyDescent="0.2">
      <c r="G8385" s="45"/>
      <c r="L8385" s="8"/>
    </row>
    <row r="8386" spans="7:12" x14ac:dyDescent="0.2">
      <c r="G8386" s="45"/>
      <c r="L8386" s="8"/>
    </row>
    <row r="8387" spans="7:12" x14ac:dyDescent="0.2">
      <c r="G8387" s="45"/>
      <c r="L8387" s="8"/>
    </row>
    <row r="8388" spans="7:12" x14ac:dyDescent="0.2">
      <c r="G8388" s="45"/>
      <c r="L8388" s="8"/>
    </row>
    <row r="8389" spans="7:12" x14ac:dyDescent="0.2">
      <c r="G8389" s="45"/>
      <c r="L8389" s="8"/>
    </row>
    <row r="8390" spans="7:12" x14ac:dyDescent="0.2">
      <c r="G8390" s="45"/>
      <c r="L8390" s="8"/>
    </row>
    <row r="8391" spans="7:12" x14ac:dyDescent="0.2">
      <c r="G8391" s="45"/>
      <c r="L8391" s="8"/>
    </row>
    <row r="8392" spans="7:12" x14ac:dyDescent="0.2">
      <c r="G8392" s="45"/>
      <c r="L8392" s="8"/>
    </row>
    <row r="8393" spans="7:12" x14ac:dyDescent="0.2">
      <c r="G8393" s="45"/>
      <c r="L8393" s="8"/>
    </row>
    <row r="8394" spans="7:12" x14ac:dyDescent="0.2">
      <c r="G8394" s="45"/>
      <c r="L8394" s="8"/>
    </row>
    <row r="8395" spans="7:12" x14ac:dyDescent="0.2">
      <c r="G8395" s="45"/>
      <c r="L8395" s="8"/>
    </row>
    <row r="8396" spans="7:12" x14ac:dyDescent="0.2">
      <c r="G8396" s="45"/>
      <c r="L8396" s="8"/>
    </row>
    <row r="8397" spans="7:12" x14ac:dyDescent="0.2">
      <c r="G8397" s="45"/>
      <c r="L8397" s="8"/>
    </row>
    <row r="8398" spans="7:12" x14ac:dyDescent="0.2">
      <c r="G8398" s="45"/>
      <c r="L8398" s="8"/>
    </row>
    <row r="8399" spans="7:12" x14ac:dyDescent="0.2">
      <c r="G8399" s="45"/>
      <c r="L8399" s="8"/>
    </row>
    <row r="8400" spans="7:12" x14ac:dyDescent="0.2">
      <c r="G8400" s="45"/>
      <c r="L8400" s="8"/>
    </row>
    <row r="8401" spans="7:12" x14ac:dyDescent="0.2">
      <c r="G8401" s="45"/>
      <c r="L8401" s="8"/>
    </row>
    <row r="8402" spans="7:12" x14ac:dyDescent="0.2">
      <c r="G8402" s="45"/>
      <c r="L8402" s="8"/>
    </row>
    <row r="8403" spans="7:12" x14ac:dyDescent="0.2">
      <c r="G8403" s="45"/>
      <c r="L8403" s="8"/>
    </row>
    <row r="8404" spans="7:12" x14ac:dyDescent="0.2">
      <c r="G8404" s="45"/>
      <c r="L8404" s="8"/>
    </row>
    <row r="8405" spans="7:12" x14ac:dyDescent="0.2">
      <c r="G8405" s="45"/>
      <c r="L8405" s="8"/>
    </row>
    <row r="8406" spans="7:12" x14ac:dyDescent="0.2">
      <c r="G8406" s="45"/>
      <c r="L8406" s="8"/>
    </row>
    <row r="8407" spans="7:12" x14ac:dyDescent="0.2">
      <c r="G8407" s="45"/>
      <c r="L8407" s="8"/>
    </row>
    <row r="8408" spans="7:12" x14ac:dyDescent="0.2">
      <c r="G8408" s="45"/>
      <c r="L8408" s="8"/>
    </row>
    <row r="8409" spans="7:12" x14ac:dyDescent="0.2">
      <c r="G8409" s="45"/>
      <c r="L8409" s="8"/>
    </row>
    <row r="8410" spans="7:12" x14ac:dyDescent="0.2">
      <c r="G8410" s="45"/>
      <c r="L8410" s="8"/>
    </row>
    <row r="8411" spans="7:12" x14ac:dyDescent="0.2">
      <c r="G8411" s="45"/>
      <c r="L8411" s="8"/>
    </row>
    <row r="8412" spans="7:12" x14ac:dyDescent="0.2">
      <c r="G8412" s="45"/>
      <c r="L8412" s="8"/>
    </row>
    <row r="8413" spans="7:12" x14ac:dyDescent="0.2">
      <c r="G8413" s="45"/>
      <c r="L8413" s="8"/>
    </row>
    <row r="8414" spans="7:12" x14ac:dyDescent="0.2">
      <c r="G8414" s="45"/>
      <c r="L8414" s="8"/>
    </row>
    <row r="8415" spans="7:12" x14ac:dyDescent="0.2">
      <c r="G8415" s="45"/>
      <c r="L8415" s="8"/>
    </row>
    <row r="8416" spans="7:12" x14ac:dyDescent="0.2">
      <c r="G8416" s="45"/>
      <c r="L8416" s="8"/>
    </row>
    <row r="8417" spans="7:12" x14ac:dyDescent="0.2">
      <c r="G8417" s="45"/>
      <c r="L8417" s="8"/>
    </row>
    <row r="8418" spans="7:12" x14ac:dyDescent="0.2">
      <c r="G8418" s="45"/>
      <c r="L8418" s="8"/>
    </row>
    <row r="8419" spans="7:12" x14ac:dyDescent="0.2">
      <c r="G8419" s="45"/>
      <c r="L8419" s="8"/>
    </row>
    <row r="8420" spans="7:12" x14ac:dyDescent="0.2">
      <c r="G8420" s="45"/>
      <c r="L8420" s="8"/>
    </row>
    <row r="8421" spans="7:12" x14ac:dyDescent="0.2">
      <c r="G8421" s="45"/>
      <c r="L8421" s="8"/>
    </row>
    <row r="8422" spans="7:12" x14ac:dyDescent="0.2">
      <c r="G8422" s="45"/>
      <c r="L8422" s="8"/>
    </row>
    <row r="8423" spans="7:12" x14ac:dyDescent="0.2">
      <c r="G8423" s="45"/>
      <c r="L8423" s="8"/>
    </row>
    <row r="8424" spans="7:12" x14ac:dyDescent="0.2">
      <c r="G8424" s="45"/>
      <c r="L8424" s="8"/>
    </row>
    <row r="8425" spans="7:12" x14ac:dyDescent="0.2">
      <c r="G8425" s="45"/>
      <c r="L8425" s="8"/>
    </row>
    <row r="8426" spans="7:12" x14ac:dyDescent="0.2">
      <c r="G8426" s="45"/>
      <c r="L8426" s="8"/>
    </row>
    <row r="8427" spans="7:12" x14ac:dyDescent="0.2">
      <c r="G8427" s="45"/>
      <c r="L8427" s="8"/>
    </row>
    <row r="8428" spans="7:12" x14ac:dyDescent="0.2">
      <c r="G8428" s="45"/>
      <c r="L8428" s="8"/>
    </row>
    <row r="8429" spans="7:12" x14ac:dyDescent="0.2">
      <c r="G8429" s="45"/>
      <c r="L8429" s="8"/>
    </row>
    <row r="8430" spans="7:12" x14ac:dyDescent="0.2">
      <c r="G8430" s="45"/>
      <c r="L8430" s="8"/>
    </row>
    <row r="8431" spans="7:12" x14ac:dyDescent="0.2">
      <c r="G8431" s="45"/>
      <c r="L8431" s="8"/>
    </row>
    <row r="8432" spans="7:12" x14ac:dyDescent="0.2">
      <c r="G8432" s="45"/>
      <c r="L8432" s="8"/>
    </row>
    <row r="8433" spans="7:12" x14ac:dyDescent="0.2">
      <c r="G8433" s="45"/>
      <c r="L8433" s="8"/>
    </row>
    <row r="8434" spans="7:12" x14ac:dyDescent="0.2">
      <c r="G8434" s="45"/>
      <c r="L8434" s="8"/>
    </row>
    <row r="8435" spans="7:12" x14ac:dyDescent="0.2">
      <c r="G8435" s="45"/>
      <c r="L8435" s="8"/>
    </row>
    <row r="8436" spans="7:12" x14ac:dyDescent="0.2">
      <c r="G8436" s="45"/>
      <c r="L8436" s="8"/>
    </row>
    <row r="8437" spans="7:12" x14ac:dyDescent="0.2">
      <c r="G8437" s="45"/>
      <c r="L8437" s="8"/>
    </row>
    <row r="8438" spans="7:12" x14ac:dyDescent="0.2">
      <c r="G8438" s="45"/>
      <c r="L8438" s="8"/>
    </row>
    <row r="8439" spans="7:12" x14ac:dyDescent="0.2">
      <c r="G8439" s="45"/>
      <c r="L8439" s="8"/>
    </row>
    <row r="8440" spans="7:12" x14ac:dyDescent="0.2">
      <c r="G8440" s="45"/>
      <c r="L8440" s="8"/>
    </row>
    <row r="8441" spans="7:12" x14ac:dyDescent="0.2">
      <c r="G8441" s="45"/>
      <c r="L8441" s="8"/>
    </row>
    <row r="8442" spans="7:12" x14ac:dyDescent="0.2">
      <c r="G8442" s="45"/>
      <c r="L8442" s="8"/>
    </row>
    <row r="8443" spans="7:12" x14ac:dyDescent="0.2">
      <c r="G8443" s="45"/>
      <c r="L8443" s="8"/>
    </row>
    <row r="8444" spans="7:12" x14ac:dyDescent="0.2">
      <c r="G8444" s="45"/>
      <c r="L8444" s="8"/>
    </row>
    <row r="8445" spans="7:12" x14ac:dyDescent="0.2">
      <c r="G8445" s="45"/>
      <c r="L8445" s="8"/>
    </row>
    <row r="8446" spans="7:12" x14ac:dyDescent="0.2">
      <c r="G8446" s="45"/>
      <c r="L8446" s="8"/>
    </row>
    <row r="8447" spans="7:12" x14ac:dyDescent="0.2">
      <c r="G8447" s="45"/>
      <c r="L8447" s="8"/>
    </row>
    <row r="8448" spans="7:12" x14ac:dyDescent="0.2">
      <c r="G8448" s="45"/>
      <c r="L8448" s="8"/>
    </row>
    <row r="8449" spans="7:12" x14ac:dyDescent="0.2">
      <c r="G8449" s="45"/>
      <c r="L8449" s="8"/>
    </row>
    <row r="8450" spans="7:12" x14ac:dyDescent="0.2">
      <c r="G8450" s="45"/>
      <c r="L8450" s="8"/>
    </row>
    <row r="8451" spans="7:12" x14ac:dyDescent="0.2">
      <c r="G8451" s="45"/>
      <c r="L8451" s="8"/>
    </row>
    <row r="8452" spans="7:12" x14ac:dyDescent="0.2">
      <c r="G8452" s="45"/>
      <c r="L8452" s="8"/>
    </row>
    <row r="8453" spans="7:12" x14ac:dyDescent="0.2">
      <c r="G8453" s="45"/>
      <c r="L8453" s="8"/>
    </row>
    <row r="8454" spans="7:12" x14ac:dyDescent="0.2">
      <c r="G8454" s="45"/>
      <c r="L8454" s="8"/>
    </row>
    <row r="8455" spans="7:12" x14ac:dyDescent="0.2">
      <c r="G8455" s="45"/>
      <c r="L8455" s="8"/>
    </row>
    <row r="8456" spans="7:12" x14ac:dyDescent="0.2">
      <c r="G8456" s="45"/>
      <c r="L8456" s="8"/>
    </row>
    <row r="8457" spans="7:12" x14ac:dyDescent="0.2">
      <c r="G8457" s="45"/>
      <c r="L8457" s="8"/>
    </row>
    <row r="8458" spans="7:12" x14ac:dyDescent="0.2">
      <c r="G8458" s="45"/>
      <c r="L8458" s="8"/>
    </row>
    <row r="8459" spans="7:12" x14ac:dyDescent="0.2">
      <c r="G8459" s="45"/>
      <c r="L8459" s="8"/>
    </row>
    <row r="8460" spans="7:12" x14ac:dyDescent="0.2">
      <c r="G8460" s="45"/>
      <c r="L8460" s="8"/>
    </row>
    <row r="8461" spans="7:12" x14ac:dyDescent="0.2">
      <c r="G8461" s="45"/>
      <c r="L8461" s="8"/>
    </row>
    <row r="8462" spans="7:12" x14ac:dyDescent="0.2">
      <c r="G8462" s="45"/>
      <c r="L8462" s="8"/>
    </row>
    <row r="8463" spans="7:12" x14ac:dyDescent="0.2">
      <c r="G8463" s="45"/>
      <c r="L8463" s="8"/>
    </row>
    <row r="8464" spans="7:12" x14ac:dyDescent="0.2">
      <c r="G8464" s="45"/>
      <c r="L8464" s="8"/>
    </row>
    <row r="8465" spans="7:12" x14ac:dyDescent="0.2">
      <c r="G8465" s="45"/>
      <c r="L8465" s="8"/>
    </row>
    <row r="8466" spans="7:12" x14ac:dyDescent="0.2">
      <c r="G8466" s="45"/>
      <c r="L8466" s="8"/>
    </row>
    <row r="8467" spans="7:12" x14ac:dyDescent="0.2">
      <c r="G8467" s="45"/>
      <c r="L8467" s="8"/>
    </row>
    <row r="8468" spans="7:12" x14ac:dyDescent="0.2">
      <c r="G8468" s="45"/>
      <c r="L8468" s="8"/>
    </row>
    <row r="8469" spans="7:12" x14ac:dyDescent="0.2">
      <c r="G8469" s="45"/>
      <c r="L8469" s="8"/>
    </row>
    <row r="8470" spans="7:12" x14ac:dyDescent="0.2">
      <c r="G8470" s="45"/>
      <c r="L8470" s="8"/>
    </row>
    <row r="8471" spans="7:12" x14ac:dyDescent="0.2">
      <c r="G8471" s="45"/>
      <c r="L8471" s="8"/>
    </row>
    <row r="8472" spans="7:12" x14ac:dyDescent="0.2">
      <c r="G8472" s="45"/>
      <c r="L8472" s="8"/>
    </row>
    <row r="8473" spans="7:12" x14ac:dyDescent="0.2">
      <c r="G8473" s="45"/>
      <c r="L8473" s="8"/>
    </row>
    <row r="8474" spans="7:12" x14ac:dyDescent="0.2">
      <c r="G8474" s="45"/>
      <c r="L8474" s="8"/>
    </row>
    <row r="8475" spans="7:12" x14ac:dyDescent="0.2">
      <c r="G8475" s="45"/>
      <c r="L8475" s="8"/>
    </row>
    <row r="8476" spans="7:12" x14ac:dyDescent="0.2">
      <c r="G8476" s="45"/>
      <c r="L8476" s="8"/>
    </row>
    <row r="8477" spans="7:12" x14ac:dyDescent="0.2">
      <c r="G8477" s="45"/>
      <c r="L8477" s="8"/>
    </row>
    <row r="8478" spans="7:12" x14ac:dyDescent="0.2">
      <c r="G8478" s="45"/>
      <c r="L8478" s="8"/>
    </row>
    <row r="8479" spans="7:12" x14ac:dyDescent="0.2">
      <c r="G8479" s="45"/>
      <c r="L8479" s="8"/>
    </row>
    <row r="8480" spans="7:12" x14ac:dyDescent="0.2">
      <c r="G8480" s="45"/>
      <c r="L8480" s="8"/>
    </row>
    <row r="8481" spans="7:12" x14ac:dyDescent="0.2">
      <c r="G8481" s="45"/>
      <c r="L8481" s="8"/>
    </row>
    <row r="8482" spans="7:12" x14ac:dyDescent="0.2">
      <c r="G8482" s="45"/>
      <c r="L8482" s="8"/>
    </row>
    <row r="8483" spans="7:12" x14ac:dyDescent="0.2">
      <c r="G8483" s="45"/>
      <c r="L8483" s="8"/>
    </row>
    <row r="8484" spans="7:12" x14ac:dyDescent="0.2">
      <c r="G8484" s="45"/>
      <c r="L8484" s="8"/>
    </row>
    <row r="8485" spans="7:12" x14ac:dyDescent="0.2">
      <c r="G8485" s="45"/>
      <c r="L8485" s="8"/>
    </row>
    <row r="8486" spans="7:12" x14ac:dyDescent="0.2">
      <c r="G8486" s="45"/>
      <c r="L8486" s="8"/>
    </row>
    <row r="8487" spans="7:12" x14ac:dyDescent="0.2">
      <c r="G8487" s="45"/>
      <c r="L8487" s="8"/>
    </row>
    <row r="8488" spans="7:12" x14ac:dyDescent="0.2">
      <c r="G8488" s="45"/>
      <c r="L8488" s="8"/>
    </row>
    <row r="8489" spans="7:12" x14ac:dyDescent="0.2">
      <c r="G8489" s="45"/>
      <c r="L8489" s="8"/>
    </row>
    <row r="8490" spans="7:12" x14ac:dyDescent="0.2">
      <c r="G8490" s="45"/>
      <c r="L8490" s="8"/>
    </row>
    <row r="8491" spans="7:12" x14ac:dyDescent="0.2">
      <c r="G8491" s="45"/>
      <c r="L8491" s="8"/>
    </row>
    <row r="8492" spans="7:12" x14ac:dyDescent="0.2">
      <c r="G8492" s="45"/>
      <c r="L8492" s="8"/>
    </row>
    <row r="8493" spans="7:12" x14ac:dyDescent="0.2">
      <c r="G8493" s="45"/>
      <c r="L8493" s="8"/>
    </row>
    <row r="8494" spans="7:12" x14ac:dyDescent="0.2">
      <c r="G8494" s="45"/>
      <c r="L8494" s="8"/>
    </row>
    <row r="8495" spans="7:12" x14ac:dyDescent="0.2">
      <c r="G8495" s="45"/>
      <c r="L8495" s="8"/>
    </row>
    <row r="8496" spans="7:12" x14ac:dyDescent="0.2">
      <c r="G8496" s="45"/>
      <c r="L8496" s="8"/>
    </row>
    <row r="8497" spans="7:12" x14ac:dyDescent="0.2">
      <c r="G8497" s="45"/>
      <c r="L8497" s="8"/>
    </row>
    <row r="8498" spans="7:12" x14ac:dyDescent="0.2">
      <c r="G8498" s="45"/>
      <c r="L8498" s="8"/>
    </row>
    <row r="8499" spans="7:12" x14ac:dyDescent="0.2">
      <c r="G8499" s="45"/>
      <c r="L8499" s="8"/>
    </row>
    <row r="8500" spans="7:12" x14ac:dyDescent="0.2">
      <c r="G8500" s="45"/>
      <c r="L8500" s="8"/>
    </row>
    <row r="8501" spans="7:12" x14ac:dyDescent="0.2">
      <c r="G8501" s="45"/>
      <c r="L8501" s="8"/>
    </row>
    <row r="8502" spans="7:12" x14ac:dyDescent="0.2">
      <c r="G8502" s="45"/>
      <c r="L8502" s="8"/>
    </row>
    <row r="8503" spans="7:12" x14ac:dyDescent="0.2">
      <c r="G8503" s="45"/>
      <c r="L8503" s="8"/>
    </row>
    <row r="8504" spans="7:12" x14ac:dyDescent="0.2">
      <c r="G8504" s="45"/>
      <c r="L8504" s="8"/>
    </row>
    <row r="8505" spans="7:12" x14ac:dyDescent="0.2">
      <c r="G8505" s="45"/>
      <c r="L8505" s="8"/>
    </row>
    <row r="8506" spans="7:12" x14ac:dyDescent="0.2">
      <c r="G8506" s="45"/>
      <c r="L8506" s="8"/>
    </row>
    <row r="8507" spans="7:12" x14ac:dyDescent="0.2">
      <c r="G8507" s="45"/>
      <c r="L8507" s="8"/>
    </row>
    <row r="8508" spans="7:12" x14ac:dyDescent="0.2">
      <c r="G8508" s="45"/>
      <c r="L8508" s="8"/>
    </row>
    <row r="8509" spans="7:12" x14ac:dyDescent="0.2">
      <c r="G8509" s="45"/>
      <c r="L8509" s="8"/>
    </row>
    <row r="8510" spans="7:12" x14ac:dyDescent="0.2">
      <c r="G8510" s="45"/>
      <c r="L8510" s="8"/>
    </row>
    <row r="8511" spans="7:12" x14ac:dyDescent="0.2">
      <c r="G8511" s="45"/>
      <c r="L8511" s="8"/>
    </row>
    <row r="8512" spans="7:12" x14ac:dyDescent="0.2">
      <c r="G8512" s="45"/>
      <c r="L8512" s="8"/>
    </row>
    <row r="8513" spans="7:12" x14ac:dyDescent="0.2">
      <c r="G8513" s="45"/>
      <c r="L8513" s="8"/>
    </row>
    <row r="8514" spans="7:12" x14ac:dyDescent="0.2">
      <c r="G8514" s="45"/>
      <c r="L8514" s="8"/>
    </row>
    <row r="8515" spans="7:12" x14ac:dyDescent="0.2">
      <c r="G8515" s="45"/>
      <c r="L8515" s="8"/>
    </row>
    <row r="8516" spans="7:12" x14ac:dyDescent="0.2">
      <c r="G8516" s="45"/>
      <c r="L8516" s="8"/>
    </row>
    <row r="8517" spans="7:12" x14ac:dyDescent="0.2">
      <c r="G8517" s="45"/>
      <c r="L8517" s="8"/>
    </row>
    <row r="8518" spans="7:12" x14ac:dyDescent="0.2">
      <c r="G8518" s="45"/>
      <c r="L8518" s="8"/>
    </row>
    <row r="8519" spans="7:12" x14ac:dyDescent="0.2">
      <c r="G8519" s="45"/>
      <c r="L8519" s="8"/>
    </row>
    <row r="8520" spans="7:12" x14ac:dyDescent="0.2">
      <c r="G8520" s="45"/>
      <c r="L8520" s="8"/>
    </row>
    <row r="8521" spans="7:12" x14ac:dyDescent="0.2">
      <c r="G8521" s="45"/>
      <c r="L8521" s="8"/>
    </row>
    <row r="8522" spans="7:12" x14ac:dyDescent="0.2">
      <c r="G8522" s="45"/>
      <c r="L8522" s="8"/>
    </row>
    <row r="8523" spans="7:12" x14ac:dyDescent="0.2">
      <c r="G8523" s="45"/>
      <c r="L8523" s="8"/>
    </row>
    <row r="8524" spans="7:12" x14ac:dyDescent="0.2">
      <c r="G8524" s="45"/>
      <c r="L8524" s="8"/>
    </row>
    <row r="8525" spans="7:12" x14ac:dyDescent="0.2">
      <c r="G8525" s="45"/>
      <c r="L8525" s="8"/>
    </row>
    <row r="8526" spans="7:12" x14ac:dyDescent="0.2">
      <c r="G8526" s="45"/>
      <c r="L8526" s="8"/>
    </row>
    <row r="8527" spans="7:12" x14ac:dyDescent="0.2">
      <c r="G8527" s="45"/>
      <c r="L8527" s="8"/>
    </row>
    <row r="8528" spans="7:12" x14ac:dyDescent="0.2">
      <c r="G8528" s="45"/>
      <c r="L8528" s="8"/>
    </row>
    <row r="8529" spans="7:12" x14ac:dyDescent="0.2">
      <c r="G8529" s="45"/>
      <c r="L8529" s="8"/>
    </row>
    <row r="8530" spans="7:12" x14ac:dyDescent="0.2">
      <c r="G8530" s="45"/>
      <c r="L8530" s="8"/>
    </row>
    <row r="8531" spans="7:12" x14ac:dyDescent="0.2">
      <c r="G8531" s="45"/>
      <c r="L8531" s="8"/>
    </row>
    <row r="8532" spans="7:12" x14ac:dyDescent="0.2">
      <c r="G8532" s="45"/>
      <c r="L8532" s="8"/>
    </row>
    <row r="8533" spans="7:12" x14ac:dyDescent="0.2">
      <c r="G8533" s="45"/>
      <c r="L8533" s="8"/>
    </row>
    <row r="8534" spans="7:12" x14ac:dyDescent="0.2">
      <c r="G8534" s="45"/>
      <c r="L8534" s="8"/>
    </row>
    <row r="8535" spans="7:12" x14ac:dyDescent="0.2">
      <c r="G8535" s="45"/>
      <c r="L8535" s="8"/>
    </row>
    <row r="8536" spans="7:12" x14ac:dyDescent="0.2">
      <c r="G8536" s="45"/>
      <c r="L8536" s="8"/>
    </row>
    <row r="8537" spans="7:12" x14ac:dyDescent="0.2">
      <c r="G8537" s="45"/>
      <c r="L8537" s="8"/>
    </row>
    <row r="8538" spans="7:12" x14ac:dyDescent="0.2">
      <c r="G8538" s="45"/>
      <c r="L8538" s="8"/>
    </row>
    <row r="8539" spans="7:12" x14ac:dyDescent="0.2">
      <c r="G8539" s="45"/>
      <c r="L8539" s="8"/>
    </row>
    <row r="8540" spans="7:12" x14ac:dyDescent="0.2">
      <c r="G8540" s="45"/>
      <c r="L8540" s="8"/>
    </row>
    <row r="8541" spans="7:12" x14ac:dyDescent="0.2">
      <c r="G8541" s="45"/>
      <c r="L8541" s="8"/>
    </row>
    <row r="8542" spans="7:12" x14ac:dyDescent="0.2">
      <c r="G8542" s="45"/>
      <c r="L8542" s="8"/>
    </row>
    <row r="8543" spans="7:12" x14ac:dyDescent="0.2">
      <c r="G8543" s="45"/>
      <c r="L8543" s="8"/>
    </row>
    <row r="8544" spans="7:12" x14ac:dyDescent="0.2">
      <c r="G8544" s="45"/>
      <c r="L8544" s="8"/>
    </row>
    <row r="8545" spans="7:12" x14ac:dyDescent="0.2">
      <c r="G8545" s="45"/>
      <c r="L8545" s="8"/>
    </row>
    <row r="8546" spans="7:12" x14ac:dyDescent="0.2">
      <c r="G8546" s="45"/>
      <c r="L8546" s="8"/>
    </row>
    <row r="8547" spans="7:12" x14ac:dyDescent="0.2">
      <c r="G8547" s="45"/>
      <c r="L8547" s="8"/>
    </row>
    <row r="8548" spans="7:12" x14ac:dyDescent="0.2">
      <c r="G8548" s="45"/>
      <c r="L8548" s="8"/>
    </row>
    <row r="8549" spans="7:12" x14ac:dyDescent="0.2">
      <c r="G8549" s="45"/>
      <c r="L8549" s="8"/>
    </row>
    <row r="8550" spans="7:12" x14ac:dyDescent="0.2">
      <c r="G8550" s="45"/>
      <c r="L8550" s="8"/>
    </row>
    <row r="8551" spans="7:12" x14ac:dyDescent="0.2">
      <c r="G8551" s="45"/>
      <c r="L8551" s="8"/>
    </row>
    <row r="8552" spans="7:12" x14ac:dyDescent="0.2">
      <c r="G8552" s="45"/>
      <c r="L8552" s="8"/>
    </row>
    <row r="8553" spans="7:12" x14ac:dyDescent="0.2">
      <c r="G8553" s="45"/>
      <c r="L8553" s="8"/>
    </row>
    <row r="8554" spans="7:12" x14ac:dyDescent="0.2">
      <c r="G8554" s="45"/>
      <c r="L8554" s="8"/>
    </row>
    <row r="8555" spans="7:12" x14ac:dyDescent="0.2">
      <c r="G8555" s="45"/>
      <c r="L8555" s="8"/>
    </row>
    <row r="8556" spans="7:12" x14ac:dyDescent="0.2">
      <c r="G8556" s="45"/>
      <c r="L8556" s="8"/>
    </row>
    <row r="8557" spans="7:12" x14ac:dyDescent="0.2">
      <c r="G8557" s="45"/>
      <c r="L8557" s="8"/>
    </row>
    <row r="8558" spans="7:12" x14ac:dyDescent="0.2">
      <c r="G8558" s="45"/>
      <c r="L8558" s="8"/>
    </row>
    <row r="8559" spans="7:12" x14ac:dyDescent="0.2">
      <c r="G8559" s="45"/>
      <c r="L8559" s="8"/>
    </row>
    <row r="8560" spans="7:12" x14ac:dyDescent="0.2">
      <c r="G8560" s="45"/>
      <c r="L8560" s="8"/>
    </row>
    <row r="8561" spans="7:12" x14ac:dyDescent="0.2">
      <c r="G8561" s="45"/>
      <c r="L8561" s="8"/>
    </row>
    <row r="8562" spans="7:12" x14ac:dyDescent="0.2">
      <c r="G8562" s="45"/>
      <c r="L8562" s="8"/>
    </row>
    <row r="8563" spans="7:12" x14ac:dyDescent="0.2">
      <c r="G8563" s="45"/>
      <c r="L8563" s="8"/>
    </row>
    <row r="8564" spans="7:12" x14ac:dyDescent="0.2">
      <c r="G8564" s="45"/>
      <c r="L8564" s="8"/>
    </row>
    <row r="8565" spans="7:12" x14ac:dyDescent="0.2">
      <c r="G8565" s="45"/>
      <c r="L8565" s="8"/>
    </row>
    <row r="8566" spans="7:12" x14ac:dyDescent="0.2">
      <c r="G8566" s="45"/>
      <c r="L8566" s="8"/>
    </row>
    <row r="8567" spans="7:12" x14ac:dyDescent="0.2">
      <c r="G8567" s="45"/>
      <c r="L8567" s="8"/>
    </row>
    <row r="8568" spans="7:12" x14ac:dyDescent="0.2">
      <c r="G8568" s="45"/>
      <c r="L8568" s="8"/>
    </row>
    <row r="8569" spans="7:12" x14ac:dyDescent="0.2">
      <c r="G8569" s="45"/>
      <c r="L8569" s="8"/>
    </row>
    <row r="8570" spans="7:12" x14ac:dyDescent="0.2">
      <c r="G8570" s="45"/>
      <c r="L8570" s="8"/>
    </row>
    <row r="8571" spans="7:12" x14ac:dyDescent="0.2">
      <c r="G8571" s="45"/>
      <c r="L8571" s="8"/>
    </row>
    <row r="8572" spans="7:12" x14ac:dyDescent="0.2">
      <c r="G8572" s="45"/>
      <c r="L8572" s="8"/>
    </row>
    <row r="8573" spans="7:12" x14ac:dyDescent="0.2">
      <c r="G8573" s="45"/>
      <c r="L8573" s="8"/>
    </row>
    <row r="8574" spans="7:12" x14ac:dyDescent="0.2">
      <c r="G8574" s="45"/>
      <c r="L8574" s="8"/>
    </row>
    <row r="8575" spans="7:12" x14ac:dyDescent="0.2">
      <c r="G8575" s="45"/>
      <c r="L8575" s="8"/>
    </row>
    <row r="8576" spans="7:12" x14ac:dyDescent="0.2">
      <c r="G8576" s="45"/>
      <c r="L8576" s="8"/>
    </row>
    <row r="8577" spans="7:12" x14ac:dyDescent="0.2">
      <c r="G8577" s="45"/>
      <c r="L8577" s="8"/>
    </row>
    <row r="8578" spans="7:12" x14ac:dyDescent="0.2">
      <c r="G8578" s="45"/>
      <c r="L8578" s="8"/>
    </row>
    <row r="8579" spans="7:12" x14ac:dyDescent="0.2">
      <c r="G8579" s="45"/>
      <c r="L8579" s="8"/>
    </row>
    <row r="8580" spans="7:12" x14ac:dyDescent="0.2">
      <c r="G8580" s="45"/>
      <c r="L8580" s="8"/>
    </row>
    <row r="8581" spans="7:12" x14ac:dyDescent="0.2">
      <c r="G8581" s="45"/>
      <c r="L8581" s="8"/>
    </row>
    <row r="8582" spans="7:12" x14ac:dyDescent="0.2">
      <c r="G8582" s="45"/>
      <c r="L8582" s="8"/>
    </row>
    <row r="8583" spans="7:12" x14ac:dyDescent="0.2">
      <c r="G8583" s="45"/>
      <c r="L8583" s="8"/>
    </row>
    <row r="8584" spans="7:12" x14ac:dyDescent="0.2">
      <c r="G8584" s="45"/>
      <c r="L8584" s="8"/>
    </row>
    <row r="8585" spans="7:12" x14ac:dyDescent="0.2">
      <c r="G8585" s="45"/>
      <c r="L8585" s="8"/>
    </row>
    <row r="8586" spans="7:12" x14ac:dyDescent="0.2">
      <c r="G8586" s="45"/>
      <c r="L8586" s="8"/>
    </row>
    <row r="8587" spans="7:12" x14ac:dyDescent="0.2">
      <c r="G8587" s="45"/>
      <c r="L8587" s="8"/>
    </row>
    <row r="8588" spans="7:12" x14ac:dyDescent="0.2">
      <c r="G8588" s="45"/>
      <c r="L8588" s="8"/>
    </row>
    <row r="8589" spans="7:12" x14ac:dyDescent="0.2">
      <c r="G8589" s="45"/>
      <c r="L8589" s="8"/>
    </row>
    <row r="8590" spans="7:12" x14ac:dyDescent="0.2">
      <c r="G8590" s="45"/>
      <c r="L8590" s="8"/>
    </row>
    <row r="8591" spans="7:12" x14ac:dyDescent="0.2">
      <c r="G8591" s="45"/>
      <c r="L8591" s="8"/>
    </row>
    <row r="8592" spans="7:12" x14ac:dyDescent="0.2">
      <c r="G8592" s="45"/>
      <c r="L8592" s="8"/>
    </row>
    <row r="8593" spans="7:12" x14ac:dyDescent="0.2">
      <c r="G8593" s="45"/>
      <c r="L8593" s="8"/>
    </row>
    <row r="8594" spans="7:12" x14ac:dyDescent="0.2">
      <c r="G8594" s="45"/>
      <c r="L8594" s="8"/>
    </row>
    <row r="8595" spans="7:12" x14ac:dyDescent="0.2">
      <c r="G8595" s="45"/>
      <c r="L8595" s="8"/>
    </row>
    <row r="8596" spans="7:12" x14ac:dyDescent="0.2">
      <c r="G8596" s="45"/>
      <c r="L8596" s="8"/>
    </row>
    <row r="8597" spans="7:12" x14ac:dyDescent="0.2">
      <c r="G8597" s="45"/>
      <c r="L8597" s="8"/>
    </row>
    <row r="8598" spans="7:12" x14ac:dyDescent="0.2">
      <c r="G8598" s="45"/>
      <c r="L8598" s="8"/>
    </row>
    <row r="8599" spans="7:12" x14ac:dyDescent="0.2">
      <c r="G8599" s="45"/>
      <c r="L8599" s="8"/>
    </row>
    <row r="8600" spans="7:12" x14ac:dyDescent="0.2">
      <c r="G8600" s="45"/>
      <c r="L8600" s="8"/>
    </row>
    <row r="8601" spans="7:12" x14ac:dyDescent="0.2">
      <c r="G8601" s="45"/>
      <c r="L8601" s="8"/>
    </row>
    <row r="8602" spans="7:12" x14ac:dyDescent="0.2">
      <c r="G8602" s="45"/>
      <c r="L8602" s="8"/>
    </row>
    <row r="8603" spans="7:12" x14ac:dyDescent="0.2">
      <c r="G8603" s="45"/>
      <c r="L8603" s="8"/>
    </row>
    <row r="8604" spans="7:12" x14ac:dyDescent="0.2">
      <c r="G8604" s="45"/>
      <c r="L8604" s="8"/>
    </row>
    <row r="8605" spans="7:12" x14ac:dyDescent="0.2">
      <c r="G8605" s="45"/>
      <c r="L8605" s="8"/>
    </row>
    <row r="8606" spans="7:12" x14ac:dyDescent="0.2">
      <c r="G8606" s="45"/>
      <c r="L8606" s="8"/>
    </row>
    <row r="8607" spans="7:12" x14ac:dyDescent="0.2">
      <c r="G8607" s="45"/>
      <c r="L8607" s="8"/>
    </row>
    <row r="8608" spans="7:12" x14ac:dyDescent="0.2">
      <c r="G8608" s="45"/>
      <c r="L8608" s="8"/>
    </row>
    <row r="8609" spans="7:12" x14ac:dyDescent="0.2">
      <c r="G8609" s="45"/>
      <c r="L8609" s="8"/>
    </row>
    <row r="8610" spans="7:12" x14ac:dyDescent="0.2">
      <c r="G8610" s="45"/>
      <c r="L8610" s="8"/>
    </row>
    <row r="8611" spans="7:12" x14ac:dyDescent="0.2">
      <c r="G8611" s="45"/>
      <c r="L8611" s="8"/>
    </row>
    <row r="8612" spans="7:12" x14ac:dyDescent="0.2">
      <c r="G8612" s="45"/>
      <c r="L8612" s="8"/>
    </row>
    <row r="8613" spans="7:12" x14ac:dyDescent="0.2">
      <c r="G8613" s="45"/>
      <c r="L8613" s="8"/>
    </row>
    <row r="8614" spans="7:12" x14ac:dyDescent="0.2">
      <c r="G8614" s="45"/>
      <c r="L8614" s="8"/>
    </row>
    <row r="8615" spans="7:12" x14ac:dyDescent="0.2">
      <c r="G8615" s="45"/>
      <c r="L8615" s="8"/>
    </row>
    <row r="8616" spans="7:12" x14ac:dyDescent="0.2">
      <c r="G8616" s="45"/>
      <c r="L8616" s="8"/>
    </row>
    <row r="8617" spans="7:12" x14ac:dyDescent="0.2">
      <c r="G8617" s="45"/>
      <c r="L8617" s="8"/>
    </row>
    <row r="8618" spans="7:12" x14ac:dyDescent="0.2">
      <c r="G8618" s="45"/>
      <c r="L8618" s="8"/>
    </row>
    <row r="8619" spans="7:12" x14ac:dyDescent="0.2">
      <c r="G8619" s="45"/>
      <c r="L8619" s="8"/>
    </row>
    <row r="8620" spans="7:12" x14ac:dyDescent="0.2">
      <c r="G8620" s="45"/>
      <c r="L8620" s="8"/>
    </row>
    <row r="8621" spans="7:12" x14ac:dyDescent="0.2">
      <c r="G8621" s="45"/>
      <c r="L8621" s="8"/>
    </row>
    <row r="8622" spans="7:12" x14ac:dyDescent="0.2">
      <c r="G8622" s="45"/>
      <c r="L8622" s="8"/>
    </row>
    <row r="8623" spans="7:12" x14ac:dyDescent="0.2">
      <c r="G8623" s="45"/>
      <c r="L8623" s="8"/>
    </row>
    <row r="8624" spans="7:12" x14ac:dyDescent="0.2">
      <c r="G8624" s="45"/>
      <c r="L8624" s="8"/>
    </row>
    <row r="8625" spans="7:12" x14ac:dyDescent="0.2">
      <c r="G8625" s="45"/>
      <c r="L8625" s="8"/>
    </row>
    <row r="8626" spans="7:12" x14ac:dyDescent="0.2">
      <c r="G8626" s="45"/>
      <c r="L8626" s="8"/>
    </row>
    <row r="8627" spans="7:12" x14ac:dyDescent="0.2">
      <c r="G8627" s="45"/>
      <c r="L8627" s="8"/>
    </row>
    <row r="8628" spans="7:12" x14ac:dyDescent="0.2">
      <c r="G8628" s="45"/>
      <c r="L8628" s="8"/>
    </row>
    <row r="8629" spans="7:12" x14ac:dyDescent="0.2">
      <c r="G8629" s="45"/>
      <c r="L8629" s="8"/>
    </row>
    <row r="8630" spans="7:12" x14ac:dyDescent="0.2">
      <c r="G8630" s="45"/>
      <c r="L8630" s="8"/>
    </row>
    <row r="8631" spans="7:12" x14ac:dyDescent="0.2">
      <c r="G8631" s="45"/>
      <c r="L8631" s="8"/>
    </row>
    <row r="8632" spans="7:12" x14ac:dyDescent="0.2">
      <c r="G8632" s="45"/>
      <c r="L8632" s="8"/>
    </row>
    <row r="8633" spans="7:12" x14ac:dyDescent="0.2">
      <c r="G8633" s="45"/>
      <c r="L8633" s="8"/>
    </row>
    <row r="8634" spans="7:12" x14ac:dyDescent="0.2">
      <c r="G8634" s="45"/>
      <c r="L8634" s="8"/>
    </row>
    <row r="8635" spans="7:12" x14ac:dyDescent="0.2">
      <c r="G8635" s="45"/>
      <c r="L8635" s="8"/>
    </row>
    <row r="8636" spans="7:12" x14ac:dyDescent="0.2">
      <c r="G8636" s="45"/>
      <c r="L8636" s="8"/>
    </row>
    <row r="8637" spans="7:12" x14ac:dyDescent="0.2">
      <c r="G8637" s="45"/>
      <c r="L8637" s="8"/>
    </row>
    <row r="8638" spans="7:12" x14ac:dyDescent="0.2">
      <c r="G8638" s="45"/>
      <c r="L8638" s="8"/>
    </row>
    <row r="8639" spans="7:12" x14ac:dyDescent="0.2">
      <c r="G8639" s="45"/>
      <c r="L8639" s="8"/>
    </row>
    <row r="8640" spans="7:12" x14ac:dyDescent="0.2">
      <c r="G8640" s="45"/>
      <c r="L8640" s="8"/>
    </row>
    <row r="8641" spans="7:12" x14ac:dyDescent="0.2">
      <c r="G8641" s="45"/>
      <c r="L8641" s="8"/>
    </row>
    <row r="8642" spans="7:12" x14ac:dyDescent="0.2">
      <c r="G8642" s="45"/>
      <c r="L8642" s="8"/>
    </row>
    <row r="8643" spans="7:12" x14ac:dyDescent="0.2">
      <c r="G8643" s="45"/>
      <c r="L8643" s="8"/>
    </row>
    <row r="8644" spans="7:12" x14ac:dyDescent="0.2">
      <c r="G8644" s="45"/>
      <c r="L8644" s="8"/>
    </row>
    <row r="8645" spans="7:12" x14ac:dyDescent="0.2">
      <c r="G8645" s="45"/>
      <c r="L8645" s="8"/>
    </row>
    <row r="8646" spans="7:12" x14ac:dyDescent="0.2">
      <c r="G8646" s="45"/>
      <c r="L8646" s="8"/>
    </row>
    <row r="8647" spans="7:12" x14ac:dyDescent="0.2">
      <c r="G8647" s="45"/>
      <c r="L8647" s="8"/>
    </row>
    <row r="8648" spans="7:12" x14ac:dyDescent="0.2">
      <c r="G8648" s="45"/>
      <c r="L8648" s="8"/>
    </row>
    <row r="8649" spans="7:12" x14ac:dyDescent="0.2">
      <c r="G8649" s="45"/>
      <c r="L8649" s="8"/>
    </row>
    <row r="8650" spans="7:12" x14ac:dyDescent="0.2">
      <c r="G8650" s="45"/>
      <c r="L8650" s="8"/>
    </row>
    <row r="8651" spans="7:12" x14ac:dyDescent="0.2">
      <c r="G8651" s="45"/>
      <c r="L8651" s="8"/>
    </row>
    <row r="8652" spans="7:12" x14ac:dyDescent="0.2">
      <c r="G8652" s="45"/>
      <c r="L8652" s="8"/>
    </row>
    <row r="8653" spans="7:12" x14ac:dyDescent="0.2">
      <c r="G8653" s="45"/>
      <c r="L8653" s="8"/>
    </row>
    <row r="8654" spans="7:12" x14ac:dyDescent="0.2">
      <c r="G8654" s="45"/>
      <c r="L8654" s="8"/>
    </row>
    <row r="8655" spans="7:12" x14ac:dyDescent="0.2">
      <c r="G8655" s="45"/>
      <c r="L8655" s="8"/>
    </row>
    <row r="8656" spans="7:12" x14ac:dyDescent="0.2">
      <c r="G8656" s="45"/>
      <c r="L8656" s="8"/>
    </row>
    <row r="8657" spans="7:12" x14ac:dyDescent="0.2">
      <c r="G8657" s="45"/>
      <c r="L8657" s="8"/>
    </row>
    <row r="8658" spans="7:12" x14ac:dyDescent="0.2">
      <c r="G8658" s="45"/>
      <c r="L8658" s="8"/>
    </row>
    <row r="8659" spans="7:12" x14ac:dyDescent="0.2">
      <c r="G8659" s="45"/>
      <c r="L8659" s="8"/>
    </row>
    <row r="8660" spans="7:12" x14ac:dyDescent="0.2">
      <c r="G8660" s="45"/>
      <c r="L8660" s="8"/>
    </row>
    <row r="8661" spans="7:12" x14ac:dyDescent="0.2">
      <c r="G8661" s="45"/>
      <c r="L8661" s="8"/>
    </row>
    <row r="8662" spans="7:12" x14ac:dyDescent="0.2">
      <c r="G8662" s="45"/>
      <c r="L8662" s="8"/>
    </row>
    <row r="8663" spans="7:12" x14ac:dyDescent="0.2">
      <c r="G8663" s="45"/>
      <c r="L8663" s="8"/>
    </row>
    <row r="8664" spans="7:12" x14ac:dyDescent="0.2">
      <c r="G8664" s="45"/>
      <c r="L8664" s="8"/>
    </row>
    <row r="8665" spans="7:12" x14ac:dyDescent="0.2">
      <c r="G8665" s="45"/>
      <c r="L8665" s="8"/>
    </row>
    <row r="8666" spans="7:12" x14ac:dyDescent="0.2">
      <c r="G8666" s="45"/>
      <c r="L8666" s="8"/>
    </row>
    <row r="8667" spans="7:12" x14ac:dyDescent="0.2">
      <c r="G8667" s="45"/>
      <c r="L8667" s="8"/>
    </row>
    <row r="8668" spans="7:12" x14ac:dyDescent="0.2">
      <c r="G8668" s="45"/>
      <c r="L8668" s="8"/>
    </row>
    <row r="8669" spans="7:12" x14ac:dyDescent="0.2">
      <c r="G8669" s="45"/>
      <c r="L8669" s="8"/>
    </row>
    <row r="8670" spans="7:12" x14ac:dyDescent="0.2">
      <c r="G8670" s="45"/>
      <c r="L8670" s="8"/>
    </row>
    <row r="8671" spans="7:12" x14ac:dyDescent="0.2">
      <c r="G8671" s="45"/>
      <c r="L8671" s="8"/>
    </row>
    <row r="8672" spans="7:12" x14ac:dyDescent="0.2">
      <c r="G8672" s="45"/>
      <c r="L8672" s="8"/>
    </row>
    <row r="8673" spans="7:12" x14ac:dyDescent="0.2">
      <c r="G8673" s="45"/>
      <c r="L8673" s="8"/>
    </row>
    <row r="8674" spans="7:12" x14ac:dyDescent="0.2">
      <c r="G8674" s="45"/>
      <c r="L8674" s="8"/>
    </row>
    <row r="8675" spans="7:12" x14ac:dyDescent="0.2">
      <c r="G8675" s="45"/>
      <c r="L8675" s="8"/>
    </row>
    <row r="8676" spans="7:12" x14ac:dyDescent="0.2">
      <c r="G8676" s="45"/>
      <c r="L8676" s="8"/>
    </row>
    <row r="8677" spans="7:12" x14ac:dyDescent="0.2">
      <c r="G8677" s="45"/>
      <c r="L8677" s="8"/>
    </row>
    <row r="8678" spans="7:12" x14ac:dyDescent="0.2">
      <c r="G8678" s="45"/>
      <c r="L8678" s="8"/>
    </row>
    <row r="8679" spans="7:12" x14ac:dyDescent="0.2">
      <c r="G8679" s="45"/>
      <c r="L8679" s="8"/>
    </row>
    <row r="8680" spans="7:12" x14ac:dyDescent="0.2">
      <c r="G8680" s="45"/>
      <c r="L8680" s="8"/>
    </row>
    <row r="8681" spans="7:12" x14ac:dyDescent="0.2">
      <c r="G8681" s="45"/>
      <c r="L8681" s="8"/>
    </row>
    <row r="8682" spans="7:12" x14ac:dyDescent="0.2">
      <c r="G8682" s="45"/>
      <c r="L8682" s="8"/>
    </row>
    <row r="8683" spans="7:12" x14ac:dyDescent="0.2">
      <c r="G8683" s="45"/>
      <c r="L8683" s="8"/>
    </row>
    <row r="8684" spans="7:12" x14ac:dyDescent="0.2">
      <c r="G8684" s="45"/>
      <c r="L8684" s="8"/>
    </row>
    <row r="8685" spans="7:12" x14ac:dyDescent="0.2">
      <c r="G8685" s="45"/>
      <c r="L8685" s="8"/>
    </row>
    <row r="8686" spans="7:12" x14ac:dyDescent="0.2">
      <c r="G8686" s="45"/>
      <c r="L8686" s="8"/>
    </row>
    <row r="8687" spans="7:12" x14ac:dyDescent="0.2">
      <c r="G8687" s="45"/>
      <c r="L8687" s="8"/>
    </row>
    <row r="8688" spans="7:12" x14ac:dyDescent="0.2">
      <c r="G8688" s="45"/>
      <c r="L8688" s="8"/>
    </row>
    <row r="8689" spans="7:12" x14ac:dyDescent="0.2">
      <c r="G8689" s="45"/>
      <c r="L8689" s="8"/>
    </row>
    <row r="8690" spans="7:12" x14ac:dyDescent="0.2">
      <c r="G8690" s="45"/>
      <c r="L8690" s="8"/>
    </row>
    <row r="8691" spans="7:12" x14ac:dyDescent="0.2">
      <c r="G8691" s="45"/>
      <c r="L8691" s="8"/>
    </row>
    <row r="8692" spans="7:12" x14ac:dyDescent="0.2">
      <c r="G8692" s="45"/>
      <c r="L8692" s="8"/>
    </row>
    <row r="8693" spans="7:12" x14ac:dyDescent="0.2">
      <c r="G8693" s="45"/>
      <c r="L8693" s="8"/>
    </row>
    <row r="8694" spans="7:12" x14ac:dyDescent="0.2">
      <c r="G8694" s="45"/>
      <c r="L8694" s="8"/>
    </row>
    <row r="8695" spans="7:12" x14ac:dyDescent="0.2">
      <c r="G8695" s="45"/>
      <c r="L8695" s="8"/>
    </row>
    <row r="8696" spans="7:12" x14ac:dyDescent="0.2">
      <c r="G8696" s="45"/>
      <c r="L8696" s="8"/>
    </row>
    <row r="8697" spans="7:12" x14ac:dyDescent="0.2">
      <c r="G8697" s="45"/>
      <c r="L8697" s="8"/>
    </row>
    <row r="8698" spans="7:12" x14ac:dyDescent="0.2">
      <c r="G8698" s="45"/>
      <c r="L8698" s="8"/>
    </row>
    <row r="8699" spans="7:12" x14ac:dyDescent="0.2">
      <c r="G8699" s="45"/>
      <c r="L8699" s="8"/>
    </row>
    <row r="8700" spans="7:12" x14ac:dyDescent="0.2">
      <c r="G8700" s="45"/>
      <c r="L8700" s="8"/>
    </row>
    <row r="8701" spans="7:12" x14ac:dyDescent="0.2">
      <c r="G8701" s="45"/>
      <c r="L8701" s="8"/>
    </row>
    <row r="8702" spans="7:12" x14ac:dyDescent="0.2">
      <c r="G8702" s="45"/>
      <c r="L8702" s="8"/>
    </row>
    <row r="8703" spans="7:12" x14ac:dyDescent="0.2">
      <c r="G8703" s="45"/>
      <c r="L8703" s="8"/>
    </row>
    <row r="8704" spans="7:12" x14ac:dyDescent="0.2">
      <c r="G8704" s="45"/>
      <c r="L8704" s="8"/>
    </row>
    <row r="8705" spans="7:12" x14ac:dyDescent="0.2">
      <c r="G8705" s="45"/>
      <c r="L8705" s="8"/>
    </row>
    <row r="8706" spans="7:12" x14ac:dyDescent="0.2">
      <c r="G8706" s="45"/>
      <c r="L8706" s="8"/>
    </row>
    <row r="8707" spans="7:12" x14ac:dyDescent="0.2">
      <c r="G8707" s="45"/>
      <c r="L8707" s="8"/>
    </row>
    <row r="8708" spans="7:12" x14ac:dyDescent="0.2">
      <c r="G8708" s="45"/>
      <c r="L8708" s="8"/>
    </row>
    <row r="8709" spans="7:12" x14ac:dyDescent="0.2">
      <c r="G8709" s="45"/>
      <c r="L8709" s="8"/>
    </row>
    <row r="8710" spans="7:12" x14ac:dyDescent="0.2">
      <c r="G8710" s="45"/>
      <c r="L8710" s="8"/>
    </row>
    <row r="8711" spans="7:12" x14ac:dyDescent="0.2">
      <c r="G8711" s="45"/>
      <c r="L8711" s="8"/>
    </row>
    <row r="8712" spans="7:12" x14ac:dyDescent="0.2">
      <c r="G8712" s="45"/>
      <c r="L8712" s="8"/>
    </row>
    <row r="8713" spans="7:12" x14ac:dyDescent="0.2">
      <c r="G8713" s="45"/>
      <c r="L8713" s="8"/>
    </row>
    <row r="8714" spans="7:12" x14ac:dyDescent="0.2">
      <c r="G8714" s="45"/>
      <c r="L8714" s="8"/>
    </row>
    <row r="8715" spans="7:12" x14ac:dyDescent="0.2">
      <c r="G8715" s="45"/>
      <c r="L8715" s="8"/>
    </row>
    <row r="8716" spans="7:12" x14ac:dyDescent="0.2">
      <c r="G8716" s="45"/>
      <c r="L8716" s="8"/>
    </row>
    <row r="8717" spans="7:12" x14ac:dyDescent="0.2">
      <c r="G8717" s="45"/>
      <c r="L8717" s="8"/>
    </row>
    <row r="8718" spans="7:12" x14ac:dyDescent="0.2">
      <c r="G8718" s="45"/>
      <c r="L8718" s="8"/>
    </row>
    <row r="8719" spans="7:12" x14ac:dyDescent="0.2">
      <c r="G8719" s="45"/>
      <c r="L8719" s="8"/>
    </row>
    <row r="8720" spans="7:12" x14ac:dyDescent="0.2">
      <c r="G8720" s="45"/>
      <c r="L8720" s="8"/>
    </row>
    <row r="8721" spans="7:12" x14ac:dyDescent="0.2">
      <c r="G8721" s="45"/>
      <c r="L8721" s="8"/>
    </row>
    <row r="8722" spans="7:12" x14ac:dyDescent="0.2">
      <c r="G8722" s="45"/>
      <c r="L8722" s="8"/>
    </row>
    <row r="8723" spans="7:12" x14ac:dyDescent="0.2">
      <c r="G8723" s="45"/>
      <c r="L8723" s="8"/>
    </row>
    <row r="8724" spans="7:12" x14ac:dyDescent="0.2">
      <c r="G8724" s="45"/>
      <c r="L8724" s="8"/>
    </row>
    <row r="8725" spans="7:12" x14ac:dyDescent="0.2">
      <c r="G8725" s="45"/>
      <c r="L8725" s="8"/>
    </row>
    <row r="8726" spans="7:12" x14ac:dyDescent="0.2">
      <c r="G8726" s="45"/>
      <c r="L8726" s="8"/>
    </row>
    <row r="8727" spans="7:12" x14ac:dyDescent="0.2">
      <c r="G8727" s="45"/>
      <c r="L8727" s="8"/>
    </row>
    <row r="8728" spans="7:12" x14ac:dyDescent="0.2">
      <c r="G8728" s="45"/>
      <c r="L8728" s="8"/>
    </row>
    <row r="8729" spans="7:12" x14ac:dyDescent="0.2">
      <c r="G8729" s="45"/>
      <c r="L8729" s="8"/>
    </row>
    <row r="8730" spans="7:12" x14ac:dyDescent="0.2">
      <c r="G8730" s="45"/>
      <c r="L8730" s="8"/>
    </row>
    <row r="8731" spans="7:12" x14ac:dyDescent="0.2">
      <c r="G8731" s="45"/>
      <c r="L8731" s="8"/>
    </row>
    <row r="8732" spans="7:12" x14ac:dyDescent="0.2">
      <c r="G8732" s="45"/>
      <c r="L8732" s="8"/>
    </row>
    <row r="8733" spans="7:12" x14ac:dyDescent="0.2">
      <c r="G8733" s="45"/>
      <c r="L8733" s="8"/>
    </row>
    <row r="8734" spans="7:12" x14ac:dyDescent="0.2">
      <c r="G8734" s="45"/>
      <c r="L8734" s="8"/>
    </row>
    <row r="8735" spans="7:12" x14ac:dyDescent="0.2">
      <c r="G8735" s="45"/>
      <c r="L8735" s="8"/>
    </row>
    <row r="8736" spans="7:12" x14ac:dyDescent="0.2">
      <c r="G8736" s="45"/>
      <c r="L8736" s="8"/>
    </row>
    <row r="8737" spans="7:12" x14ac:dyDescent="0.2">
      <c r="G8737" s="45"/>
      <c r="L8737" s="8"/>
    </row>
    <row r="8738" spans="7:12" x14ac:dyDescent="0.2">
      <c r="G8738" s="45"/>
      <c r="L8738" s="8"/>
    </row>
    <row r="8739" spans="7:12" x14ac:dyDescent="0.2">
      <c r="G8739" s="45"/>
      <c r="L8739" s="8"/>
    </row>
    <row r="8740" spans="7:12" x14ac:dyDescent="0.2">
      <c r="G8740" s="45"/>
      <c r="L8740" s="8"/>
    </row>
    <row r="8741" spans="7:12" x14ac:dyDescent="0.2">
      <c r="G8741" s="45"/>
      <c r="L8741" s="8"/>
    </row>
    <row r="8742" spans="7:12" x14ac:dyDescent="0.2">
      <c r="G8742" s="45"/>
      <c r="L8742" s="8"/>
    </row>
    <row r="8743" spans="7:12" x14ac:dyDescent="0.2">
      <c r="G8743" s="45"/>
      <c r="L8743" s="8"/>
    </row>
    <row r="8744" spans="7:12" x14ac:dyDescent="0.2">
      <c r="G8744" s="45"/>
      <c r="L8744" s="8"/>
    </row>
    <row r="8745" spans="7:12" x14ac:dyDescent="0.2">
      <c r="G8745" s="45"/>
      <c r="L8745" s="8"/>
    </row>
    <row r="8746" spans="7:12" x14ac:dyDescent="0.2">
      <c r="G8746" s="45"/>
      <c r="L8746" s="8"/>
    </row>
    <row r="8747" spans="7:12" x14ac:dyDescent="0.2">
      <c r="G8747" s="45"/>
      <c r="L8747" s="8"/>
    </row>
    <row r="8748" spans="7:12" x14ac:dyDescent="0.2">
      <c r="G8748" s="45"/>
      <c r="L8748" s="8"/>
    </row>
    <row r="8749" spans="7:12" x14ac:dyDescent="0.2">
      <c r="G8749" s="45"/>
      <c r="L8749" s="8"/>
    </row>
    <row r="8750" spans="7:12" x14ac:dyDescent="0.2">
      <c r="G8750" s="45"/>
      <c r="L8750" s="8"/>
    </row>
    <row r="8751" spans="7:12" x14ac:dyDescent="0.2">
      <c r="G8751" s="45"/>
      <c r="L8751" s="8"/>
    </row>
    <row r="8752" spans="7:12" x14ac:dyDescent="0.2">
      <c r="G8752" s="45"/>
      <c r="L8752" s="8"/>
    </row>
    <row r="8753" spans="7:12" x14ac:dyDescent="0.2">
      <c r="G8753" s="45"/>
      <c r="L8753" s="8"/>
    </row>
    <row r="8754" spans="7:12" x14ac:dyDescent="0.2">
      <c r="G8754" s="45"/>
      <c r="L8754" s="8"/>
    </row>
    <row r="8755" spans="7:12" x14ac:dyDescent="0.2">
      <c r="G8755" s="45"/>
      <c r="L8755" s="8"/>
    </row>
    <row r="8756" spans="7:12" x14ac:dyDescent="0.2">
      <c r="G8756" s="45"/>
      <c r="L8756" s="8"/>
    </row>
    <row r="8757" spans="7:12" x14ac:dyDescent="0.2">
      <c r="G8757" s="45"/>
      <c r="L8757" s="8"/>
    </row>
    <row r="8758" spans="7:12" x14ac:dyDescent="0.2">
      <c r="G8758" s="45"/>
      <c r="L8758" s="8"/>
    </row>
    <row r="8759" spans="7:12" x14ac:dyDescent="0.2">
      <c r="G8759" s="45"/>
      <c r="L8759" s="8"/>
    </row>
    <row r="8760" spans="7:12" x14ac:dyDescent="0.2">
      <c r="G8760" s="45"/>
      <c r="L8760" s="8"/>
    </row>
    <row r="8761" spans="7:12" x14ac:dyDescent="0.2">
      <c r="G8761" s="45"/>
      <c r="L8761" s="8"/>
    </row>
    <row r="8762" spans="7:12" x14ac:dyDescent="0.2">
      <c r="G8762" s="45"/>
      <c r="L8762" s="8"/>
    </row>
    <row r="8763" spans="7:12" x14ac:dyDescent="0.2">
      <c r="G8763" s="45"/>
      <c r="L8763" s="8"/>
    </row>
    <row r="8764" spans="7:12" x14ac:dyDescent="0.2">
      <c r="G8764" s="45"/>
      <c r="L8764" s="8"/>
    </row>
    <row r="8765" spans="7:12" x14ac:dyDescent="0.2">
      <c r="G8765" s="45"/>
      <c r="L8765" s="8"/>
    </row>
    <row r="8766" spans="7:12" x14ac:dyDescent="0.2">
      <c r="G8766" s="45"/>
      <c r="L8766" s="8"/>
    </row>
    <row r="8767" spans="7:12" x14ac:dyDescent="0.2">
      <c r="G8767" s="45"/>
      <c r="L8767" s="8"/>
    </row>
    <row r="8768" spans="7:12" x14ac:dyDescent="0.2">
      <c r="G8768" s="45"/>
      <c r="L8768" s="8"/>
    </row>
    <row r="8769" spans="7:12" x14ac:dyDescent="0.2">
      <c r="G8769" s="45"/>
      <c r="L8769" s="8"/>
    </row>
    <row r="8770" spans="7:12" x14ac:dyDescent="0.2">
      <c r="G8770" s="45"/>
      <c r="L8770" s="8"/>
    </row>
    <row r="8771" spans="7:12" x14ac:dyDescent="0.2">
      <c r="G8771" s="45"/>
      <c r="L8771" s="8"/>
    </row>
    <row r="8772" spans="7:12" x14ac:dyDescent="0.2">
      <c r="G8772" s="45"/>
      <c r="L8772" s="8"/>
    </row>
    <row r="8773" spans="7:12" x14ac:dyDescent="0.2">
      <c r="G8773" s="45"/>
      <c r="L8773" s="8"/>
    </row>
    <row r="8774" spans="7:12" x14ac:dyDescent="0.2">
      <c r="G8774" s="45"/>
      <c r="L8774" s="8"/>
    </row>
    <row r="8775" spans="7:12" x14ac:dyDescent="0.2">
      <c r="G8775" s="45"/>
      <c r="L8775" s="8"/>
    </row>
    <row r="8776" spans="7:12" x14ac:dyDescent="0.2">
      <c r="G8776" s="45"/>
      <c r="L8776" s="8"/>
    </row>
    <row r="8777" spans="7:12" x14ac:dyDescent="0.2">
      <c r="G8777" s="45"/>
      <c r="L8777" s="8"/>
    </row>
    <row r="8778" spans="7:12" x14ac:dyDescent="0.2">
      <c r="G8778" s="45"/>
      <c r="L8778" s="8"/>
    </row>
    <row r="8779" spans="7:12" x14ac:dyDescent="0.2">
      <c r="G8779" s="45"/>
      <c r="L8779" s="8"/>
    </row>
    <row r="8780" spans="7:12" x14ac:dyDescent="0.2">
      <c r="G8780" s="45"/>
      <c r="L8780" s="8"/>
    </row>
    <row r="8781" spans="7:12" x14ac:dyDescent="0.2">
      <c r="G8781" s="45"/>
      <c r="L8781" s="8"/>
    </row>
    <row r="8782" spans="7:12" x14ac:dyDescent="0.2">
      <c r="G8782" s="45"/>
      <c r="L8782" s="8"/>
    </row>
    <row r="8783" spans="7:12" x14ac:dyDescent="0.2">
      <c r="G8783" s="45"/>
      <c r="L8783" s="8"/>
    </row>
    <row r="8784" spans="7:12" x14ac:dyDescent="0.2">
      <c r="G8784" s="45"/>
      <c r="L8784" s="8"/>
    </row>
    <row r="8785" spans="7:12" x14ac:dyDescent="0.2">
      <c r="G8785" s="45"/>
      <c r="L8785" s="8"/>
    </row>
    <row r="8786" spans="7:12" x14ac:dyDescent="0.2">
      <c r="G8786" s="45"/>
      <c r="L8786" s="8"/>
    </row>
    <row r="8787" spans="7:12" x14ac:dyDescent="0.2">
      <c r="G8787" s="45"/>
      <c r="L8787" s="8"/>
    </row>
    <row r="8788" spans="7:12" x14ac:dyDescent="0.2">
      <c r="G8788" s="45"/>
      <c r="L8788" s="8"/>
    </row>
    <row r="8789" spans="7:12" x14ac:dyDescent="0.2">
      <c r="G8789" s="45"/>
      <c r="L8789" s="8"/>
    </row>
    <row r="8790" spans="7:12" x14ac:dyDescent="0.2">
      <c r="G8790" s="45"/>
      <c r="L8790" s="8"/>
    </row>
    <row r="8791" spans="7:12" x14ac:dyDescent="0.2">
      <c r="G8791" s="45"/>
      <c r="L8791" s="8"/>
    </row>
    <row r="8792" spans="7:12" x14ac:dyDescent="0.2">
      <c r="G8792" s="45"/>
      <c r="L8792" s="8"/>
    </row>
    <row r="8793" spans="7:12" x14ac:dyDescent="0.2">
      <c r="G8793" s="45"/>
      <c r="L8793" s="8"/>
    </row>
    <row r="8794" spans="7:12" x14ac:dyDescent="0.2">
      <c r="G8794" s="45"/>
      <c r="L8794" s="8"/>
    </row>
    <row r="8795" spans="7:12" x14ac:dyDescent="0.2">
      <c r="G8795" s="45"/>
      <c r="L8795" s="8"/>
    </row>
    <row r="8796" spans="7:12" x14ac:dyDescent="0.2">
      <c r="G8796" s="45"/>
      <c r="L8796" s="8"/>
    </row>
    <row r="8797" spans="7:12" x14ac:dyDescent="0.2">
      <c r="G8797" s="45"/>
      <c r="L8797" s="8"/>
    </row>
    <row r="8798" spans="7:12" x14ac:dyDescent="0.2">
      <c r="G8798" s="45"/>
      <c r="L8798" s="8"/>
    </row>
    <row r="8799" spans="7:12" x14ac:dyDescent="0.2">
      <c r="G8799" s="45"/>
      <c r="L8799" s="8"/>
    </row>
    <row r="8800" spans="7:12" x14ac:dyDescent="0.2">
      <c r="G8800" s="45"/>
      <c r="L8800" s="8"/>
    </row>
    <row r="8801" spans="7:12" x14ac:dyDescent="0.2">
      <c r="G8801" s="45"/>
      <c r="L8801" s="8"/>
    </row>
    <row r="8802" spans="7:12" x14ac:dyDescent="0.2">
      <c r="G8802" s="45"/>
      <c r="L8802" s="8"/>
    </row>
    <row r="8803" spans="7:12" x14ac:dyDescent="0.2">
      <c r="G8803" s="45"/>
      <c r="L8803" s="8"/>
    </row>
    <row r="8804" spans="7:12" x14ac:dyDescent="0.2">
      <c r="G8804" s="45"/>
      <c r="L8804" s="8"/>
    </row>
    <row r="8805" spans="7:12" x14ac:dyDescent="0.2">
      <c r="G8805" s="45"/>
      <c r="L8805" s="8"/>
    </row>
    <row r="8806" spans="7:12" x14ac:dyDescent="0.2">
      <c r="G8806" s="45"/>
      <c r="L8806" s="8"/>
    </row>
    <row r="8807" spans="7:12" x14ac:dyDescent="0.2">
      <c r="G8807" s="45"/>
      <c r="L8807" s="8"/>
    </row>
    <row r="8808" spans="7:12" x14ac:dyDescent="0.2">
      <c r="G8808" s="45"/>
      <c r="L8808" s="8"/>
    </row>
    <row r="8809" spans="7:12" x14ac:dyDescent="0.2">
      <c r="G8809" s="45"/>
      <c r="L8809" s="8"/>
    </row>
    <row r="8810" spans="7:12" x14ac:dyDescent="0.2">
      <c r="G8810" s="45"/>
      <c r="L8810" s="8"/>
    </row>
    <row r="8811" spans="7:12" x14ac:dyDescent="0.2">
      <c r="G8811" s="45"/>
      <c r="L8811" s="8"/>
    </row>
    <row r="8812" spans="7:12" x14ac:dyDescent="0.2">
      <c r="G8812" s="45"/>
      <c r="L8812" s="8"/>
    </row>
    <row r="8813" spans="7:12" x14ac:dyDescent="0.2">
      <c r="G8813" s="45"/>
      <c r="L8813" s="8"/>
    </row>
    <row r="8814" spans="7:12" x14ac:dyDescent="0.2">
      <c r="G8814" s="45"/>
      <c r="L8814" s="8"/>
    </row>
    <row r="8815" spans="7:12" x14ac:dyDescent="0.2">
      <c r="G8815" s="45"/>
      <c r="L8815" s="8"/>
    </row>
    <row r="8816" spans="7:12" x14ac:dyDescent="0.2">
      <c r="G8816" s="45"/>
      <c r="L8816" s="8"/>
    </row>
    <row r="8817" spans="7:12" x14ac:dyDescent="0.2">
      <c r="G8817" s="45"/>
      <c r="L8817" s="8"/>
    </row>
    <row r="8818" spans="7:12" x14ac:dyDescent="0.2">
      <c r="G8818" s="45"/>
      <c r="L8818" s="8"/>
    </row>
    <row r="8819" spans="7:12" x14ac:dyDescent="0.2">
      <c r="G8819" s="45"/>
      <c r="L8819" s="8"/>
    </row>
    <row r="8820" spans="7:12" x14ac:dyDescent="0.2">
      <c r="G8820" s="45"/>
      <c r="L8820" s="8"/>
    </row>
    <row r="8821" spans="7:12" x14ac:dyDescent="0.2">
      <c r="G8821" s="45"/>
      <c r="L8821" s="8"/>
    </row>
    <row r="8822" spans="7:12" x14ac:dyDescent="0.2">
      <c r="G8822" s="45"/>
      <c r="L8822" s="8"/>
    </row>
    <row r="8823" spans="7:12" x14ac:dyDescent="0.2">
      <c r="G8823" s="45"/>
      <c r="L8823" s="8"/>
    </row>
    <row r="8824" spans="7:12" x14ac:dyDescent="0.2">
      <c r="G8824" s="45"/>
      <c r="L8824" s="8"/>
    </row>
    <row r="8825" spans="7:12" x14ac:dyDescent="0.2">
      <c r="G8825" s="45"/>
      <c r="L8825" s="8"/>
    </row>
    <row r="8826" spans="7:12" x14ac:dyDescent="0.2">
      <c r="G8826" s="45"/>
      <c r="L8826" s="8"/>
    </row>
    <row r="8827" spans="7:12" x14ac:dyDescent="0.2">
      <c r="G8827" s="45"/>
      <c r="L8827" s="8"/>
    </row>
    <row r="8828" spans="7:12" x14ac:dyDescent="0.2">
      <c r="G8828" s="45"/>
      <c r="L8828" s="8"/>
    </row>
    <row r="8829" spans="7:12" x14ac:dyDescent="0.2">
      <c r="G8829" s="45"/>
      <c r="L8829" s="8"/>
    </row>
    <row r="8830" spans="7:12" x14ac:dyDescent="0.2">
      <c r="G8830" s="45"/>
      <c r="L8830" s="8"/>
    </row>
    <row r="8831" spans="7:12" x14ac:dyDescent="0.2">
      <c r="G8831" s="45"/>
      <c r="L8831" s="8"/>
    </row>
    <row r="8832" spans="7:12" x14ac:dyDescent="0.2">
      <c r="G8832" s="45"/>
      <c r="L8832" s="8"/>
    </row>
    <row r="8833" spans="7:12" x14ac:dyDescent="0.2">
      <c r="G8833" s="45"/>
      <c r="L8833" s="8"/>
    </row>
    <row r="8834" spans="7:12" x14ac:dyDescent="0.2">
      <c r="G8834" s="45"/>
      <c r="L8834" s="8"/>
    </row>
    <row r="8835" spans="7:12" x14ac:dyDescent="0.2">
      <c r="G8835" s="45"/>
      <c r="L8835" s="8"/>
    </row>
    <row r="8836" spans="7:12" x14ac:dyDescent="0.2">
      <c r="G8836" s="45"/>
      <c r="L8836" s="8"/>
    </row>
    <row r="8837" spans="7:12" x14ac:dyDescent="0.2">
      <c r="G8837" s="45"/>
      <c r="L8837" s="8"/>
    </row>
    <row r="8838" spans="7:12" x14ac:dyDescent="0.2">
      <c r="G8838" s="45"/>
      <c r="L8838" s="8"/>
    </row>
    <row r="8839" spans="7:12" x14ac:dyDescent="0.2">
      <c r="G8839" s="45"/>
      <c r="L8839" s="8"/>
    </row>
    <row r="8840" spans="7:12" x14ac:dyDescent="0.2">
      <c r="G8840" s="45"/>
      <c r="L8840" s="8"/>
    </row>
    <row r="8841" spans="7:12" x14ac:dyDescent="0.2">
      <c r="G8841" s="45"/>
      <c r="L8841" s="8"/>
    </row>
    <row r="8842" spans="7:12" x14ac:dyDescent="0.2">
      <c r="G8842" s="45"/>
      <c r="L8842" s="8"/>
    </row>
    <row r="8843" spans="7:12" x14ac:dyDescent="0.2">
      <c r="G8843" s="45"/>
      <c r="L8843" s="8"/>
    </row>
    <row r="8844" spans="7:12" x14ac:dyDescent="0.2">
      <c r="G8844" s="45"/>
      <c r="L8844" s="8"/>
    </row>
    <row r="8845" spans="7:12" x14ac:dyDescent="0.2">
      <c r="G8845" s="45"/>
      <c r="L8845" s="8"/>
    </row>
    <row r="8846" spans="7:12" x14ac:dyDescent="0.2">
      <c r="G8846" s="45"/>
      <c r="L8846" s="8"/>
    </row>
    <row r="8847" spans="7:12" x14ac:dyDescent="0.2">
      <c r="G8847" s="45"/>
      <c r="L8847" s="8"/>
    </row>
    <row r="8848" spans="7:12" x14ac:dyDescent="0.2">
      <c r="G8848" s="45"/>
      <c r="L8848" s="8"/>
    </row>
    <row r="8849" spans="7:12" x14ac:dyDescent="0.2">
      <c r="G8849" s="45"/>
      <c r="L8849" s="8"/>
    </row>
    <row r="8850" spans="7:12" x14ac:dyDescent="0.2">
      <c r="G8850" s="45"/>
      <c r="L8850" s="8"/>
    </row>
    <row r="8851" spans="7:12" x14ac:dyDescent="0.2">
      <c r="G8851" s="45"/>
      <c r="L8851" s="8"/>
    </row>
    <row r="8852" spans="7:12" x14ac:dyDescent="0.2">
      <c r="G8852" s="45"/>
      <c r="L8852" s="8"/>
    </row>
    <row r="8853" spans="7:12" x14ac:dyDescent="0.2">
      <c r="G8853" s="45"/>
      <c r="L8853" s="8"/>
    </row>
    <row r="8854" spans="7:12" x14ac:dyDescent="0.2">
      <c r="G8854" s="45"/>
      <c r="L8854" s="8"/>
    </row>
    <row r="8855" spans="7:12" x14ac:dyDescent="0.2">
      <c r="G8855" s="45"/>
      <c r="L8855" s="8"/>
    </row>
    <row r="8856" spans="7:12" x14ac:dyDescent="0.2">
      <c r="G8856" s="45"/>
      <c r="L8856" s="8"/>
    </row>
    <row r="8857" spans="7:12" x14ac:dyDescent="0.2">
      <c r="G8857" s="45"/>
      <c r="L8857" s="8"/>
    </row>
    <row r="8858" spans="7:12" x14ac:dyDescent="0.2">
      <c r="G8858" s="45"/>
      <c r="L8858" s="8"/>
    </row>
    <row r="8859" spans="7:12" x14ac:dyDescent="0.2">
      <c r="G8859" s="45"/>
      <c r="L8859" s="8"/>
    </row>
    <row r="8860" spans="7:12" x14ac:dyDescent="0.2">
      <c r="G8860" s="45"/>
      <c r="L8860" s="8"/>
    </row>
    <row r="8861" spans="7:12" x14ac:dyDescent="0.2">
      <c r="G8861" s="45"/>
      <c r="L8861" s="8"/>
    </row>
    <row r="8862" spans="7:12" x14ac:dyDescent="0.2">
      <c r="G8862" s="45"/>
      <c r="L8862" s="8"/>
    </row>
    <row r="8863" spans="7:12" x14ac:dyDescent="0.2">
      <c r="G8863" s="45"/>
      <c r="L8863" s="8"/>
    </row>
    <row r="8864" spans="7:12" x14ac:dyDescent="0.2">
      <c r="G8864" s="45"/>
      <c r="L8864" s="8"/>
    </row>
    <row r="8865" spans="7:12" x14ac:dyDescent="0.2">
      <c r="G8865" s="45"/>
      <c r="L8865" s="8"/>
    </row>
    <row r="8866" spans="7:12" x14ac:dyDescent="0.2">
      <c r="G8866" s="45"/>
      <c r="L8866" s="8"/>
    </row>
    <row r="8867" spans="7:12" x14ac:dyDescent="0.2">
      <c r="G8867" s="45"/>
      <c r="L8867" s="8"/>
    </row>
    <row r="8868" spans="7:12" x14ac:dyDescent="0.2">
      <c r="G8868" s="45"/>
      <c r="L8868" s="8"/>
    </row>
    <row r="8869" spans="7:12" x14ac:dyDescent="0.2">
      <c r="G8869" s="45"/>
      <c r="L8869" s="8"/>
    </row>
    <row r="8870" spans="7:12" x14ac:dyDescent="0.2">
      <c r="G8870" s="45"/>
      <c r="L8870" s="8"/>
    </row>
    <row r="8871" spans="7:12" x14ac:dyDescent="0.2">
      <c r="G8871" s="45"/>
      <c r="L8871" s="8"/>
    </row>
    <row r="8872" spans="7:12" x14ac:dyDescent="0.2">
      <c r="G8872" s="45"/>
      <c r="L8872" s="8"/>
    </row>
    <row r="8873" spans="7:12" x14ac:dyDescent="0.2">
      <c r="G8873" s="45"/>
      <c r="L8873" s="8"/>
    </row>
    <row r="8874" spans="7:12" x14ac:dyDescent="0.2">
      <c r="G8874" s="45"/>
      <c r="L8874" s="8"/>
    </row>
    <row r="8875" spans="7:12" x14ac:dyDescent="0.2">
      <c r="G8875" s="45"/>
      <c r="L8875" s="8"/>
    </row>
    <row r="8876" spans="7:12" x14ac:dyDescent="0.2">
      <c r="G8876" s="45"/>
      <c r="L8876" s="8"/>
    </row>
    <row r="8877" spans="7:12" x14ac:dyDescent="0.2">
      <c r="G8877" s="45"/>
      <c r="L8877" s="8"/>
    </row>
    <row r="8878" spans="7:12" x14ac:dyDescent="0.2">
      <c r="G8878" s="45"/>
      <c r="L8878" s="8"/>
    </row>
    <row r="8879" spans="7:12" x14ac:dyDescent="0.2">
      <c r="G8879" s="45"/>
      <c r="L8879" s="8"/>
    </row>
    <row r="8880" spans="7:12" x14ac:dyDescent="0.2">
      <c r="G8880" s="45"/>
      <c r="L8880" s="8"/>
    </row>
    <row r="8881" spans="7:12" x14ac:dyDescent="0.2">
      <c r="G8881" s="45"/>
      <c r="L8881" s="8"/>
    </row>
    <row r="8882" spans="7:12" x14ac:dyDescent="0.2">
      <c r="G8882" s="45"/>
      <c r="L8882" s="8"/>
    </row>
    <row r="8883" spans="7:12" x14ac:dyDescent="0.2">
      <c r="G8883" s="45"/>
      <c r="L8883" s="8"/>
    </row>
    <row r="8884" spans="7:12" x14ac:dyDescent="0.2">
      <c r="G8884" s="45"/>
      <c r="L8884" s="8"/>
    </row>
    <row r="8885" spans="7:12" x14ac:dyDescent="0.2">
      <c r="G8885" s="45"/>
      <c r="L8885" s="8"/>
    </row>
    <row r="8886" spans="7:12" x14ac:dyDescent="0.2">
      <c r="G8886" s="45"/>
      <c r="L8886" s="8"/>
    </row>
    <row r="8887" spans="7:12" x14ac:dyDescent="0.2">
      <c r="G8887" s="45"/>
      <c r="L8887" s="8"/>
    </row>
    <row r="8888" spans="7:12" x14ac:dyDescent="0.2">
      <c r="G8888" s="45"/>
      <c r="L8888" s="8"/>
    </row>
    <row r="8889" spans="7:12" x14ac:dyDescent="0.2">
      <c r="G8889" s="45"/>
      <c r="L8889" s="8"/>
    </row>
    <row r="8890" spans="7:12" x14ac:dyDescent="0.2">
      <c r="G8890" s="45"/>
      <c r="L8890" s="8"/>
    </row>
    <row r="8891" spans="7:12" x14ac:dyDescent="0.2">
      <c r="G8891" s="45"/>
      <c r="L8891" s="8"/>
    </row>
    <row r="8892" spans="7:12" x14ac:dyDescent="0.2">
      <c r="G8892" s="45"/>
      <c r="L8892" s="8"/>
    </row>
    <row r="8893" spans="7:12" x14ac:dyDescent="0.2">
      <c r="G8893" s="45"/>
      <c r="L8893" s="8"/>
    </row>
    <row r="8894" spans="7:12" x14ac:dyDescent="0.2">
      <c r="G8894" s="45"/>
      <c r="L8894" s="8"/>
    </row>
    <row r="8895" spans="7:12" x14ac:dyDescent="0.2">
      <c r="G8895" s="45"/>
      <c r="L8895" s="8"/>
    </row>
    <row r="8896" spans="7:12" x14ac:dyDescent="0.2">
      <c r="G8896" s="45"/>
      <c r="L8896" s="8"/>
    </row>
    <row r="8897" spans="7:12" x14ac:dyDescent="0.2">
      <c r="G8897" s="45"/>
      <c r="L8897" s="8"/>
    </row>
    <row r="8898" spans="7:12" x14ac:dyDescent="0.2">
      <c r="G8898" s="45"/>
      <c r="L8898" s="8"/>
    </row>
    <row r="8899" spans="7:12" x14ac:dyDescent="0.2">
      <c r="G8899" s="45"/>
      <c r="L8899" s="8"/>
    </row>
    <row r="8900" spans="7:12" x14ac:dyDescent="0.2">
      <c r="G8900" s="45"/>
      <c r="L8900" s="8"/>
    </row>
    <row r="8901" spans="7:12" x14ac:dyDescent="0.2">
      <c r="G8901" s="45"/>
      <c r="L8901" s="8"/>
    </row>
    <row r="8902" spans="7:12" x14ac:dyDescent="0.2">
      <c r="G8902" s="45"/>
      <c r="L8902" s="8"/>
    </row>
    <row r="8903" spans="7:12" x14ac:dyDescent="0.2">
      <c r="G8903" s="45"/>
      <c r="L8903" s="8"/>
    </row>
    <row r="8904" spans="7:12" x14ac:dyDescent="0.2">
      <c r="G8904" s="45"/>
      <c r="L8904" s="8"/>
    </row>
    <row r="8905" spans="7:12" x14ac:dyDescent="0.2">
      <c r="G8905" s="45"/>
      <c r="L8905" s="8"/>
    </row>
    <row r="8906" spans="7:12" x14ac:dyDescent="0.2">
      <c r="G8906" s="45"/>
      <c r="L8906" s="8"/>
    </row>
    <row r="8907" spans="7:12" x14ac:dyDescent="0.2">
      <c r="G8907" s="45"/>
      <c r="L8907" s="8"/>
    </row>
    <row r="8908" spans="7:12" x14ac:dyDescent="0.2">
      <c r="G8908" s="45"/>
      <c r="L8908" s="8"/>
    </row>
    <row r="8909" spans="7:12" x14ac:dyDescent="0.2">
      <c r="G8909" s="45"/>
      <c r="L8909" s="8"/>
    </row>
    <row r="8910" spans="7:12" x14ac:dyDescent="0.2">
      <c r="G8910" s="45"/>
      <c r="L8910" s="8"/>
    </row>
    <row r="8911" spans="7:12" x14ac:dyDescent="0.2">
      <c r="G8911" s="45"/>
      <c r="L8911" s="8"/>
    </row>
    <row r="8912" spans="7:12" x14ac:dyDescent="0.2">
      <c r="G8912" s="45"/>
      <c r="L8912" s="8"/>
    </row>
    <row r="8913" spans="7:12" x14ac:dyDescent="0.2">
      <c r="G8913" s="45"/>
      <c r="L8913" s="8"/>
    </row>
    <row r="8914" spans="7:12" x14ac:dyDescent="0.2">
      <c r="G8914" s="45"/>
      <c r="L8914" s="8"/>
    </row>
    <row r="8915" spans="7:12" x14ac:dyDescent="0.2">
      <c r="G8915" s="45"/>
      <c r="L8915" s="8"/>
    </row>
    <row r="8916" spans="7:12" x14ac:dyDescent="0.2">
      <c r="G8916" s="45"/>
      <c r="L8916" s="8"/>
    </row>
    <row r="8917" spans="7:12" x14ac:dyDescent="0.2">
      <c r="G8917" s="45"/>
      <c r="L8917" s="8"/>
    </row>
    <row r="8918" spans="7:12" x14ac:dyDescent="0.2">
      <c r="G8918" s="45"/>
      <c r="L8918" s="8"/>
    </row>
    <row r="8919" spans="7:12" x14ac:dyDescent="0.2">
      <c r="G8919" s="45"/>
      <c r="L8919" s="8"/>
    </row>
    <row r="8920" spans="7:12" x14ac:dyDescent="0.2">
      <c r="G8920" s="45"/>
      <c r="L8920" s="8"/>
    </row>
    <row r="8921" spans="7:12" x14ac:dyDescent="0.2">
      <c r="G8921" s="45"/>
      <c r="L8921" s="8"/>
    </row>
    <row r="8922" spans="7:12" x14ac:dyDescent="0.2">
      <c r="G8922" s="45"/>
      <c r="L8922" s="8"/>
    </row>
    <row r="8923" spans="7:12" x14ac:dyDescent="0.2">
      <c r="G8923" s="45"/>
      <c r="L8923" s="8"/>
    </row>
    <row r="8924" spans="7:12" x14ac:dyDescent="0.2">
      <c r="G8924" s="45"/>
      <c r="L8924" s="8"/>
    </row>
    <row r="8925" spans="7:12" x14ac:dyDescent="0.2">
      <c r="G8925" s="45"/>
      <c r="L8925" s="8"/>
    </row>
    <row r="8926" spans="7:12" x14ac:dyDescent="0.2">
      <c r="G8926" s="45"/>
      <c r="L8926" s="8"/>
    </row>
    <row r="8927" spans="7:12" x14ac:dyDescent="0.2">
      <c r="G8927" s="45"/>
      <c r="L8927" s="8"/>
    </row>
    <row r="8928" spans="7:12" x14ac:dyDescent="0.2">
      <c r="G8928" s="45"/>
      <c r="L8928" s="8"/>
    </row>
    <row r="8929" spans="7:12" x14ac:dyDescent="0.2">
      <c r="G8929" s="45"/>
      <c r="L8929" s="8"/>
    </row>
    <row r="8930" spans="7:12" x14ac:dyDescent="0.2">
      <c r="G8930" s="45"/>
      <c r="L8930" s="8"/>
    </row>
    <row r="8931" spans="7:12" x14ac:dyDescent="0.2">
      <c r="G8931" s="45"/>
      <c r="L8931" s="8"/>
    </row>
    <row r="8932" spans="7:12" x14ac:dyDescent="0.2">
      <c r="G8932" s="45"/>
      <c r="L8932" s="8"/>
    </row>
    <row r="8933" spans="7:12" x14ac:dyDescent="0.2">
      <c r="G8933" s="45"/>
      <c r="L8933" s="8"/>
    </row>
    <row r="8934" spans="7:12" x14ac:dyDescent="0.2">
      <c r="G8934" s="45"/>
      <c r="L8934" s="8"/>
    </row>
    <row r="8935" spans="7:12" x14ac:dyDescent="0.2">
      <c r="G8935" s="45"/>
      <c r="L8935" s="8"/>
    </row>
    <row r="8936" spans="7:12" x14ac:dyDescent="0.2">
      <c r="G8936" s="45"/>
      <c r="L8936" s="8"/>
    </row>
    <row r="8937" spans="7:12" x14ac:dyDescent="0.2">
      <c r="G8937" s="45"/>
      <c r="L8937" s="8"/>
    </row>
    <row r="8938" spans="7:12" x14ac:dyDescent="0.2">
      <c r="G8938" s="45"/>
      <c r="L8938" s="8"/>
    </row>
    <row r="8939" spans="7:12" x14ac:dyDescent="0.2">
      <c r="G8939" s="45"/>
      <c r="L8939" s="8"/>
    </row>
    <row r="8940" spans="7:12" x14ac:dyDescent="0.2">
      <c r="G8940" s="45"/>
      <c r="L8940" s="8"/>
    </row>
    <row r="8941" spans="7:12" x14ac:dyDescent="0.2">
      <c r="G8941" s="45"/>
      <c r="L8941" s="8"/>
    </row>
    <row r="8942" spans="7:12" x14ac:dyDescent="0.2">
      <c r="G8942" s="45"/>
      <c r="L8942" s="8"/>
    </row>
    <row r="8943" spans="7:12" x14ac:dyDescent="0.2">
      <c r="G8943" s="45"/>
      <c r="L8943" s="8"/>
    </row>
    <row r="8944" spans="7:12" x14ac:dyDescent="0.2">
      <c r="G8944" s="45"/>
      <c r="L8944" s="8"/>
    </row>
    <row r="8945" spans="7:12" x14ac:dyDescent="0.2">
      <c r="G8945" s="45"/>
      <c r="L8945" s="8"/>
    </row>
    <row r="8946" spans="7:12" x14ac:dyDescent="0.2">
      <c r="G8946" s="45"/>
      <c r="L8946" s="8"/>
    </row>
    <row r="8947" spans="7:12" x14ac:dyDescent="0.2">
      <c r="G8947" s="45"/>
      <c r="L8947" s="8"/>
    </row>
    <row r="8948" spans="7:12" x14ac:dyDescent="0.2">
      <c r="G8948" s="45"/>
      <c r="L8948" s="8"/>
    </row>
    <row r="8949" spans="7:12" x14ac:dyDescent="0.2">
      <c r="G8949" s="45"/>
      <c r="L8949" s="8"/>
    </row>
    <row r="8950" spans="7:12" x14ac:dyDescent="0.2">
      <c r="G8950" s="45"/>
      <c r="L8950" s="8"/>
    </row>
    <row r="8951" spans="7:12" x14ac:dyDescent="0.2">
      <c r="G8951" s="45"/>
      <c r="L8951" s="8"/>
    </row>
    <row r="8952" spans="7:12" x14ac:dyDescent="0.2">
      <c r="G8952" s="45"/>
      <c r="L8952" s="8"/>
    </row>
    <row r="8953" spans="7:12" x14ac:dyDescent="0.2">
      <c r="G8953" s="45"/>
      <c r="L8953" s="8"/>
    </row>
    <row r="8954" spans="7:12" x14ac:dyDescent="0.2">
      <c r="G8954" s="45"/>
      <c r="L8954" s="8"/>
    </row>
    <row r="8955" spans="7:12" x14ac:dyDescent="0.2">
      <c r="G8955" s="45"/>
      <c r="L8955" s="8"/>
    </row>
    <row r="8956" spans="7:12" x14ac:dyDescent="0.2">
      <c r="G8956" s="45"/>
      <c r="L8956" s="8"/>
    </row>
    <row r="8957" spans="7:12" x14ac:dyDescent="0.2">
      <c r="G8957" s="45"/>
      <c r="L8957" s="8"/>
    </row>
    <row r="8958" spans="7:12" x14ac:dyDescent="0.2">
      <c r="G8958" s="45"/>
      <c r="L8958" s="8"/>
    </row>
    <row r="8959" spans="7:12" x14ac:dyDescent="0.2">
      <c r="G8959" s="45"/>
      <c r="L8959" s="8"/>
    </row>
    <row r="8960" spans="7:12" x14ac:dyDescent="0.2">
      <c r="G8960" s="45"/>
      <c r="L8960" s="8"/>
    </row>
    <row r="8961" spans="7:12" x14ac:dyDescent="0.2">
      <c r="G8961" s="45"/>
      <c r="L8961" s="8"/>
    </row>
    <row r="8962" spans="7:12" x14ac:dyDescent="0.2">
      <c r="G8962" s="45"/>
      <c r="L8962" s="8"/>
    </row>
    <row r="8963" spans="7:12" x14ac:dyDescent="0.2">
      <c r="G8963" s="45"/>
      <c r="L8963" s="8"/>
    </row>
    <row r="8964" spans="7:12" x14ac:dyDescent="0.2">
      <c r="G8964" s="45"/>
      <c r="L8964" s="8"/>
    </row>
    <row r="8965" spans="7:12" x14ac:dyDescent="0.2">
      <c r="G8965" s="45"/>
      <c r="L8965" s="8"/>
    </row>
    <row r="8966" spans="7:12" x14ac:dyDescent="0.2">
      <c r="G8966" s="45"/>
      <c r="L8966" s="8"/>
    </row>
    <row r="8967" spans="7:12" x14ac:dyDescent="0.2">
      <c r="G8967" s="45"/>
      <c r="L8967" s="8"/>
    </row>
    <row r="8968" spans="7:12" x14ac:dyDescent="0.2">
      <c r="G8968" s="45"/>
      <c r="L8968" s="8"/>
    </row>
    <row r="8969" spans="7:12" x14ac:dyDescent="0.2">
      <c r="G8969" s="45"/>
      <c r="L8969" s="8"/>
    </row>
    <row r="8970" spans="7:12" x14ac:dyDescent="0.2">
      <c r="G8970" s="45"/>
      <c r="L8970" s="8"/>
    </row>
    <row r="8971" spans="7:12" x14ac:dyDescent="0.2">
      <c r="G8971" s="45"/>
      <c r="L8971" s="8"/>
    </row>
    <row r="8972" spans="7:12" x14ac:dyDescent="0.2">
      <c r="G8972" s="45"/>
      <c r="L8972" s="8"/>
    </row>
    <row r="8973" spans="7:12" x14ac:dyDescent="0.2">
      <c r="G8973" s="45"/>
      <c r="L8973" s="8"/>
    </row>
    <row r="8974" spans="7:12" x14ac:dyDescent="0.2">
      <c r="G8974" s="45"/>
      <c r="L8974" s="8"/>
    </row>
    <row r="8975" spans="7:12" x14ac:dyDescent="0.2">
      <c r="G8975" s="45"/>
      <c r="L8975" s="8"/>
    </row>
    <row r="8976" spans="7:12" x14ac:dyDescent="0.2">
      <c r="G8976" s="45"/>
      <c r="L8976" s="8"/>
    </row>
    <row r="8977" spans="7:12" x14ac:dyDescent="0.2">
      <c r="G8977" s="45"/>
      <c r="L8977" s="8"/>
    </row>
    <row r="8978" spans="7:12" x14ac:dyDescent="0.2">
      <c r="G8978" s="45"/>
      <c r="L8978" s="8"/>
    </row>
    <row r="8979" spans="7:12" x14ac:dyDescent="0.2">
      <c r="G8979" s="45"/>
      <c r="L8979" s="8"/>
    </row>
    <row r="8980" spans="7:12" x14ac:dyDescent="0.2">
      <c r="G8980" s="45"/>
      <c r="L8980" s="8"/>
    </row>
    <row r="8981" spans="7:12" x14ac:dyDescent="0.2">
      <c r="G8981" s="45"/>
      <c r="L8981" s="8"/>
    </row>
    <row r="8982" spans="7:12" x14ac:dyDescent="0.2">
      <c r="G8982" s="45"/>
      <c r="L8982" s="8"/>
    </row>
    <row r="8983" spans="7:12" x14ac:dyDescent="0.2">
      <c r="G8983" s="45"/>
      <c r="L8983" s="8"/>
    </row>
    <row r="8984" spans="7:12" x14ac:dyDescent="0.2">
      <c r="G8984" s="45"/>
      <c r="L8984" s="8"/>
    </row>
    <row r="8985" spans="7:12" x14ac:dyDescent="0.2">
      <c r="G8985" s="45"/>
      <c r="L8985" s="8"/>
    </row>
    <row r="8986" spans="7:12" x14ac:dyDescent="0.2">
      <c r="G8986" s="45"/>
      <c r="L8986" s="8"/>
    </row>
    <row r="8987" spans="7:12" x14ac:dyDescent="0.2">
      <c r="G8987" s="45"/>
      <c r="L8987" s="8"/>
    </row>
    <row r="8988" spans="7:12" x14ac:dyDescent="0.2">
      <c r="G8988" s="45"/>
      <c r="L8988" s="8"/>
    </row>
    <row r="8989" spans="7:12" x14ac:dyDescent="0.2">
      <c r="G8989" s="45"/>
      <c r="L8989" s="8"/>
    </row>
    <row r="8990" spans="7:12" x14ac:dyDescent="0.2">
      <c r="G8990" s="45"/>
      <c r="L8990" s="8"/>
    </row>
    <row r="8991" spans="7:12" x14ac:dyDescent="0.2">
      <c r="G8991" s="45"/>
      <c r="L8991" s="8"/>
    </row>
    <row r="8992" spans="7:12" x14ac:dyDescent="0.2">
      <c r="G8992" s="45"/>
      <c r="L8992" s="8"/>
    </row>
    <row r="8993" spans="7:12" x14ac:dyDescent="0.2">
      <c r="G8993" s="45"/>
      <c r="L8993" s="8"/>
    </row>
    <row r="8994" spans="7:12" x14ac:dyDescent="0.2">
      <c r="G8994" s="45"/>
      <c r="L8994" s="8"/>
    </row>
    <row r="8995" spans="7:12" x14ac:dyDescent="0.2">
      <c r="G8995" s="45"/>
      <c r="L8995" s="8"/>
    </row>
    <row r="8996" spans="7:12" x14ac:dyDescent="0.2">
      <c r="G8996" s="45"/>
      <c r="L8996" s="8"/>
    </row>
    <row r="8997" spans="7:12" x14ac:dyDescent="0.2">
      <c r="G8997" s="45"/>
      <c r="L8997" s="8"/>
    </row>
    <row r="8998" spans="7:12" x14ac:dyDescent="0.2">
      <c r="G8998" s="45"/>
      <c r="L8998" s="8"/>
    </row>
    <row r="8999" spans="7:12" x14ac:dyDescent="0.2">
      <c r="G8999" s="45"/>
      <c r="L8999" s="8"/>
    </row>
    <row r="9000" spans="7:12" x14ac:dyDescent="0.2">
      <c r="G9000" s="45"/>
      <c r="L9000" s="8"/>
    </row>
    <row r="9001" spans="7:12" x14ac:dyDescent="0.2">
      <c r="G9001" s="45"/>
      <c r="L9001" s="8"/>
    </row>
    <row r="9002" spans="7:12" x14ac:dyDescent="0.2">
      <c r="G9002" s="45"/>
      <c r="L9002" s="8"/>
    </row>
    <row r="9003" spans="7:12" x14ac:dyDescent="0.2">
      <c r="G9003" s="45"/>
      <c r="L9003" s="8"/>
    </row>
    <row r="9004" spans="7:12" x14ac:dyDescent="0.2">
      <c r="G9004" s="45"/>
      <c r="L9004" s="8"/>
    </row>
    <row r="9005" spans="7:12" x14ac:dyDescent="0.2">
      <c r="G9005" s="45"/>
      <c r="L9005" s="8"/>
    </row>
    <row r="9006" spans="7:12" x14ac:dyDescent="0.2">
      <c r="G9006" s="45"/>
      <c r="L9006" s="8"/>
    </row>
    <row r="9007" spans="7:12" x14ac:dyDescent="0.2">
      <c r="G9007" s="45"/>
      <c r="L9007" s="8"/>
    </row>
    <row r="9008" spans="7:12" x14ac:dyDescent="0.2">
      <c r="G9008" s="45"/>
      <c r="L9008" s="8"/>
    </row>
    <row r="9009" spans="7:12" x14ac:dyDescent="0.2">
      <c r="G9009" s="45"/>
      <c r="L9009" s="8"/>
    </row>
    <row r="9010" spans="7:12" x14ac:dyDescent="0.2">
      <c r="G9010" s="45"/>
      <c r="L9010" s="8"/>
    </row>
    <row r="9011" spans="7:12" x14ac:dyDescent="0.2">
      <c r="G9011" s="45"/>
      <c r="L9011" s="8"/>
    </row>
    <row r="9012" spans="7:12" x14ac:dyDescent="0.2">
      <c r="G9012" s="45"/>
      <c r="L9012" s="8"/>
    </row>
    <row r="9013" spans="7:12" x14ac:dyDescent="0.2">
      <c r="G9013" s="45"/>
      <c r="L9013" s="8"/>
    </row>
    <row r="9014" spans="7:12" x14ac:dyDescent="0.2">
      <c r="G9014" s="45"/>
      <c r="L9014" s="8"/>
    </row>
    <row r="9015" spans="7:12" x14ac:dyDescent="0.2">
      <c r="G9015" s="45"/>
      <c r="L9015" s="8"/>
    </row>
    <row r="9016" spans="7:12" x14ac:dyDescent="0.2">
      <c r="G9016" s="45"/>
      <c r="L9016" s="8"/>
    </row>
    <row r="9017" spans="7:12" x14ac:dyDescent="0.2">
      <c r="G9017" s="45"/>
      <c r="L9017" s="8"/>
    </row>
    <row r="9018" spans="7:12" x14ac:dyDescent="0.2">
      <c r="G9018" s="45"/>
      <c r="L9018" s="8"/>
    </row>
    <row r="9019" spans="7:12" x14ac:dyDescent="0.2">
      <c r="G9019" s="45"/>
      <c r="L9019" s="8"/>
    </row>
    <row r="9020" spans="7:12" x14ac:dyDescent="0.2">
      <c r="G9020" s="45"/>
      <c r="L9020" s="8"/>
    </row>
    <row r="9021" spans="7:12" x14ac:dyDescent="0.2">
      <c r="G9021" s="45"/>
      <c r="L9021" s="8"/>
    </row>
    <row r="9022" spans="7:12" x14ac:dyDescent="0.2">
      <c r="G9022" s="45"/>
      <c r="L9022" s="8"/>
    </row>
    <row r="9023" spans="7:12" x14ac:dyDescent="0.2">
      <c r="G9023" s="45"/>
      <c r="L9023" s="8"/>
    </row>
    <row r="9024" spans="7:12" x14ac:dyDescent="0.2">
      <c r="G9024" s="45"/>
      <c r="L9024" s="8"/>
    </row>
    <row r="9025" spans="7:12" x14ac:dyDescent="0.2">
      <c r="G9025" s="45"/>
      <c r="L9025" s="8"/>
    </row>
    <row r="9026" spans="7:12" x14ac:dyDescent="0.2">
      <c r="G9026" s="45"/>
      <c r="L9026" s="8"/>
    </row>
    <row r="9027" spans="7:12" x14ac:dyDescent="0.2">
      <c r="G9027" s="45"/>
      <c r="L9027" s="8"/>
    </row>
    <row r="9028" spans="7:12" x14ac:dyDescent="0.2">
      <c r="G9028" s="45"/>
      <c r="L9028" s="8"/>
    </row>
    <row r="9029" spans="7:12" x14ac:dyDescent="0.2">
      <c r="G9029" s="45"/>
      <c r="L9029" s="8"/>
    </row>
    <row r="9030" spans="7:12" x14ac:dyDescent="0.2">
      <c r="G9030" s="45"/>
      <c r="L9030" s="8"/>
    </row>
    <row r="9031" spans="7:12" x14ac:dyDescent="0.2">
      <c r="G9031" s="45"/>
      <c r="L9031" s="8"/>
    </row>
    <row r="9032" spans="7:12" x14ac:dyDescent="0.2">
      <c r="G9032" s="45"/>
      <c r="L9032" s="8"/>
    </row>
    <row r="9033" spans="7:12" x14ac:dyDescent="0.2">
      <c r="G9033" s="45"/>
      <c r="L9033" s="8"/>
    </row>
    <row r="9034" spans="7:12" x14ac:dyDescent="0.2">
      <c r="G9034" s="45"/>
      <c r="L9034" s="8"/>
    </row>
    <row r="9035" spans="7:12" x14ac:dyDescent="0.2">
      <c r="G9035" s="45"/>
      <c r="L9035" s="8"/>
    </row>
    <row r="9036" spans="7:12" x14ac:dyDescent="0.2">
      <c r="G9036" s="45"/>
      <c r="L9036" s="8"/>
    </row>
    <row r="9037" spans="7:12" x14ac:dyDescent="0.2">
      <c r="G9037" s="45"/>
      <c r="L9037" s="8"/>
    </row>
    <row r="9038" spans="7:12" x14ac:dyDescent="0.2">
      <c r="G9038" s="45"/>
      <c r="L9038" s="8"/>
    </row>
    <row r="9039" spans="7:12" x14ac:dyDescent="0.2">
      <c r="G9039" s="45"/>
      <c r="L9039" s="8"/>
    </row>
    <row r="9040" spans="7:12" x14ac:dyDescent="0.2">
      <c r="G9040" s="45"/>
      <c r="L9040" s="8"/>
    </row>
    <row r="9041" spans="7:12" x14ac:dyDescent="0.2">
      <c r="G9041" s="45"/>
      <c r="L9041" s="8"/>
    </row>
    <row r="9042" spans="7:12" x14ac:dyDescent="0.2">
      <c r="G9042" s="45"/>
      <c r="L9042" s="8"/>
    </row>
    <row r="9043" spans="7:12" x14ac:dyDescent="0.2">
      <c r="G9043" s="45"/>
      <c r="L9043" s="8"/>
    </row>
    <row r="9044" spans="7:12" x14ac:dyDescent="0.2">
      <c r="G9044" s="45"/>
      <c r="L9044" s="8"/>
    </row>
    <row r="9045" spans="7:12" x14ac:dyDescent="0.2">
      <c r="G9045" s="45"/>
      <c r="L9045" s="8"/>
    </row>
    <row r="9046" spans="7:12" x14ac:dyDescent="0.2">
      <c r="G9046" s="45"/>
      <c r="L9046" s="8"/>
    </row>
    <row r="9047" spans="7:12" x14ac:dyDescent="0.2">
      <c r="G9047" s="45"/>
      <c r="L9047" s="8"/>
    </row>
    <row r="9048" spans="7:12" x14ac:dyDescent="0.2">
      <c r="G9048" s="45"/>
      <c r="L9048" s="8"/>
    </row>
    <row r="9049" spans="7:12" x14ac:dyDescent="0.2">
      <c r="G9049" s="45"/>
      <c r="L9049" s="8"/>
    </row>
    <row r="9050" spans="7:12" x14ac:dyDescent="0.2">
      <c r="G9050" s="45"/>
      <c r="L9050" s="8"/>
    </row>
    <row r="9051" spans="7:12" x14ac:dyDescent="0.2">
      <c r="G9051" s="45"/>
      <c r="L9051" s="8"/>
    </row>
    <row r="9052" spans="7:12" x14ac:dyDescent="0.2">
      <c r="G9052" s="45"/>
      <c r="L9052" s="8"/>
    </row>
    <row r="9053" spans="7:12" x14ac:dyDescent="0.2">
      <c r="G9053" s="45"/>
      <c r="L9053" s="8"/>
    </row>
    <row r="9054" spans="7:12" x14ac:dyDescent="0.2">
      <c r="G9054" s="45"/>
      <c r="L9054" s="8"/>
    </row>
    <row r="9055" spans="7:12" x14ac:dyDescent="0.2">
      <c r="G9055" s="45"/>
      <c r="L9055" s="8"/>
    </row>
    <row r="9056" spans="7:12" x14ac:dyDescent="0.2">
      <c r="G9056" s="45"/>
      <c r="L9056" s="8"/>
    </row>
    <row r="9057" spans="7:12" x14ac:dyDescent="0.2">
      <c r="G9057" s="45"/>
      <c r="L9057" s="8"/>
    </row>
    <row r="9058" spans="7:12" x14ac:dyDescent="0.2">
      <c r="G9058" s="45"/>
      <c r="L9058" s="8"/>
    </row>
    <row r="9059" spans="7:12" x14ac:dyDescent="0.2">
      <c r="G9059" s="45"/>
      <c r="L9059" s="8"/>
    </row>
    <row r="9060" spans="7:12" x14ac:dyDescent="0.2">
      <c r="G9060" s="45"/>
      <c r="L9060" s="8"/>
    </row>
    <row r="9061" spans="7:12" x14ac:dyDescent="0.2">
      <c r="G9061" s="45"/>
      <c r="L9061" s="8"/>
    </row>
    <row r="9062" spans="7:12" x14ac:dyDescent="0.2">
      <c r="G9062" s="45"/>
      <c r="L9062" s="8"/>
    </row>
    <row r="9063" spans="7:12" x14ac:dyDescent="0.2">
      <c r="G9063" s="45"/>
      <c r="L9063" s="8"/>
    </row>
    <row r="9064" spans="7:12" x14ac:dyDescent="0.2">
      <c r="G9064" s="45"/>
      <c r="L9064" s="8"/>
    </row>
    <row r="9065" spans="7:12" x14ac:dyDescent="0.2">
      <c r="G9065" s="45"/>
      <c r="L9065" s="8"/>
    </row>
    <row r="9066" spans="7:12" x14ac:dyDescent="0.2">
      <c r="G9066" s="45"/>
      <c r="L9066" s="8"/>
    </row>
    <row r="9067" spans="7:12" x14ac:dyDescent="0.2">
      <c r="G9067" s="45"/>
      <c r="L9067" s="8"/>
    </row>
    <row r="9068" spans="7:12" x14ac:dyDescent="0.2">
      <c r="G9068" s="45"/>
      <c r="L9068" s="8"/>
    </row>
    <row r="9069" spans="7:12" x14ac:dyDescent="0.2">
      <c r="G9069" s="45"/>
      <c r="L9069" s="8"/>
    </row>
    <row r="9070" spans="7:12" x14ac:dyDescent="0.2">
      <c r="G9070" s="45"/>
      <c r="L9070" s="8"/>
    </row>
    <row r="9071" spans="7:12" x14ac:dyDescent="0.2">
      <c r="G9071" s="45"/>
      <c r="L9071" s="8"/>
    </row>
    <row r="9072" spans="7:12" x14ac:dyDescent="0.2">
      <c r="G9072" s="45"/>
      <c r="L9072" s="8"/>
    </row>
    <row r="9073" spans="7:12" x14ac:dyDescent="0.2">
      <c r="G9073" s="45"/>
      <c r="L9073" s="8"/>
    </row>
    <row r="9074" spans="7:12" x14ac:dyDescent="0.2">
      <c r="G9074" s="45"/>
      <c r="L9074" s="8"/>
    </row>
    <row r="9075" spans="7:12" x14ac:dyDescent="0.2">
      <c r="G9075" s="45"/>
      <c r="L9075" s="8"/>
    </row>
    <row r="9076" spans="7:12" x14ac:dyDescent="0.2">
      <c r="G9076" s="45"/>
      <c r="L9076" s="8"/>
    </row>
    <row r="9077" spans="7:12" x14ac:dyDescent="0.2">
      <c r="G9077" s="45"/>
      <c r="L9077" s="8"/>
    </row>
    <row r="9078" spans="7:12" x14ac:dyDescent="0.2">
      <c r="G9078" s="45"/>
      <c r="L9078" s="8"/>
    </row>
    <row r="9079" spans="7:12" x14ac:dyDescent="0.2">
      <c r="G9079" s="45"/>
      <c r="L9079" s="8"/>
    </row>
    <row r="9080" spans="7:12" x14ac:dyDescent="0.2">
      <c r="G9080" s="45"/>
      <c r="L9080" s="8"/>
    </row>
    <row r="9081" spans="7:12" x14ac:dyDescent="0.2">
      <c r="G9081" s="45"/>
      <c r="L9081" s="8"/>
    </row>
    <row r="9082" spans="7:12" x14ac:dyDescent="0.2">
      <c r="G9082" s="45"/>
      <c r="L9082" s="8"/>
    </row>
    <row r="9083" spans="7:12" x14ac:dyDescent="0.2">
      <c r="G9083" s="45"/>
      <c r="L9083" s="8"/>
    </row>
    <row r="9084" spans="7:12" x14ac:dyDescent="0.2">
      <c r="G9084" s="45"/>
      <c r="L9084" s="8"/>
    </row>
    <row r="9085" spans="7:12" x14ac:dyDescent="0.2">
      <c r="G9085" s="45"/>
      <c r="L9085" s="8"/>
    </row>
    <row r="9086" spans="7:12" x14ac:dyDescent="0.2">
      <c r="G9086" s="45"/>
      <c r="L9086" s="8"/>
    </row>
    <row r="9087" spans="7:12" x14ac:dyDescent="0.2">
      <c r="G9087" s="45"/>
      <c r="L9087" s="8"/>
    </row>
    <row r="9088" spans="7:12" x14ac:dyDescent="0.2">
      <c r="G9088" s="45"/>
      <c r="L9088" s="8"/>
    </row>
    <row r="9089" spans="7:12" x14ac:dyDescent="0.2">
      <c r="G9089" s="45"/>
      <c r="L9089" s="8"/>
    </row>
    <row r="9090" spans="7:12" x14ac:dyDescent="0.2">
      <c r="G9090" s="45"/>
      <c r="L9090" s="8"/>
    </row>
    <row r="9091" spans="7:12" x14ac:dyDescent="0.2">
      <c r="G9091" s="45"/>
      <c r="L9091" s="8"/>
    </row>
    <row r="9092" spans="7:12" x14ac:dyDescent="0.2">
      <c r="G9092" s="45"/>
      <c r="L9092" s="8"/>
    </row>
    <row r="9093" spans="7:12" x14ac:dyDescent="0.2">
      <c r="G9093" s="45"/>
      <c r="L9093" s="8"/>
    </row>
    <row r="9094" spans="7:12" x14ac:dyDescent="0.2">
      <c r="G9094" s="45"/>
      <c r="L9094" s="8"/>
    </row>
    <row r="9095" spans="7:12" x14ac:dyDescent="0.2">
      <c r="G9095" s="45"/>
      <c r="L9095" s="8"/>
    </row>
    <row r="9096" spans="7:12" x14ac:dyDescent="0.2">
      <c r="G9096" s="45"/>
      <c r="L9096" s="8"/>
    </row>
    <row r="9097" spans="7:12" x14ac:dyDescent="0.2">
      <c r="G9097" s="45"/>
      <c r="L9097" s="8"/>
    </row>
    <row r="9098" spans="7:12" x14ac:dyDescent="0.2">
      <c r="G9098" s="45"/>
      <c r="L9098" s="8"/>
    </row>
    <row r="9099" spans="7:12" x14ac:dyDescent="0.2">
      <c r="G9099" s="45"/>
      <c r="L9099" s="8"/>
    </row>
    <row r="9100" spans="7:12" x14ac:dyDescent="0.2">
      <c r="G9100" s="45"/>
      <c r="L9100" s="8"/>
    </row>
    <row r="9101" spans="7:12" x14ac:dyDescent="0.2">
      <c r="G9101" s="45"/>
      <c r="L9101" s="8"/>
    </row>
    <row r="9102" spans="7:12" x14ac:dyDescent="0.2">
      <c r="G9102" s="45"/>
      <c r="L9102" s="8"/>
    </row>
    <row r="9103" spans="7:12" x14ac:dyDescent="0.2">
      <c r="G9103" s="45"/>
      <c r="L9103" s="8"/>
    </row>
    <row r="9104" spans="7:12" x14ac:dyDescent="0.2">
      <c r="G9104" s="45"/>
      <c r="L9104" s="8"/>
    </row>
    <row r="9105" spans="7:12" x14ac:dyDescent="0.2">
      <c r="G9105" s="45"/>
      <c r="L9105" s="8"/>
    </row>
    <row r="9106" spans="7:12" x14ac:dyDescent="0.2">
      <c r="G9106" s="45"/>
      <c r="L9106" s="8"/>
    </row>
    <row r="9107" spans="7:12" x14ac:dyDescent="0.2">
      <c r="G9107" s="45"/>
      <c r="L9107" s="8"/>
    </row>
    <row r="9108" spans="7:12" x14ac:dyDescent="0.2">
      <c r="G9108" s="45"/>
      <c r="L9108" s="8"/>
    </row>
    <row r="9109" spans="7:12" x14ac:dyDescent="0.2">
      <c r="G9109" s="45"/>
      <c r="L9109" s="8"/>
    </row>
    <row r="9110" spans="7:12" x14ac:dyDescent="0.2">
      <c r="G9110" s="45"/>
      <c r="L9110" s="8"/>
    </row>
    <row r="9111" spans="7:12" x14ac:dyDescent="0.2">
      <c r="G9111" s="45"/>
      <c r="L9111" s="8"/>
    </row>
    <row r="9112" spans="7:12" x14ac:dyDescent="0.2">
      <c r="G9112" s="45"/>
      <c r="L9112" s="8"/>
    </row>
    <row r="9113" spans="7:12" x14ac:dyDescent="0.2">
      <c r="G9113" s="45"/>
      <c r="L9113" s="8"/>
    </row>
    <row r="9114" spans="7:12" x14ac:dyDescent="0.2">
      <c r="G9114" s="45"/>
      <c r="L9114" s="8"/>
    </row>
    <row r="9115" spans="7:12" x14ac:dyDescent="0.2">
      <c r="G9115" s="45"/>
      <c r="L9115" s="8"/>
    </row>
    <row r="9116" spans="7:12" x14ac:dyDescent="0.2">
      <c r="G9116" s="45"/>
      <c r="L9116" s="8"/>
    </row>
    <row r="9117" spans="7:12" x14ac:dyDescent="0.2">
      <c r="G9117" s="45"/>
      <c r="L9117" s="8"/>
    </row>
    <row r="9118" spans="7:12" x14ac:dyDescent="0.2">
      <c r="G9118" s="45"/>
      <c r="L9118" s="8"/>
    </row>
    <row r="9119" spans="7:12" x14ac:dyDescent="0.2">
      <c r="G9119" s="45"/>
      <c r="L9119" s="8"/>
    </row>
    <row r="9120" spans="7:12" x14ac:dyDescent="0.2">
      <c r="G9120" s="45"/>
      <c r="L9120" s="8"/>
    </row>
    <row r="9121" spans="7:12" x14ac:dyDescent="0.2">
      <c r="G9121" s="45"/>
      <c r="L9121" s="8"/>
    </row>
    <row r="9122" spans="7:12" x14ac:dyDescent="0.2">
      <c r="G9122" s="45"/>
      <c r="L9122" s="8"/>
    </row>
    <row r="9123" spans="7:12" x14ac:dyDescent="0.2">
      <c r="G9123" s="45"/>
      <c r="L9123" s="8"/>
    </row>
    <row r="9124" spans="7:12" x14ac:dyDescent="0.2">
      <c r="G9124" s="45"/>
      <c r="L9124" s="8"/>
    </row>
    <row r="9125" spans="7:12" x14ac:dyDescent="0.2">
      <c r="G9125" s="45"/>
      <c r="L9125" s="8"/>
    </row>
    <row r="9126" spans="7:12" x14ac:dyDescent="0.2">
      <c r="G9126" s="45"/>
      <c r="L9126" s="8"/>
    </row>
    <row r="9127" spans="7:12" x14ac:dyDescent="0.2">
      <c r="G9127" s="45"/>
      <c r="L9127" s="8"/>
    </row>
    <row r="9128" spans="7:12" x14ac:dyDescent="0.2">
      <c r="G9128" s="45"/>
      <c r="L9128" s="8"/>
    </row>
    <row r="9129" spans="7:12" x14ac:dyDescent="0.2">
      <c r="G9129" s="45"/>
      <c r="L9129" s="8"/>
    </row>
    <row r="9130" spans="7:12" x14ac:dyDescent="0.2">
      <c r="G9130" s="45"/>
      <c r="L9130" s="8"/>
    </row>
    <row r="9131" spans="7:12" x14ac:dyDescent="0.2">
      <c r="G9131" s="45"/>
      <c r="L9131" s="8"/>
    </row>
    <row r="9132" spans="7:12" x14ac:dyDescent="0.2">
      <c r="G9132" s="45"/>
      <c r="L9132" s="8"/>
    </row>
    <row r="9133" spans="7:12" x14ac:dyDescent="0.2">
      <c r="G9133" s="45"/>
      <c r="L9133" s="8"/>
    </row>
    <row r="9134" spans="7:12" x14ac:dyDescent="0.2">
      <c r="G9134" s="45"/>
      <c r="L9134" s="8"/>
    </row>
    <row r="9135" spans="7:12" x14ac:dyDescent="0.2">
      <c r="G9135" s="45"/>
      <c r="L9135" s="8"/>
    </row>
    <row r="9136" spans="7:12" x14ac:dyDescent="0.2">
      <c r="G9136" s="45"/>
      <c r="L9136" s="8"/>
    </row>
    <row r="9137" spans="7:12" x14ac:dyDescent="0.2">
      <c r="G9137" s="45"/>
      <c r="L9137" s="8"/>
    </row>
    <row r="9138" spans="7:12" x14ac:dyDescent="0.2">
      <c r="G9138" s="45"/>
      <c r="L9138" s="8"/>
    </row>
    <row r="9139" spans="7:12" x14ac:dyDescent="0.2">
      <c r="G9139" s="45"/>
      <c r="L9139" s="8"/>
    </row>
    <row r="9140" spans="7:12" x14ac:dyDescent="0.2">
      <c r="G9140" s="45"/>
      <c r="L9140" s="8"/>
    </row>
    <row r="9141" spans="7:12" x14ac:dyDescent="0.2">
      <c r="G9141" s="45"/>
      <c r="L9141" s="8"/>
    </row>
    <row r="9142" spans="7:12" x14ac:dyDescent="0.2">
      <c r="G9142" s="45"/>
      <c r="L9142" s="8"/>
    </row>
    <row r="9143" spans="7:12" x14ac:dyDescent="0.2">
      <c r="G9143" s="45"/>
      <c r="L9143" s="8"/>
    </row>
    <row r="9144" spans="7:12" x14ac:dyDescent="0.2">
      <c r="G9144" s="45"/>
      <c r="L9144" s="8"/>
    </row>
    <row r="9145" spans="7:12" x14ac:dyDescent="0.2">
      <c r="G9145" s="45"/>
      <c r="L9145" s="8"/>
    </row>
    <row r="9146" spans="7:12" x14ac:dyDescent="0.2">
      <c r="G9146" s="45"/>
      <c r="L9146" s="8"/>
    </row>
    <row r="9147" spans="7:12" x14ac:dyDescent="0.2">
      <c r="G9147" s="45"/>
      <c r="L9147" s="8"/>
    </row>
    <row r="9148" spans="7:12" x14ac:dyDescent="0.2">
      <c r="G9148" s="45"/>
      <c r="L9148" s="8"/>
    </row>
    <row r="9149" spans="7:12" x14ac:dyDescent="0.2">
      <c r="G9149" s="45"/>
      <c r="L9149" s="8"/>
    </row>
    <row r="9150" spans="7:12" x14ac:dyDescent="0.2">
      <c r="G9150" s="45"/>
      <c r="L9150" s="8"/>
    </row>
    <row r="9151" spans="7:12" x14ac:dyDescent="0.2">
      <c r="G9151" s="45"/>
      <c r="L9151" s="8"/>
    </row>
    <row r="9152" spans="7:12" x14ac:dyDescent="0.2">
      <c r="G9152" s="45"/>
      <c r="L9152" s="8"/>
    </row>
    <row r="9153" spans="7:12" x14ac:dyDescent="0.2">
      <c r="G9153" s="45"/>
      <c r="L9153" s="8"/>
    </row>
    <row r="9154" spans="7:12" x14ac:dyDescent="0.2">
      <c r="G9154" s="45"/>
      <c r="L9154" s="8"/>
    </row>
    <row r="9155" spans="7:12" x14ac:dyDescent="0.2">
      <c r="G9155" s="45"/>
      <c r="L9155" s="8"/>
    </row>
    <row r="9156" spans="7:12" x14ac:dyDescent="0.2">
      <c r="G9156" s="45"/>
      <c r="L9156" s="8"/>
    </row>
    <row r="9157" spans="7:12" x14ac:dyDescent="0.2">
      <c r="G9157" s="45"/>
      <c r="L9157" s="8"/>
    </row>
    <row r="9158" spans="7:12" x14ac:dyDescent="0.2">
      <c r="G9158" s="45"/>
      <c r="L9158" s="8"/>
    </row>
    <row r="9159" spans="7:12" x14ac:dyDescent="0.2">
      <c r="G9159" s="45"/>
      <c r="L9159" s="8"/>
    </row>
    <row r="9160" spans="7:12" x14ac:dyDescent="0.2">
      <c r="G9160" s="45"/>
      <c r="L9160" s="8"/>
    </row>
    <row r="9161" spans="7:12" x14ac:dyDescent="0.2">
      <c r="G9161" s="45"/>
      <c r="L9161" s="8"/>
    </row>
    <row r="9162" spans="7:12" x14ac:dyDescent="0.2">
      <c r="G9162" s="45"/>
      <c r="L9162" s="8"/>
    </row>
    <row r="9163" spans="7:12" x14ac:dyDescent="0.2">
      <c r="G9163" s="45"/>
      <c r="L9163" s="8"/>
    </row>
    <row r="9164" spans="7:12" x14ac:dyDescent="0.2">
      <c r="G9164" s="45"/>
      <c r="L9164" s="8"/>
    </row>
    <row r="9165" spans="7:12" x14ac:dyDescent="0.2">
      <c r="G9165" s="45"/>
      <c r="L9165" s="8"/>
    </row>
    <row r="9166" spans="7:12" x14ac:dyDescent="0.2">
      <c r="G9166" s="45"/>
      <c r="L9166" s="8"/>
    </row>
    <row r="9167" spans="7:12" x14ac:dyDescent="0.2">
      <c r="G9167" s="45"/>
      <c r="L9167" s="8"/>
    </row>
    <row r="9168" spans="7:12" x14ac:dyDescent="0.2">
      <c r="G9168" s="45"/>
      <c r="L9168" s="8"/>
    </row>
    <row r="9169" spans="7:12" x14ac:dyDescent="0.2">
      <c r="G9169" s="45"/>
      <c r="L9169" s="8"/>
    </row>
    <row r="9170" spans="7:12" x14ac:dyDescent="0.2">
      <c r="G9170" s="45"/>
      <c r="L9170" s="8"/>
    </row>
    <row r="9171" spans="7:12" x14ac:dyDescent="0.2">
      <c r="G9171" s="45"/>
      <c r="L9171" s="8"/>
    </row>
    <row r="9172" spans="7:12" x14ac:dyDescent="0.2">
      <c r="G9172" s="45"/>
      <c r="L9172" s="8"/>
    </row>
    <row r="9173" spans="7:12" x14ac:dyDescent="0.2">
      <c r="G9173" s="45"/>
      <c r="L9173" s="8"/>
    </row>
    <row r="9174" spans="7:12" x14ac:dyDescent="0.2">
      <c r="G9174" s="45"/>
      <c r="L9174" s="8"/>
    </row>
    <row r="9175" spans="7:12" x14ac:dyDescent="0.2">
      <c r="G9175" s="45"/>
      <c r="L9175" s="8"/>
    </row>
    <row r="9176" spans="7:12" x14ac:dyDescent="0.2">
      <c r="G9176" s="45"/>
      <c r="L9176" s="8"/>
    </row>
    <row r="9177" spans="7:12" x14ac:dyDescent="0.2">
      <c r="G9177" s="45"/>
      <c r="L9177" s="8"/>
    </row>
    <row r="9178" spans="7:12" x14ac:dyDescent="0.2">
      <c r="G9178" s="45"/>
      <c r="L9178" s="8"/>
    </row>
    <row r="9179" spans="7:12" x14ac:dyDescent="0.2">
      <c r="G9179" s="45"/>
      <c r="L9179" s="8"/>
    </row>
    <row r="9180" spans="7:12" x14ac:dyDescent="0.2">
      <c r="G9180" s="45"/>
      <c r="L9180" s="8"/>
    </row>
    <row r="9181" spans="7:12" x14ac:dyDescent="0.2">
      <c r="G9181" s="45"/>
      <c r="L9181" s="8"/>
    </row>
    <row r="9182" spans="7:12" x14ac:dyDescent="0.2">
      <c r="G9182" s="45"/>
      <c r="L9182" s="8"/>
    </row>
    <row r="9183" spans="7:12" x14ac:dyDescent="0.2">
      <c r="G9183" s="45"/>
      <c r="L9183" s="8"/>
    </row>
    <row r="9184" spans="7:12" x14ac:dyDescent="0.2">
      <c r="G9184" s="45"/>
      <c r="L9184" s="8"/>
    </row>
    <row r="9185" spans="7:12" x14ac:dyDescent="0.2">
      <c r="G9185" s="45"/>
      <c r="L9185" s="8"/>
    </row>
    <row r="9186" spans="7:12" x14ac:dyDescent="0.2">
      <c r="G9186" s="45"/>
      <c r="L9186" s="8"/>
    </row>
    <row r="9187" spans="7:12" x14ac:dyDescent="0.2">
      <c r="G9187" s="45"/>
      <c r="L9187" s="8"/>
    </row>
    <row r="9188" spans="7:12" x14ac:dyDescent="0.2">
      <c r="G9188" s="45"/>
      <c r="L9188" s="8"/>
    </row>
    <row r="9189" spans="7:12" x14ac:dyDescent="0.2">
      <c r="G9189" s="45"/>
      <c r="L9189" s="8"/>
    </row>
    <row r="9190" spans="7:12" x14ac:dyDescent="0.2">
      <c r="G9190" s="45"/>
      <c r="L9190" s="8"/>
    </row>
    <row r="9191" spans="7:12" x14ac:dyDescent="0.2">
      <c r="G9191" s="45"/>
      <c r="L9191" s="8"/>
    </row>
    <row r="9192" spans="7:12" x14ac:dyDescent="0.2">
      <c r="G9192" s="45"/>
      <c r="L9192" s="8"/>
    </row>
    <row r="9193" spans="7:12" x14ac:dyDescent="0.2">
      <c r="G9193" s="45"/>
      <c r="L9193" s="8"/>
    </row>
    <row r="9194" spans="7:12" x14ac:dyDescent="0.2">
      <c r="G9194" s="45"/>
      <c r="L9194" s="8"/>
    </row>
    <row r="9195" spans="7:12" x14ac:dyDescent="0.2">
      <c r="G9195" s="45"/>
      <c r="L9195" s="8"/>
    </row>
    <row r="9196" spans="7:12" x14ac:dyDescent="0.2">
      <c r="G9196" s="45"/>
      <c r="L9196" s="8"/>
    </row>
    <row r="9197" spans="7:12" x14ac:dyDescent="0.2">
      <c r="G9197" s="45"/>
      <c r="L9197" s="8"/>
    </row>
    <row r="9198" spans="7:12" x14ac:dyDescent="0.2">
      <c r="G9198" s="45"/>
      <c r="L9198" s="8"/>
    </row>
    <row r="9199" spans="7:12" x14ac:dyDescent="0.2">
      <c r="G9199" s="45"/>
      <c r="L9199" s="8"/>
    </row>
    <row r="9200" spans="7:12" x14ac:dyDescent="0.2">
      <c r="G9200" s="45"/>
      <c r="L9200" s="8"/>
    </row>
    <row r="9201" spans="7:12" x14ac:dyDescent="0.2">
      <c r="G9201" s="45"/>
      <c r="L9201" s="8"/>
    </row>
    <row r="9202" spans="7:12" x14ac:dyDescent="0.2">
      <c r="G9202" s="45"/>
      <c r="L9202" s="8"/>
    </row>
    <row r="9203" spans="7:12" x14ac:dyDescent="0.2">
      <c r="G9203" s="45"/>
      <c r="L9203" s="8"/>
    </row>
    <row r="9204" spans="7:12" x14ac:dyDescent="0.2">
      <c r="G9204" s="45"/>
      <c r="L9204" s="8"/>
    </row>
    <row r="9205" spans="7:12" x14ac:dyDescent="0.2">
      <c r="G9205" s="45"/>
      <c r="L9205" s="8"/>
    </row>
    <row r="9206" spans="7:12" x14ac:dyDescent="0.2">
      <c r="G9206" s="45"/>
      <c r="L9206" s="8"/>
    </row>
    <row r="9207" spans="7:12" x14ac:dyDescent="0.2">
      <c r="G9207" s="45"/>
      <c r="L9207" s="8"/>
    </row>
    <row r="9208" spans="7:12" x14ac:dyDescent="0.2">
      <c r="G9208" s="45"/>
      <c r="L9208" s="8"/>
    </row>
    <row r="9209" spans="7:12" x14ac:dyDescent="0.2">
      <c r="G9209" s="45"/>
      <c r="L9209" s="8"/>
    </row>
    <row r="9210" spans="7:12" x14ac:dyDescent="0.2">
      <c r="G9210" s="45"/>
      <c r="L9210" s="8"/>
    </row>
    <row r="9211" spans="7:12" x14ac:dyDescent="0.2">
      <c r="G9211" s="45"/>
      <c r="L9211" s="8"/>
    </row>
    <row r="9212" spans="7:12" x14ac:dyDescent="0.2">
      <c r="G9212" s="45"/>
      <c r="L9212" s="8"/>
    </row>
    <row r="9213" spans="7:12" x14ac:dyDescent="0.2">
      <c r="G9213" s="45"/>
      <c r="L9213" s="8"/>
    </row>
    <row r="9214" spans="7:12" x14ac:dyDescent="0.2">
      <c r="G9214" s="45"/>
      <c r="L9214" s="8"/>
    </row>
    <row r="9215" spans="7:12" x14ac:dyDescent="0.2">
      <c r="G9215" s="45"/>
      <c r="L9215" s="8"/>
    </row>
    <row r="9216" spans="7:12" x14ac:dyDescent="0.2">
      <c r="G9216" s="45"/>
      <c r="L9216" s="8"/>
    </row>
    <row r="9217" spans="7:12" x14ac:dyDescent="0.2">
      <c r="G9217" s="45"/>
      <c r="L9217" s="8"/>
    </row>
    <row r="9218" spans="7:12" x14ac:dyDescent="0.2">
      <c r="G9218" s="45"/>
      <c r="L9218" s="8"/>
    </row>
    <row r="9219" spans="7:12" x14ac:dyDescent="0.2">
      <c r="G9219" s="45"/>
      <c r="L9219" s="8"/>
    </row>
    <row r="9220" spans="7:12" x14ac:dyDescent="0.2">
      <c r="G9220" s="45"/>
      <c r="L9220" s="8"/>
    </row>
    <row r="9221" spans="7:12" x14ac:dyDescent="0.2">
      <c r="G9221" s="45"/>
      <c r="L9221" s="8"/>
    </row>
    <row r="9222" spans="7:12" x14ac:dyDescent="0.2">
      <c r="G9222" s="45"/>
      <c r="L9222" s="8"/>
    </row>
    <row r="9223" spans="7:12" x14ac:dyDescent="0.2">
      <c r="G9223" s="45"/>
      <c r="L9223" s="8"/>
    </row>
    <row r="9224" spans="7:12" x14ac:dyDescent="0.2">
      <c r="G9224" s="45"/>
      <c r="L9224" s="8"/>
    </row>
    <row r="9225" spans="7:12" x14ac:dyDescent="0.2">
      <c r="G9225" s="45"/>
      <c r="L9225" s="8"/>
    </row>
    <row r="9226" spans="7:12" x14ac:dyDescent="0.2">
      <c r="G9226" s="45"/>
      <c r="L9226" s="8"/>
    </row>
    <row r="9227" spans="7:12" x14ac:dyDescent="0.2">
      <c r="G9227" s="45"/>
      <c r="L9227" s="8"/>
    </row>
    <row r="9228" spans="7:12" x14ac:dyDescent="0.2">
      <c r="G9228" s="45"/>
      <c r="L9228" s="8"/>
    </row>
    <row r="9229" spans="7:12" x14ac:dyDescent="0.2">
      <c r="G9229" s="45"/>
      <c r="L9229" s="8"/>
    </row>
    <row r="9230" spans="7:12" x14ac:dyDescent="0.2">
      <c r="G9230" s="45"/>
      <c r="L9230" s="8"/>
    </row>
    <row r="9231" spans="7:12" x14ac:dyDescent="0.2">
      <c r="G9231" s="45"/>
      <c r="L9231" s="8"/>
    </row>
    <row r="9232" spans="7:12" x14ac:dyDescent="0.2">
      <c r="G9232" s="45"/>
      <c r="L9232" s="8"/>
    </row>
    <row r="9233" spans="7:12" x14ac:dyDescent="0.2">
      <c r="G9233" s="45"/>
      <c r="L9233" s="8"/>
    </row>
    <row r="9234" spans="7:12" x14ac:dyDescent="0.2">
      <c r="G9234" s="45"/>
      <c r="L9234" s="8"/>
    </row>
    <row r="9235" spans="7:12" x14ac:dyDescent="0.2">
      <c r="G9235" s="45"/>
      <c r="L9235" s="8"/>
    </row>
    <row r="9236" spans="7:12" x14ac:dyDescent="0.2">
      <c r="G9236" s="45"/>
      <c r="L9236" s="8"/>
    </row>
    <row r="9237" spans="7:12" x14ac:dyDescent="0.2">
      <c r="G9237" s="45"/>
      <c r="L9237" s="8"/>
    </row>
    <row r="9238" spans="7:12" x14ac:dyDescent="0.2">
      <c r="G9238" s="45"/>
      <c r="L9238" s="8"/>
    </row>
    <row r="9239" spans="7:12" x14ac:dyDescent="0.2">
      <c r="G9239" s="45"/>
      <c r="L9239" s="8"/>
    </row>
    <row r="9240" spans="7:12" x14ac:dyDescent="0.2">
      <c r="G9240" s="45"/>
      <c r="L9240" s="8"/>
    </row>
    <row r="9241" spans="7:12" x14ac:dyDescent="0.2">
      <c r="G9241" s="45"/>
      <c r="L9241" s="8"/>
    </row>
    <row r="9242" spans="7:12" x14ac:dyDescent="0.2">
      <c r="G9242" s="45"/>
      <c r="L9242" s="8"/>
    </row>
    <row r="9243" spans="7:12" x14ac:dyDescent="0.2">
      <c r="G9243" s="45"/>
      <c r="L9243" s="8"/>
    </row>
    <row r="9244" spans="7:12" x14ac:dyDescent="0.2">
      <c r="G9244" s="45"/>
      <c r="L9244" s="8"/>
    </row>
    <row r="9245" spans="7:12" x14ac:dyDescent="0.2">
      <c r="G9245" s="45"/>
      <c r="L9245" s="8"/>
    </row>
    <row r="9246" spans="7:12" x14ac:dyDescent="0.2">
      <c r="G9246" s="45"/>
      <c r="L9246" s="8"/>
    </row>
    <row r="9247" spans="7:12" x14ac:dyDescent="0.2">
      <c r="G9247" s="45"/>
      <c r="L9247" s="8"/>
    </row>
    <row r="9248" spans="7:12" x14ac:dyDescent="0.2">
      <c r="G9248" s="45"/>
      <c r="L9248" s="8"/>
    </row>
    <row r="9249" spans="7:12" x14ac:dyDescent="0.2">
      <c r="G9249" s="45"/>
      <c r="L9249" s="8"/>
    </row>
    <row r="9250" spans="7:12" x14ac:dyDescent="0.2">
      <c r="G9250" s="45"/>
      <c r="L9250" s="8"/>
    </row>
    <row r="9251" spans="7:12" x14ac:dyDescent="0.2">
      <c r="G9251" s="45"/>
      <c r="L9251" s="8"/>
    </row>
    <row r="9252" spans="7:12" x14ac:dyDescent="0.2">
      <c r="G9252" s="45"/>
      <c r="L9252" s="8"/>
    </row>
    <row r="9253" spans="7:12" x14ac:dyDescent="0.2">
      <c r="G9253" s="45"/>
      <c r="L9253" s="8"/>
    </row>
    <row r="9254" spans="7:12" x14ac:dyDescent="0.2">
      <c r="G9254" s="45"/>
      <c r="L9254" s="8"/>
    </row>
    <row r="9255" spans="7:12" x14ac:dyDescent="0.2">
      <c r="G9255" s="45"/>
      <c r="L9255" s="8"/>
    </row>
    <row r="9256" spans="7:12" x14ac:dyDescent="0.2">
      <c r="G9256" s="45"/>
      <c r="L9256" s="8"/>
    </row>
    <row r="9257" spans="7:12" x14ac:dyDescent="0.2">
      <c r="G9257" s="45"/>
      <c r="L9257" s="8"/>
    </row>
    <row r="9258" spans="7:12" x14ac:dyDescent="0.2">
      <c r="G9258" s="45"/>
      <c r="L9258" s="8"/>
    </row>
    <row r="9259" spans="7:12" x14ac:dyDescent="0.2">
      <c r="G9259" s="45"/>
      <c r="L9259" s="8"/>
    </row>
    <row r="9260" spans="7:12" x14ac:dyDescent="0.2">
      <c r="G9260" s="45"/>
      <c r="L9260" s="8"/>
    </row>
    <row r="9261" spans="7:12" x14ac:dyDescent="0.2">
      <c r="G9261" s="45"/>
      <c r="L9261" s="8"/>
    </row>
    <row r="9262" spans="7:12" x14ac:dyDescent="0.2">
      <c r="G9262" s="45"/>
      <c r="L9262" s="8"/>
    </row>
    <row r="9263" spans="7:12" x14ac:dyDescent="0.2">
      <c r="G9263" s="45"/>
      <c r="L9263" s="8"/>
    </row>
    <row r="9264" spans="7:12" x14ac:dyDescent="0.2">
      <c r="G9264" s="45"/>
      <c r="L9264" s="8"/>
    </row>
    <row r="9265" spans="7:12" x14ac:dyDescent="0.2">
      <c r="G9265" s="45"/>
      <c r="L9265" s="8"/>
    </row>
    <row r="9266" spans="7:12" x14ac:dyDescent="0.2">
      <c r="G9266" s="45"/>
      <c r="L9266" s="8"/>
    </row>
    <row r="9267" spans="7:12" x14ac:dyDescent="0.2">
      <c r="G9267" s="45"/>
      <c r="L9267" s="8"/>
    </row>
    <row r="9268" spans="7:12" x14ac:dyDescent="0.2">
      <c r="G9268" s="45"/>
      <c r="L9268" s="8"/>
    </row>
    <row r="9269" spans="7:12" x14ac:dyDescent="0.2">
      <c r="G9269" s="45"/>
      <c r="L9269" s="8"/>
    </row>
    <row r="9270" spans="7:12" x14ac:dyDescent="0.2">
      <c r="G9270" s="45"/>
      <c r="L9270" s="8"/>
    </row>
    <row r="9271" spans="7:12" x14ac:dyDescent="0.2">
      <c r="G9271" s="45"/>
      <c r="L9271" s="8"/>
    </row>
    <row r="9272" spans="7:12" x14ac:dyDescent="0.2">
      <c r="G9272" s="45"/>
      <c r="L9272" s="8"/>
    </row>
    <row r="9273" spans="7:12" x14ac:dyDescent="0.2">
      <c r="G9273" s="45"/>
      <c r="L9273" s="8"/>
    </row>
    <row r="9274" spans="7:12" x14ac:dyDescent="0.2">
      <c r="G9274" s="45"/>
      <c r="L9274" s="8"/>
    </row>
    <row r="9275" spans="7:12" x14ac:dyDescent="0.2">
      <c r="G9275" s="45"/>
      <c r="L9275" s="8"/>
    </row>
    <row r="9276" spans="7:12" x14ac:dyDescent="0.2">
      <c r="G9276" s="45"/>
      <c r="L9276" s="8"/>
    </row>
    <row r="9277" spans="7:12" x14ac:dyDescent="0.2">
      <c r="G9277" s="45"/>
      <c r="L9277" s="8"/>
    </row>
    <row r="9278" spans="7:12" x14ac:dyDescent="0.2">
      <c r="G9278" s="45"/>
      <c r="L9278" s="8"/>
    </row>
    <row r="9279" spans="7:12" x14ac:dyDescent="0.2">
      <c r="G9279" s="45"/>
      <c r="L9279" s="8"/>
    </row>
    <row r="9280" spans="7:12" x14ac:dyDescent="0.2">
      <c r="G9280" s="45"/>
      <c r="L9280" s="8"/>
    </row>
    <row r="9281" spans="7:12" x14ac:dyDescent="0.2">
      <c r="G9281" s="45"/>
      <c r="L9281" s="8"/>
    </row>
    <row r="9282" spans="7:12" x14ac:dyDescent="0.2">
      <c r="G9282" s="45"/>
      <c r="L9282" s="8"/>
    </row>
    <row r="9283" spans="7:12" x14ac:dyDescent="0.2">
      <c r="G9283" s="45"/>
      <c r="L9283" s="8"/>
    </row>
    <row r="9284" spans="7:12" x14ac:dyDescent="0.2">
      <c r="G9284" s="45"/>
      <c r="L9284" s="8"/>
    </row>
    <row r="9285" spans="7:12" x14ac:dyDescent="0.2">
      <c r="G9285" s="45"/>
      <c r="L9285" s="8"/>
    </row>
    <row r="9286" spans="7:12" x14ac:dyDescent="0.2">
      <c r="G9286" s="45"/>
      <c r="L9286" s="8"/>
    </row>
    <row r="9287" spans="7:12" x14ac:dyDescent="0.2">
      <c r="G9287" s="45"/>
      <c r="L9287" s="8"/>
    </row>
    <row r="9288" spans="7:12" x14ac:dyDescent="0.2">
      <c r="G9288" s="45"/>
      <c r="L9288" s="8"/>
    </row>
    <row r="9289" spans="7:12" x14ac:dyDescent="0.2">
      <c r="G9289" s="45"/>
      <c r="L9289" s="8"/>
    </row>
    <row r="9290" spans="7:12" x14ac:dyDescent="0.2">
      <c r="G9290" s="45"/>
      <c r="L9290" s="8"/>
    </row>
    <row r="9291" spans="7:12" x14ac:dyDescent="0.2">
      <c r="G9291" s="45"/>
      <c r="L9291" s="8"/>
    </row>
    <row r="9292" spans="7:12" x14ac:dyDescent="0.2">
      <c r="G9292" s="45"/>
      <c r="L9292" s="8"/>
    </row>
    <row r="9293" spans="7:12" x14ac:dyDescent="0.2">
      <c r="G9293" s="45"/>
      <c r="L9293" s="8"/>
    </row>
    <row r="9294" spans="7:12" x14ac:dyDescent="0.2">
      <c r="G9294" s="45"/>
      <c r="L9294" s="8"/>
    </row>
    <row r="9295" spans="7:12" x14ac:dyDescent="0.2">
      <c r="G9295" s="45"/>
      <c r="L9295" s="8"/>
    </row>
    <row r="9296" spans="7:12" x14ac:dyDescent="0.2">
      <c r="G9296" s="45"/>
      <c r="L9296" s="8"/>
    </row>
    <row r="9297" spans="7:12" x14ac:dyDescent="0.2">
      <c r="G9297" s="45"/>
      <c r="L9297" s="8"/>
    </row>
    <row r="9298" spans="7:12" x14ac:dyDescent="0.2">
      <c r="G9298" s="45"/>
      <c r="L9298" s="8"/>
    </row>
    <row r="9299" spans="7:12" x14ac:dyDescent="0.2">
      <c r="G9299" s="45"/>
      <c r="L9299" s="8"/>
    </row>
    <row r="9300" spans="7:12" x14ac:dyDescent="0.2">
      <c r="G9300" s="45"/>
      <c r="L9300" s="8"/>
    </row>
    <row r="9301" spans="7:12" x14ac:dyDescent="0.2">
      <c r="G9301" s="45"/>
      <c r="L9301" s="8"/>
    </row>
    <row r="9302" spans="7:12" x14ac:dyDescent="0.2">
      <c r="G9302" s="45"/>
      <c r="L9302" s="8"/>
    </row>
    <row r="9303" spans="7:12" x14ac:dyDescent="0.2">
      <c r="G9303" s="45"/>
      <c r="L9303" s="8"/>
    </row>
    <row r="9304" spans="7:12" x14ac:dyDescent="0.2">
      <c r="G9304" s="45"/>
      <c r="L9304" s="8"/>
    </row>
    <row r="9305" spans="7:12" x14ac:dyDescent="0.2">
      <c r="G9305" s="45"/>
      <c r="L9305" s="8"/>
    </row>
    <row r="9306" spans="7:12" x14ac:dyDescent="0.2">
      <c r="G9306" s="45"/>
      <c r="L9306" s="8"/>
    </row>
    <row r="9307" spans="7:12" x14ac:dyDescent="0.2">
      <c r="G9307" s="45"/>
      <c r="L9307" s="8"/>
    </row>
    <row r="9308" spans="7:12" x14ac:dyDescent="0.2">
      <c r="G9308" s="45"/>
      <c r="L9308" s="8"/>
    </row>
    <row r="9309" spans="7:12" x14ac:dyDescent="0.2">
      <c r="G9309" s="45"/>
      <c r="L9309" s="8"/>
    </row>
    <row r="9310" spans="7:12" x14ac:dyDescent="0.2">
      <c r="G9310" s="45"/>
      <c r="L9310" s="8"/>
    </row>
    <row r="9311" spans="7:12" x14ac:dyDescent="0.2">
      <c r="G9311" s="45"/>
      <c r="L9311" s="8"/>
    </row>
    <row r="9312" spans="7:12" x14ac:dyDescent="0.2">
      <c r="G9312" s="45"/>
      <c r="L9312" s="8"/>
    </row>
    <row r="9313" spans="7:12" x14ac:dyDescent="0.2">
      <c r="G9313" s="45"/>
      <c r="L9313" s="8"/>
    </row>
    <row r="9314" spans="7:12" x14ac:dyDescent="0.2">
      <c r="G9314" s="45"/>
      <c r="L9314" s="8"/>
    </row>
    <row r="9315" spans="7:12" x14ac:dyDescent="0.2">
      <c r="G9315" s="45"/>
      <c r="L9315" s="8"/>
    </row>
    <row r="9316" spans="7:12" x14ac:dyDescent="0.2">
      <c r="G9316" s="45"/>
      <c r="L9316" s="8"/>
    </row>
    <row r="9317" spans="7:12" x14ac:dyDescent="0.2">
      <c r="G9317" s="45"/>
      <c r="L9317" s="8"/>
    </row>
    <row r="9318" spans="7:12" x14ac:dyDescent="0.2">
      <c r="G9318" s="45"/>
      <c r="L9318" s="8"/>
    </row>
    <row r="9319" spans="7:12" x14ac:dyDescent="0.2">
      <c r="G9319" s="45"/>
      <c r="L9319" s="8"/>
    </row>
    <row r="9320" spans="7:12" x14ac:dyDescent="0.2">
      <c r="G9320" s="45"/>
      <c r="L9320" s="8"/>
    </row>
    <row r="9321" spans="7:12" x14ac:dyDescent="0.2">
      <c r="G9321" s="45"/>
      <c r="L9321" s="8"/>
    </row>
    <row r="9322" spans="7:12" x14ac:dyDescent="0.2">
      <c r="G9322" s="45"/>
      <c r="L9322" s="8"/>
    </row>
    <row r="9323" spans="7:12" x14ac:dyDescent="0.2">
      <c r="G9323" s="45"/>
      <c r="L9323" s="8"/>
    </row>
    <row r="9324" spans="7:12" x14ac:dyDescent="0.2">
      <c r="G9324" s="45"/>
      <c r="L9324" s="8"/>
    </row>
    <row r="9325" spans="7:12" x14ac:dyDescent="0.2">
      <c r="G9325" s="45"/>
      <c r="L9325" s="8"/>
    </row>
    <row r="9326" spans="7:12" x14ac:dyDescent="0.2">
      <c r="G9326" s="45"/>
      <c r="L9326" s="8"/>
    </row>
    <row r="9327" spans="7:12" x14ac:dyDescent="0.2">
      <c r="G9327" s="45"/>
      <c r="L9327" s="8"/>
    </row>
    <row r="9328" spans="7:12" x14ac:dyDescent="0.2">
      <c r="G9328" s="45"/>
      <c r="L9328" s="8"/>
    </row>
    <row r="9329" spans="7:12" x14ac:dyDescent="0.2">
      <c r="G9329" s="45"/>
      <c r="L9329" s="8"/>
    </row>
    <row r="9330" spans="7:12" x14ac:dyDescent="0.2">
      <c r="G9330" s="45"/>
      <c r="L9330" s="8"/>
    </row>
    <row r="9331" spans="7:12" x14ac:dyDescent="0.2">
      <c r="G9331" s="45"/>
      <c r="L9331" s="8"/>
    </row>
    <row r="9332" spans="7:12" x14ac:dyDescent="0.2">
      <c r="G9332" s="45"/>
      <c r="L9332" s="8"/>
    </row>
    <row r="9333" spans="7:12" x14ac:dyDescent="0.2">
      <c r="G9333" s="45"/>
      <c r="L9333" s="8"/>
    </row>
    <row r="9334" spans="7:12" x14ac:dyDescent="0.2">
      <c r="G9334" s="45"/>
      <c r="L9334" s="8"/>
    </row>
    <row r="9335" spans="7:12" x14ac:dyDescent="0.2">
      <c r="G9335" s="45"/>
      <c r="L9335" s="8"/>
    </row>
    <row r="9336" spans="7:12" x14ac:dyDescent="0.2">
      <c r="G9336" s="45"/>
      <c r="L9336" s="8"/>
    </row>
    <row r="9337" spans="7:12" x14ac:dyDescent="0.2">
      <c r="G9337" s="45"/>
      <c r="L9337" s="8"/>
    </row>
    <row r="9338" spans="7:12" x14ac:dyDescent="0.2">
      <c r="G9338" s="45"/>
      <c r="L9338" s="8"/>
    </row>
    <row r="9339" spans="7:12" x14ac:dyDescent="0.2">
      <c r="G9339" s="45"/>
      <c r="L9339" s="8"/>
    </row>
    <row r="9340" spans="7:12" x14ac:dyDescent="0.2">
      <c r="G9340" s="45"/>
      <c r="L9340" s="8"/>
    </row>
    <row r="9341" spans="7:12" x14ac:dyDescent="0.2">
      <c r="G9341" s="45"/>
      <c r="L9341" s="8"/>
    </row>
    <row r="9342" spans="7:12" x14ac:dyDescent="0.2">
      <c r="G9342" s="45"/>
      <c r="L9342" s="8"/>
    </row>
    <row r="9343" spans="7:12" x14ac:dyDescent="0.2">
      <c r="G9343" s="45"/>
      <c r="L9343" s="8"/>
    </row>
    <row r="9344" spans="7:12" x14ac:dyDescent="0.2">
      <c r="G9344" s="45"/>
      <c r="L9344" s="8"/>
    </row>
    <row r="9345" spans="7:12" x14ac:dyDescent="0.2">
      <c r="G9345" s="45"/>
      <c r="L9345" s="8"/>
    </row>
    <row r="9346" spans="7:12" x14ac:dyDescent="0.2">
      <c r="G9346" s="45"/>
      <c r="L9346" s="8"/>
    </row>
    <row r="9347" spans="7:12" x14ac:dyDescent="0.2">
      <c r="G9347" s="45"/>
      <c r="L9347" s="8"/>
    </row>
    <row r="9348" spans="7:12" x14ac:dyDescent="0.2">
      <c r="G9348" s="45"/>
      <c r="L9348" s="8"/>
    </row>
    <row r="9349" spans="7:12" x14ac:dyDescent="0.2">
      <c r="G9349" s="45"/>
      <c r="L9349" s="8"/>
    </row>
    <row r="9350" spans="7:12" x14ac:dyDescent="0.2">
      <c r="G9350" s="45"/>
      <c r="L9350" s="8"/>
    </row>
    <row r="9351" spans="7:12" x14ac:dyDescent="0.2">
      <c r="G9351" s="45"/>
      <c r="L9351" s="8"/>
    </row>
    <row r="9352" spans="7:12" x14ac:dyDescent="0.2">
      <c r="G9352" s="45"/>
      <c r="L9352" s="8"/>
    </row>
    <row r="9353" spans="7:12" x14ac:dyDescent="0.2">
      <c r="G9353" s="45"/>
      <c r="L9353" s="8"/>
    </row>
    <row r="9354" spans="7:12" x14ac:dyDescent="0.2">
      <c r="G9354" s="45"/>
      <c r="L9354" s="8"/>
    </row>
    <row r="9355" spans="7:12" x14ac:dyDescent="0.2">
      <c r="G9355" s="45"/>
      <c r="L9355" s="8"/>
    </row>
    <row r="9356" spans="7:12" x14ac:dyDescent="0.2">
      <c r="G9356" s="45"/>
      <c r="L9356" s="8"/>
    </row>
    <row r="9357" spans="7:12" x14ac:dyDescent="0.2">
      <c r="G9357" s="45"/>
      <c r="L9357" s="8"/>
    </row>
    <row r="9358" spans="7:12" x14ac:dyDescent="0.2">
      <c r="G9358" s="45"/>
      <c r="L9358" s="8"/>
    </row>
    <row r="9359" spans="7:12" x14ac:dyDescent="0.2">
      <c r="G9359" s="45"/>
      <c r="L9359" s="8"/>
    </row>
    <row r="9360" spans="7:12" x14ac:dyDescent="0.2">
      <c r="G9360" s="45"/>
      <c r="L9360" s="8"/>
    </row>
    <row r="9361" spans="7:12" x14ac:dyDescent="0.2">
      <c r="G9361" s="45"/>
      <c r="L9361" s="8"/>
    </row>
    <row r="9362" spans="7:12" x14ac:dyDescent="0.2">
      <c r="G9362" s="45"/>
      <c r="L9362" s="8"/>
    </row>
    <row r="9363" spans="7:12" x14ac:dyDescent="0.2">
      <c r="G9363" s="45"/>
      <c r="L9363" s="8"/>
    </row>
    <row r="9364" spans="7:12" x14ac:dyDescent="0.2">
      <c r="G9364" s="45"/>
      <c r="L9364" s="8"/>
    </row>
    <row r="9365" spans="7:12" x14ac:dyDescent="0.2">
      <c r="G9365" s="45"/>
      <c r="L9365" s="8"/>
    </row>
    <row r="9366" spans="7:12" x14ac:dyDescent="0.2">
      <c r="G9366" s="45"/>
      <c r="L9366" s="8"/>
    </row>
    <row r="9367" spans="7:12" x14ac:dyDescent="0.2">
      <c r="G9367" s="45"/>
      <c r="L9367" s="8"/>
    </row>
    <row r="9368" spans="7:12" x14ac:dyDescent="0.2">
      <c r="G9368" s="45"/>
      <c r="L9368" s="8"/>
    </row>
    <row r="9369" spans="7:12" x14ac:dyDescent="0.2">
      <c r="G9369" s="45"/>
      <c r="L9369" s="8"/>
    </row>
    <row r="9370" spans="7:12" x14ac:dyDescent="0.2">
      <c r="G9370" s="45"/>
      <c r="L9370" s="8"/>
    </row>
    <row r="9371" spans="7:12" x14ac:dyDescent="0.2">
      <c r="G9371" s="45"/>
      <c r="L9371" s="8"/>
    </row>
    <row r="9372" spans="7:12" x14ac:dyDescent="0.2">
      <c r="G9372" s="45"/>
      <c r="L9372" s="8"/>
    </row>
    <row r="9373" spans="7:12" x14ac:dyDescent="0.2">
      <c r="G9373" s="45"/>
      <c r="L9373" s="8"/>
    </row>
    <row r="9374" spans="7:12" x14ac:dyDescent="0.2">
      <c r="G9374" s="45"/>
      <c r="L9374" s="8"/>
    </row>
    <row r="9375" spans="7:12" x14ac:dyDescent="0.2">
      <c r="G9375" s="45"/>
      <c r="L9375" s="8"/>
    </row>
    <row r="9376" spans="7:12" x14ac:dyDescent="0.2">
      <c r="G9376" s="45"/>
      <c r="L9376" s="8"/>
    </row>
    <row r="9377" spans="7:12" x14ac:dyDescent="0.2">
      <c r="G9377" s="45"/>
      <c r="L9377" s="8"/>
    </row>
    <row r="9378" spans="7:12" x14ac:dyDescent="0.2">
      <c r="G9378" s="45"/>
      <c r="L9378" s="8"/>
    </row>
    <row r="9379" spans="7:12" x14ac:dyDescent="0.2">
      <c r="G9379" s="45"/>
      <c r="L9379" s="8"/>
    </row>
    <row r="9380" spans="7:12" x14ac:dyDescent="0.2">
      <c r="G9380" s="45"/>
      <c r="L9380" s="8"/>
    </row>
    <row r="9381" spans="7:12" x14ac:dyDescent="0.2">
      <c r="G9381" s="45"/>
      <c r="L9381" s="8"/>
    </row>
    <row r="9382" spans="7:12" x14ac:dyDescent="0.2">
      <c r="G9382" s="45"/>
      <c r="L9382" s="8"/>
    </row>
    <row r="9383" spans="7:12" x14ac:dyDescent="0.2">
      <c r="G9383" s="45"/>
      <c r="L9383" s="8"/>
    </row>
    <row r="9384" spans="7:12" x14ac:dyDescent="0.2">
      <c r="G9384" s="45"/>
      <c r="L9384" s="8"/>
    </row>
    <row r="9385" spans="7:12" x14ac:dyDescent="0.2">
      <c r="G9385" s="45"/>
      <c r="L9385" s="8"/>
    </row>
    <row r="9386" spans="7:12" x14ac:dyDescent="0.2">
      <c r="G9386" s="45"/>
      <c r="L9386" s="8"/>
    </row>
    <row r="9387" spans="7:12" x14ac:dyDescent="0.2">
      <c r="G9387" s="45"/>
      <c r="L9387" s="8"/>
    </row>
    <row r="9388" spans="7:12" x14ac:dyDescent="0.2">
      <c r="G9388" s="45"/>
      <c r="L9388" s="8"/>
    </row>
    <row r="9389" spans="7:12" x14ac:dyDescent="0.2">
      <c r="G9389" s="45"/>
      <c r="L9389" s="8"/>
    </row>
    <row r="9390" spans="7:12" x14ac:dyDescent="0.2">
      <c r="G9390" s="45"/>
      <c r="L9390" s="8"/>
    </row>
    <row r="9391" spans="7:12" x14ac:dyDescent="0.2">
      <c r="G9391" s="45"/>
      <c r="L9391" s="8"/>
    </row>
    <row r="9392" spans="7:12" x14ac:dyDescent="0.2">
      <c r="G9392" s="45"/>
      <c r="L9392" s="8"/>
    </row>
    <row r="9393" spans="7:12" x14ac:dyDescent="0.2">
      <c r="G9393" s="45"/>
      <c r="L9393" s="8"/>
    </row>
    <row r="9394" spans="7:12" x14ac:dyDescent="0.2">
      <c r="G9394" s="45"/>
      <c r="L9394" s="8"/>
    </row>
    <row r="9395" spans="7:12" x14ac:dyDescent="0.2">
      <c r="G9395" s="45"/>
      <c r="L9395" s="8"/>
    </row>
    <row r="9396" spans="7:12" x14ac:dyDescent="0.2">
      <c r="G9396" s="45"/>
      <c r="L9396" s="8"/>
    </row>
    <row r="9397" spans="7:12" x14ac:dyDescent="0.2">
      <c r="G9397" s="45"/>
      <c r="L9397" s="8"/>
    </row>
    <row r="9398" spans="7:12" x14ac:dyDescent="0.2">
      <c r="G9398" s="45"/>
      <c r="L9398" s="8"/>
    </row>
    <row r="9399" spans="7:12" x14ac:dyDescent="0.2">
      <c r="G9399" s="45"/>
      <c r="L9399" s="8"/>
    </row>
    <row r="9400" spans="7:12" x14ac:dyDescent="0.2">
      <c r="G9400" s="45"/>
      <c r="L9400" s="8"/>
    </row>
    <row r="9401" spans="7:12" x14ac:dyDescent="0.2">
      <c r="G9401" s="45"/>
      <c r="L9401" s="8"/>
    </row>
    <row r="9402" spans="7:12" x14ac:dyDescent="0.2">
      <c r="G9402" s="45"/>
      <c r="L9402" s="8"/>
    </row>
    <row r="9403" spans="7:12" x14ac:dyDescent="0.2">
      <c r="G9403" s="45"/>
      <c r="L9403" s="8"/>
    </row>
    <row r="9404" spans="7:12" x14ac:dyDescent="0.2">
      <c r="G9404" s="45"/>
      <c r="L9404" s="8"/>
    </row>
    <row r="9405" spans="7:12" x14ac:dyDescent="0.2">
      <c r="G9405" s="45"/>
      <c r="L9405" s="8"/>
    </row>
    <row r="9406" spans="7:12" x14ac:dyDescent="0.2">
      <c r="G9406" s="45"/>
      <c r="L9406" s="8"/>
    </row>
    <row r="9407" spans="7:12" x14ac:dyDescent="0.2">
      <c r="G9407" s="45"/>
      <c r="L9407" s="8"/>
    </row>
    <row r="9408" spans="7:12" x14ac:dyDescent="0.2">
      <c r="G9408" s="45"/>
      <c r="L9408" s="8"/>
    </row>
    <row r="9409" spans="7:12" x14ac:dyDescent="0.2">
      <c r="G9409" s="45"/>
      <c r="L9409" s="8"/>
    </row>
    <row r="9410" spans="7:12" x14ac:dyDescent="0.2">
      <c r="G9410" s="45"/>
      <c r="L9410" s="8"/>
    </row>
    <row r="9411" spans="7:12" x14ac:dyDescent="0.2">
      <c r="G9411" s="45"/>
      <c r="L9411" s="8"/>
    </row>
    <row r="9412" spans="7:12" x14ac:dyDescent="0.2">
      <c r="G9412" s="45"/>
      <c r="L9412" s="8"/>
    </row>
    <row r="9413" spans="7:12" x14ac:dyDescent="0.2">
      <c r="G9413" s="45"/>
      <c r="L9413" s="8"/>
    </row>
    <row r="9414" spans="7:12" x14ac:dyDescent="0.2">
      <c r="G9414" s="45"/>
      <c r="L9414" s="8"/>
    </row>
    <row r="9415" spans="7:12" x14ac:dyDescent="0.2">
      <c r="G9415" s="45"/>
      <c r="L9415" s="8"/>
    </row>
    <row r="9416" spans="7:12" x14ac:dyDescent="0.2">
      <c r="G9416" s="45"/>
      <c r="L9416" s="8"/>
    </row>
    <row r="9417" spans="7:12" x14ac:dyDescent="0.2">
      <c r="G9417" s="45"/>
      <c r="L9417" s="8"/>
    </row>
    <row r="9418" spans="7:12" x14ac:dyDescent="0.2">
      <c r="G9418" s="45"/>
      <c r="L9418" s="8"/>
    </row>
    <row r="9419" spans="7:12" x14ac:dyDescent="0.2">
      <c r="G9419" s="45"/>
      <c r="L9419" s="8"/>
    </row>
    <row r="9420" spans="7:12" x14ac:dyDescent="0.2">
      <c r="G9420" s="45"/>
      <c r="L9420" s="8"/>
    </row>
    <row r="9421" spans="7:12" x14ac:dyDescent="0.2">
      <c r="G9421" s="45"/>
      <c r="L9421" s="8"/>
    </row>
    <row r="9422" spans="7:12" x14ac:dyDescent="0.2">
      <c r="G9422" s="45"/>
      <c r="L9422" s="8"/>
    </row>
    <row r="9423" spans="7:12" x14ac:dyDescent="0.2">
      <c r="G9423" s="45"/>
      <c r="L9423" s="8"/>
    </row>
    <row r="9424" spans="7:12" x14ac:dyDescent="0.2">
      <c r="G9424" s="45"/>
      <c r="L9424" s="8"/>
    </row>
    <row r="9425" spans="7:12" x14ac:dyDescent="0.2">
      <c r="G9425" s="45"/>
      <c r="L9425" s="8"/>
    </row>
    <row r="9426" spans="7:12" x14ac:dyDescent="0.2">
      <c r="G9426" s="45"/>
      <c r="L9426" s="8"/>
    </row>
    <row r="9427" spans="7:12" x14ac:dyDescent="0.2">
      <c r="G9427" s="45"/>
      <c r="L9427" s="8"/>
    </row>
    <row r="9428" spans="7:12" x14ac:dyDescent="0.2">
      <c r="G9428" s="45"/>
      <c r="L9428" s="8"/>
    </row>
    <row r="9429" spans="7:12" x14ac:dyDescent="0.2">
      <c r="G9429" s="45"/>
      <c r="L9429" s="8"/>
    </row>
    <row r="9430" spans="7:12" x14ac:dyDescent="0.2">
      <c r="G9430" s="45"/>
      <c r="L9430" s="8"/>
    </row>
    <row r="9431" spans="7:12" x14ac:dyDescent="0.2">
      <c r="G9431" s="45"/>
      <c r="L9431" s="8"/>
    </row>
    <row r="9432" spans="7:12" x14ac:dyDescent="0.2">
      <c r="G9432" s="45"/>
      <c r="L9432" s="8"/>
    </row>
    <row r="9433" spans="7:12" x14ac:dyDescent="0.2">
      <c r="G9433" s="45"/>
      <c r="L9433" s="8"/>
    </row>
    <row r="9434" spans="7:12" x14ac:dyDescent="0.2">
      <c r="G9434" s="45"/>
      <c r="L9434" s="8"/>
    </row>
    <row r="9435" spans="7:12" x14ac:dyDescent="0.2">
      <c r="G9435" s="45"/>
      <c r="L9435" s="8"/>
    </row>
    <row r="9436" spans="7:12" x14ac:dyDescent="0.2">
      <c r="G9436" s="45"/>
      <c r="L9436" s="8"/>
    </row>
    <row r="9437" spans="7:12" x14ac:dyDescent="0.2">
      <c r="G9437" s="45"/>
      <c r="L9437" s="8"/>
    </row>
    <row r="9438" spans="7:12" x14ac:dyDescent="0.2">
      <c r="G9438" s="45"/>
      <c r="L9438" s="8"/>
    </row>
    <row r="9439" spans="7:12" x14ac:dyDescent="0.2">
      <c r="G9439" s="45"/>
      <c r="L9439" s="8"/>
    </row>
    <row r="9440" spans="7:12" x14ac:dyDescent="0.2">
      <c r="G9440" s="45"/>
      <c r="L9440" s="8"/>
    </row>
    <row r="9441" spans="7:12" x14ac:dyDescent="0.2">
      <c r="G9441" s="45"/>
      <c r="L9441" s="8"/>
    </row>
    <row r="9442" spans="7:12" x14ac:dyDescent="0.2">
      <c r="G9442" s="45"/>
      <c r="L9442" s="8"/>
    </row>
    <row r="9443" spans="7:12" x14ac:dyDescent="0.2">
      <c r="G9443" s="45"/>
      <c r="L9443" s="8"/>
    </row>
    <row r="9444" spans="7:12" x14ac:dyDescent="0.2">
      <c r="G9444" s="45"/>
      <c r="L9444" s="8"/>
    </row>
    <row r="9445" spans="7:12" x14ac:dyDescent="0.2">
      <c r="G9445" s="45"/>
      <c r="L9445" s="8"/>
    </row>
    <row r="9446" spans="7:12" x14ac:dyDescent="0.2">
      <c r="G9446" s="45"/>
      <c r="L9446" s="8"/>
    </row>
    <row r="9447" spans="7:12" x14ac:dyDescent="0.2">
      <c r="G9447" s="45"/>
      <c r="L9447" s="8"/>
    </row>
    <row r="9448" spans="7:12" x14ac:dyDescent="0.2">
      <c r="G9448" s="45"/>
      <c r="L9448" s="8"/>
    </row>
    <row r="9449" spans="7:12" x14ac:dyDescent="0.2">
      <c r="G9449" s="45"/>
      <c r="L9449" s="8"/>
    </row>
    <row r="9450" spans="7:12" x14ac:dyDescent="0.2">
      <c r="G9450" s="45"/>
      <c r="L9450" s="8"/>
    </row>
    <row r="9451" spans="7:12" x14ac:dyDescent="0.2">
      <c r="G9451" s="45"/>
      <c r="L9451" s="8"/>
    </row>
    <row r="9452" spans="7:12" x14ac:dyDescent="0.2">
      <c r="G9452" s="45"/>
      <c r="L9452" s="8"/>
    </row>
    <row r="9453" spans="7:12" x14ac:dyDescent="0.2">
      <c r="G9453" s="45"/>
      <c r="L9453" s="8"/>
    </row>
    <row r="9454" spans="7:12" x14ac:dyDescent="0.2">
      <c r="G9454" s="45"/>
      <c r="L9454" s="8"/>
    </row>
    <row r="9455" spans="7:12" x14ac:dyDescent="0.2">
      <c r="G9455" s="45"/>
      <c r="L9455" s="8"/>
    </row>
    <row r="9456" spans="7:12" x14ac:dyDescent="0.2">
      <c r="G9456" s="45"/>
      <c r="L9456" s="8"/>
    </row>
    <row r="9457" spans="7:12" x14ac:dyDescent="0.2">
      <c r="G9457" s="45"/>
      <c r="L9457" s="8"/>
    </row>
    <row r="9458" spans="7:12" x14ac:dyDescent="0.2">
      <c r="G9458" s="45"/>
      <c r="L9458" s="8"/>
    </row>
    <row r="9459" spans="7:12" x14ac:dyDescent="0.2">
      <c r="G9459" s="45"/>
      <c r="L9459" s="8"/>
    </row>
    <row r="9460" spans="7:12" x14ac:dyDescent="0.2">
      <c r="G9460" s="45"/>
      <c r="L9460" s="8"/>
    </row>
    <row r="9461" spans="7:12" x14ac:dyDescent="0.2">
      <c r="G9461" s="45"/>
      <c r="L9461" s="8"/>
    </row>
    <row r="9462" spans="7:12" x14ac:dyDescent="0.2">
      <c r="G9462" s="45"/>
      <c r="L9462" s="8"/>
    </row>
    <row r="9463" spans="7:12" x14ac:dyDescent="0.2">
      <c r="G9463" s="45"/>
      <c r="L9463" s="8"/>
    </row>
    <row r="9464" spans="7:12" x14ac:dyDescent="0.2">
      <c r="G9464" s="45"/>
      <c r="L9464" s="8"/>
    </row>
    <row r="9465" spans="7:12" x14ac:dyDescent="0.2">
      <c r="G9465" s="45"/>
      <c r="L9465" s="8"/>
    </row>
    <row r="9466" spans="7:12" x14ac:dyDescent="0.2">
      <c r="G9466" s="45"/>
      <c r="L9466" s="8"/>
    </row>
    <row r="9467" spans="7:12" x14ac:dyDescent="0.2">
      <c r="G9467" s="45"/>
      <c r="L9467" s="8"/>
    </row>
    <row r="9468" spans="7:12" x14ac:dyDescent="0.2">
      <c r="G9468" s="45"/>
      <c r="L9468" s="8"/>
    </row>
    <row r="9469" spans="7:12" x14ac:dyDescent="0.2">
      <c r="G9469" s="45"/>
      <c r="L9469" s="8"/>
    </row>
    <row r="9470" spans="7:12" x14ac:dyDescent="0.2">
      <c r="G9470" s="45"/>
      <c r="L9470" s="8"/>
    </row>
    <row r="9471" spans="7:12" x14ac:dyDescent="0.2">
      <c r="G9471" s="45"/>
      <c r="L9471" s="8"/>
    </row>
    <row r="9472" spans="7:12" x14ac:dyDescent="0.2">
      <c r="G9472" s="45"/>
      <c r="L9472" s="8"/>
    </row>
    <row r="9473" spans="7:12" x14ac:dyDescent="0.2">
      <c r="G9473" s="45"/>
      <c r="L9473" s="8"/>
    </row>
    <row r="9474" spans="7:12" x14ac:dyDescent="0.2">
      <c r="G9474" s="45"/>
      <c r="L9474" s="8"/>
    </row>
    <row r="9475" spans="7:12" x14ac:dyDescent="0.2">
      <c r="G9475" s="45"/>
      <c r="L9475" s="8"/>
    </row>
    <row r="9476" spans="7:12" x14ac:dyDescent="0.2">
      <c r="G9476" s="45"/>
      <c r="L9476" s="8"/>
    </row>
    <row r="9477" spans="7:12" x14ac:dyDescent="0.2">
      <c r="G9477" s="45"/>
      <c r="L9477" s="8"/>
    </row>
    <row r="9478" spans="7:12" x14ac:dyDescent="0.2">
      <c r="G9478" s="45"/>
      <c r="L9478" s="8"/>
    </row>
    <row r="9479" spans="7:12" x14ac:dyDescent="0.2">
      <c r="G9479" s="45"/>
      <c r="L9479" s="8"/>
    </row>
    <row r="9480" spans="7:12" x14ac:dyDescent="0.2">
      <c r="G9480" s="45"/>
      <c r="L9480" s="8"/>
    </row>
    <row r="9481" spans="7:12" x14ac:dyDescent="0.2">
      <c r="G9481" s="45"/>
      <c r="L9481" s="8"/>
    </row>
    <row r="9482" spans="7:12" x14ac:dyDescent="0.2">
      <c r="G9482" s="45"/>
      <c r="L9482" s="8"/>
    </row>
    <row r="9483" spans="7:12" x14ac:dyDescent="0.2">
      <c r="G9483" s="45"/>
      <c r="L9483" s="8"/>
    </row>
    <row r="9484" spans="7:12" x14ac:dyDescent="0.2">
      <c r="G9484" s="45"/>
      <c r="L9484" s="8"/>
    </row>
    <row r="9485" spans="7:12" x14ac:dyDescent="0.2">
      <c r="G9485" s="45"/>
      <c r="L9485" s="8"/>
    </row>
    <row r="9486" spans="7:12" x14ac:dyDescent="0.2">
      <c r="G9486" s="45"/>
      <c r="L9486" s="8"/>
    </row>
    <row r="9487" spans="7:12" x14ac:dyDescent="0.2">
      <c r="G9487" s="45"/>
      <c r="L9487" s="8"/>
    </row>
    <row r="9488" spans="7:12" x14ac:dyDescent="0.2">
      <c r="G9488" s="45"/>
      <c r="L9488" s="8"/>
    </row>
    <row r="9489" spans="7:12" x14ac:dyDescent="0.2">
      <c r="G9489" s="45"/>
      <c r="L9489" s="8"/>
    </row>
    <row r="9490" spans="7:12" x14ac:dyDescent="0.2">
      <c r="G9490" s="45"/>
      <c r="L9490" s="8"/>
    </row>
    <row r="9491" spans="7:12" x14ac:dyDescent="0.2">
      <c r="G9491" s="45"/>
      <c r="L9491" s="8"/>
    </row>
    <row r="9492" spans="7:12" x14ac:dyDescent="0.2">
      <c r="G9492" s="45"/>
      <c r="L9492" s="8"/>
    </row>
    <row r="9493" spans="7:12" x14ac:dyDescent="0.2">
      <c r="G9493" s="45"/>
      <c r="L9493" s="8"/>
    </row>
    <row r="9494" spans="7:12" x14ac:dyDescent="0.2">
      <c r="G9494" s="45"/>
      <c r="L9494" s="8"/>
    </row>
    <row r="9495" spans="7:12" x14ac:dyDescent="0.2">
      <c r="G9495" s="45"/>
      <c r="L9495" s="8"/>
    </row>
    <row r="9496" spans="7:12" x14ac:dyDescent="0.2">
      <c r="G9496" s="45"/>
      <c r="L9496" s="8"/>
    </row>
    <row r="9497" spans="7:12" x14ac:dyDescent="0.2">
      <c r="G9497" s="45"/>
      <c r="L9497" s="8"/>
    </row>
    <row r="9498" spans="7:12" x14ac:dyDescent="0.2">
      <c r="G9498" s="45"/>
      <c r="L9498" s="8"/>
    </row>
    <row r="9499" spans="7:12" x14ac:dyDescent="0.2">
      <c r="G9499" s="45"/>
      <c r="L9499" s="8"/>
    </row>
    <row r="9500" spans="7:12" x14ac:dyDescent="0.2">
      <c r="G9500" s="45"/>
      <c r="L9500" s="8"/>
    </row>
    <row r="9501" spans="7:12" x14ac:dyDescent="0.2">
      <c r="G9501" s="45"/>
      <c r="L9501" s="8"/>
    </row>
    <row r="9502" spans="7:12" x14ac:dyDescent="0.2">
      <c r="G9502" s="45"/>
      <c r="L9502" s="8"/>
    </row>
    <row r="9503" spans="7:12" x14ac:dyDescent="0.2">
      <c r="G9503" s="45"/>
      <c r="L9503" s="8"/>
    </row>
    <row r="9504" spans="7:12" x14ac:dyDescent="0.2">
      <c r="G9504" s="45"/>
      <c r="L9504" s="8"/>
    </row>
    <row r="9505" spans="7:12" x14ac:dyDescent="0.2">
      <c r="G9505" s="45"/>
      <c r="L9505" s="8"/>
    </row>
    <row r="9506" spans="7:12" x14ac:dyDescent="0.2">
      <c r="G9506" s="45"/>
      <c r="L9506" s="8"/>
    </row>
    <row r="9507" spans="7:12" x14ac:dyDescent="0.2">
      <c r="G9507" s="45"/>
      <c r="L9507" s="8"/>
    </row>
    <row r="9508" spans="7:12" x14ac:dyDescent="0.2">
      <c r="G9508" s="45"/>
      <c r="L9508" s="8"/>
    </row>
    <row r="9509" spans="7:12" x14ac:dyDescent="0.2">
      <c r="G9509" s="45"/>
      <c r="L9509" s="8"/>
    </row>
    <row r="9510" spans="7:12" x14ac:dyDescent="0.2">
      <c r="G9510" s="45"/>
      <c r="L9510" s="8"/>
    </row>
    <row r="9511" spans="7:12" x14ac:dyDescent="0.2">
      <c r="G9511" s="45"/>
      <c r="L9511" s="8"/>
    </row>
    <row r="9512" spans="7:12" x14ac:dyDescent="0.2">
      <c r="G9512" s="45"/>
      <c r="L9512" s="8"/>
    </row>
    <row r="9513" spans="7:12" x14ac:dyDescent="0.2">
      <c r="G9513" s="45"/>
      <c r="L9513" s="8"/>
    </row>
    <row r="9514" spans="7:12" x14ac:dyDescent="0.2">
      <c r="G9514" s="45"/>
      <c r="L9514" s="8"/>
    </row>
    <row r="9515" spans="7:12" x14ac:dyDescent="0.2">
      <c r="G9515" s="45"/>
      <c r="L9515" s="8"/>
    </row>
    <row r="9516" spans="7:12" x14ac:dyDescent="0.2">
      <c r="G9516" s="45"/>
      <c r="L9516" s="8"/>
    </row>
    <row r="9517" spans="7:12" x14ac:dyDescent="0.2">
      <c r="G9517" s="45"/>
      <c r="L9517" s="8"/>
    </row>
    <row r="9518" spans="7:12" x14ac:dyDescent="0.2">
      <c r="G9518" s="45"/>
      <c r="L9518" s="8"/>
    </row>
    <row r="9519" spans="7:12" x14ac:dyDescent="0.2">
      <c r="G9519" s="45"/>
      <c r="L9519" s="8"/>
    </row>
    <row r="9520" spans="7:12" x14ac:dyDescent="0.2">
      <c r="G9520" s="45"/>
      <c r="L9520" s="8"/>
    </row>
    <row r="9521" spans="7:12" x14ac:dyDescent="0.2">
      <c r="G9521" s="45"/>
      <c r="L9521" s="8"/>
    </row>
    <row r="9522" spans="7:12" x14ac:dyDescent="0.2">
      <c r="G9522" s="45"/>
      <c r="L9522" s="8"/>
    </row>
    <row r="9523" spans="7:12" x14ac:dyDescent="0.2">
      <c r="G9523" s="45"/>
      <c r="L9523" s="8"/>
    </row>
    <row r="9524" spans="7:12" x14ac:dyDescent="0.2">
      <c r="G9524" s="45"/>
      <c r="L9524" s="8"/>
    </row>
    <row r="9525" spans="7:12" x14ac:dyDescent="0.2">
      <c r="G9525" s="45"/>
      <c r="L9525" s="8"/>
    </row>
    <row r="9526" spans="7:12" x14ac:dyDescent="0.2">
      <c r="G9526" s="45"/>
      <c r="L9526" s="8"/>
    </row>
    <row r="9527" spans="7:12" x14ac:dyDescent="0.2">
      <c r="G9527" s="45"/>
      <c r="L9527" s="8"/>
    </row>
    <row r="9528" spans="7:12" x14ac:dyDescent="0.2">
      <c r="G9528" s="45"/>
      <c r="L9528" s="8"/>
    </row>
    <row r="9529" spans="7:12" x14ac:dyDescent="0.2">
      <c r="G9529" s="45"/>
      <c r="L9529" s="8"/>
    </row>
    <row r="9530" spans="7:12" x14ac:dyDescent="0.2">
      <c r="G9530" s="45"/>
      <c r="L9530" s="8"/>
    </row>
    <row r="9531" spans="7:12" x14ac:dyDescent="0.2">
      <c r="G9531" s="45"/>
      <c r="L9531" s="8"/>
    </row>
    <row r="9532" spans="7:12" x14ac:dyDescent="0.2">
      <c r="G9532" s="45"/>
      <c r="L9532" s="8"/>
    </row>
    <row r="9533" spans="7:12" x14ac:dyDescent="0.2">
      <c r="G9533" s="45"/>
      <c r="L9533" s="8"/>
    </row>
    <row r="9534" spans="7:12" x14ac:dyDescent="0.2">
      <c r="G9534" s="45"/>
      <c r="L9534" s="8"/>
    </row>
    <row r="9535" spans="7:12" x14ac:dyDescent="0.2">
      <c r="G9535" s="45"/>
      <c r="L9535" s="8"/>
    </row>
    <row r="9536" spans="7:12" x14ac:dyDescent="0.2">
      <c r="G9536" s="45"/>
      <c r="L9536" s="8"/>
    </row>
    <row r="9537" spans="7:12" x14ac:dyDescent="0.2">
      <c r="G9537" s="45"/>
      <c r="L9537" s="8"/>
    </row>
    <row r="9538" spans="7:12" x14ac:dyDescent="0.2">
      <c r="G9538" s="45"/>
      <c r="L9538" s="8"/>
    </row>
    <row r="9539" spans="7:12" x14ac:dyDescent="0.2">
      <c r="G9539" s="45"/>
      <c r="L9539" s="8"/>
    </row>
    <row r="9540" spans="7:12" x14ac:dyDescent="0.2">
      <c r="G9540" s="45"/>
      <c r="L9540" s="8"/>
    </row>
    <row r="9541" spans="7:12" x14ac:dyDescent="0.2">
      <c r="G9541" s="45"/>
      <c r="L9541" s="8"/>
    </row>
    <row r="9542" spans="7:12" x14ac:dyDescent="0.2">
      <c r="G9542" s="45"/>
      <c r="L9542" s="8"/>
    </row>
    <row r="9543" spans="7:12" x14ac:dyDescent="0.2">
      <c r="G9543" s="45"/>
      <c r="L9543" s="8"/>
    </row>
    <row r="9544" spans="7:12" x14ac:dyDescent="0.2">
      <c r="G9544" s="45"/>
      <c r="L9544" s="8"/>
    </row>
    <row r="9545" spans="7:12" x14ac:dyDescent="0.2">
      <c r="G9545" s="45"/>
      <c r="L9545" s="8"/>
    </row>
    <row r="9546" spans="7:12" x14ac:dyDescent="0.2">
      <c r="G9546" s="45"/>
      <c r="L9546" s="8"/>
    </row>
    <row r="9547" spans="7:12" x14ac:dyDescent="0.2">
      <c r="G9547" s="45"/>
      <c r="L9547" s="8"/>
    </row>
    <row r="9548" spans="7:12" x14ac:dyDescent="0.2">
      <c r="G9548" s="45"/>
      <c r="L9548" s="8"/>
    </row>
    <row r="9549" spans="7:12" x14ac:dyDescent="0.2">
      <c r="G9549" s="45"/>
      <c r="L9549" s="8"/>
    </row>
    <row r="9550" spans="7:12" x14ac:dyDescent="0.2">
      <c r="G9550" s="45"/>
      <c r="L9550" s="8"/>
    </row>
    <row r="9551" spans="7:12" x14ac:dyDescent="0.2">
      <c r="G9551" s="45"/>
      <c r="L9551" s="8"/>
    </row>
    <row r="9552" spans="7:12" x14ac:dyDescent="0.2">
      <c r="G9552" s="45"/>
      <c r="L9552" s="8"/>
    </row>
    <row r="9553" spans="7:12" x14ac:dyDescent="0.2">
      <c r="G9553" s="45"/>
      <c r="L9553" s="8"/>
    </row>
    <row r="9554" spans="7:12" x14ac:dyDescent="0.2">
      <c r="G9554" s="45"/>
      <c r="L9554" s="8"/>
    </row>
    <row r="9555" spans="7:12" x14ac:dyDescent="0.2">
      <c r="G9555" s="45"/>
      <c r="L9555" s="8"/>
    </row>
    <row r="9556" spans="7:12" x14ac:dyDescent="0.2">
      <c r="G9556" s="45"/>
      <c r="L9556" s="8"/>
    </row>
    <row r="9557" spans="7:12" x14ac:dyDescent="0.2">
      <c r="G9557" s="45"/>
      <c r="L9557" s="8"/>
    </row>
    <row r="9558" spans="7:12" x14ac:dyDescent="0.2">
      <c r="G9558" s="45"/>
      <c r="L9558" s="8"/>
    </row>
    <row r="9559" spans="7:12" x14ac:dyDescent="0.2">
      <c r="G9559" s="45"/>
      <c r="L9559" s="8"/>
    </row>
    <row r="9560" spans="7:12" x14ac:dyDescent="0.2">
      <c r="G9560" s="45"/>
      <c r="L9560" s="8"/>
    </row>
    <row r="9561" spans="7:12" x14ac:dyDescent="0.2">
      <c r="G9561" s="45"/>
      <c r="L9561" s="8"/>
    </row>
    <row r="9562" spans="7:12" x14ac:dyDescent="0.2">
      <c r="G9562" s="45"/>
      <c r="L9562" s="8"/>
    </row>
    <row r="9563" spans="7:12" x14ac:dyDescent="0.2">
      <c r="G9563" s="45"/>
      <c r="L9563" s="8"/>
    </row>
    <row r="9564" spans="7:12" x14ac:dyDescent="0.2">
      <c r="G9564" s="45"/>
      <c r="L9564" s="8"/>
    </row>
    <row r="9565" spans="7:12" x14ac:dyDescent="0.2">
      <c r="G9565" s="45"/>
      <c r="L9565" s="8"/>
    </row>
    <row r="9566" spans="7:12" x14ac:dyDescent="0.2">
      <c r="G9566" s="45"/>
      <c r="L9566" s="8"/>
    </row>
    <row r="9567" spans="7:12" x14ac:dyDescent="0.2">
      <c r="G9567" s="45"/>
      <c r="L9567" s="8"/>
    </row>
    <row r="9568" spans="7:12" x14ac:dyDescent="0.2">
      <c r="G9568" s="45"/>
      <c r="L9568" s="8"/>
    </row>
    <row r="9569" spans="7:12" x14ac:dyDescent="0.2">
      <c r="G9569" s="45"/>
      <c r="L9569" s="8"/>
    </row>
    <row r="9570" spans="7:12" x14ac:dyDescent="0.2">
      <c r="G9570" s="45"/>
      <c r="L9570" s="8"/>
    </row>
    <row r="9571" spans="7:12" x14ac:dyDescent="0.2">
      <c r="G9571" s="45"/>
      <c r="L9571" s="8"/>
    </row>
    <row r="9572" spans="7:12" x14ac:dyDescent="0.2">
      <c r="G9572" s="45"/>
      <c r="L9572" s="8"/>
    </row>
    <row r="9573" spans="7:12" x14ac:dyDescent="0.2">
      <c r="G9573" s="45"/>
      <c r="L9573" s="8"/>
    </row>
    <row r="9574" spans="7:12" x14ac:dyDescent="0.2">
      <c r="G9574" s="45"/>
      <c r="L9574" s="8"/>
    </row>
    <row r="9575" spans="7:12" x14ac:dyDescent="0.2">
      <c r="G9575" s="45"/>
      <c r="L9575" s="8"/>
    </row>
    <row r="9576" spans="7:12" x14ac:dyDescent="0.2">
      <c r="G9576" s="45"/>
      <c r="L9576" s="8"/>
    </row>
    <row r="9577" spans="7:12" x14ac:dyDescent="0.2">
      <c r="G9577" s="45"/>
      <c r="L9577" s="8"/>
    </row>
    <row r="9578" spans="7:12" x14ac:dyDescent="0.2">
      <c r="G9578" s="45"/>
      <c r="L9578" s="8"/>
    </row>
    <row r="9579" spans="7:12" x14ac:dyDescent="0.2">
      <c r="G9579" s="45"/>
      <c r="L9579" s="8"/>
    </row>
    <row r="9580" spans="7:12" x14ac:dyDescent="0.2">
      <c r="G9580" s="45"/>
      <c r="L9580" s="8"/>
    </row>
    <row r="9581" spans="7:12" x14ac:dyDescent="0.2">
      <c r="G9581" s="45"/>
      <c r="L9581" s="8"/>
    </row>
    <row r="9582" spans="7:12" x14ac:dyDescent="0.2">
      <c r="G9582" s="45"/>
      <c r="L9582" s="8"/>
    </row>
    <row r="9583" spans="7:12" x14ac:dyDescent="0.2">
      <c r="G9583" s="45"/>
      <c r="L9583" s="8"/>
    </row>
    <row r="9584" spans="7:12" x14ac:dyDescent="0.2">
      <c r="G9584" s="45"/>
      <c r="L9584" s="8"/>
    </row>
    <row r="9585" spans="7:12" x14ac:dyDescent="0.2">
      <c r="G9585" s="45"/>
      <c r="L9585" s="8"/>
    </row>
    <row r="9586" spans="7:12" x14ac:dyDescent="0.2">
      <c r="G9586" s="45"/>
      <c r="L9586" s="8"/>
    </row>
    <row r="9587" spans="7:12" x14ac:dyDescent="0.2">
      <c r="G9587" s="45"/>
      <c r="L9587" s="8"/>
    </row>
    <row r="9588" spans="7:12" x14ac:dyDescent="0.2">
      <c r="G9588" s="45"/>
      <c r="L9588" s="8"/>
    </row>
    <row r="9589" spans="7:12" x14ac:dyDescent="0.2">
      <c r="G9589" s="45"/>
      <c r="L9589" s="8"/>
    </row>
    <row r="9590" spans="7:12" x14ac:dyDescent="0.2">
      <c r="G9590" s="45"/>
      <c r="L9590" s="8"/>
    </row>
    <row r="9591" spans="7:12" x14ac:dyDescent="0.2">
      <c r="G9591" s="45"/>
      <c r="L9591" s="8"/>
    </row>
    <row r="9592" spans="7:12" x14ac:dyDescent="0.2">
      <c r="G9592" s="45"/>
      <c r="L9592" s="8"/>
    </row>
    <row r="9593" spans="7:12" x14ac:dyDescent="0.2">
      <c r="G9593" s="45"/>
      <c r="L9593" s="8"/>
    </row>
    <row r="9594" spans="7:12" x14ac:dyDescent="0.2">
      <c r="G9594" s="45"/>
      <c r="L9594" s="8"/>
    </row>
    <row r="9595" spans="7:12" x14ac:dyDescent="0.2">
      <c r="G9595" s="45"/>
      <c r="L9595" s="8"/>
    </row>
    <row r="9596" spans="7:12" x14ac:dyDescent="0.2">
      <c r="G9596" s="45"/>
      <c r="L9596" s="8"/>
    </row>
    <row r="9597" spans="7:12" x14ac:dyDescent="0.2">
      <c r="G9597" s="45"/>
      <c r="L9597" s="8"/>
    </row>
    <row r="9598" spans="7:12" x14ac:dyDescent="0.2">
      <c r="G9598" s="45"/>
      <c r="L9598" s="8"/>
    </row>
    <row r="9599" spans="7:12" x14ac:dyDescent="0.2">
      <c r="G9599" s="45"/>
      <c r="L9599" s="8"/>
    </row>
    <row r="9600" spans="7:12" x14ac:dyDescent="0.2">
      <c r="G9600" s="45"/>
      <c r="L9600" s="8"/>
    </row>
    <row r="9601" spans="7:12" x14ac:dyDescent="0.2">
      <c r="G9601" s="45"/>
      <c r="L9601" s="8"/>
    </row>
    <row r="9602" spans="7:12" x14ac:dyDescent="0.2">
      <c r="G9602" s="45"/>
      <c r="L9602" s="8"/>
    </row>
    <row r="9603" spans="7:12" x14ac:dyDescent="0.2">
      <c r="G9603" s="45"/>
      <c r="L9603" s="8"/>
    </row>
    <row r="9604" spans="7:12" x14ac:dyDescent="0.2">
      <c r="G9604" s="45"/>
      <c r="L9604" s="8"/>
    </row>
    <row r="9605" spans="7:12" x14ac:dyDescent="0.2">
      <c r="G9605" s="45"/>
      <c r="L9605" s="8"/>
    </row>
    <row r="9606" spans="7:12" x14ac:dyDescent="0.2">
      <c r="G9606" s="45"/>
      <c r="L9606" s="8"/>
    </row>
    <row r="9607" spans="7:12" x14ac:dyDescent="0.2">
      <c r="G9607" s="45"/>
      <c r="L9607" s="8"/>
    </row>
    <row r="9608" spans="7:12" x14ac:dyDescent="0.2">
      <c r="G9608" s="45"/>
      <c r="L9608" s="8"/>
    </row>
    <row r="9609" spans="7:12" x14ac:dyDescent="0.2">
      <c r="G9609" s="45"/>
      <c r="L9609" s="8"/>
    </row>
    <row r="9610" spans="7:12" x14ac:dyDescent="0.2">
      <c r="G9610" s="45"/>
      <c r="L9610" s="8"/>
    </row>
    <row r="9611" spans="7:12" x14ac:dyDescent="0.2">
      <c r="G9611" s="45"/>
      <c r="L9611" s="8"/>
    </row>
    <row r="9612" spans="7:12" x14ac:dyDescent="0.2">
      <c r="G9612" s="45"/>
      <c r="L9612" s="8"/>
    </row>
    <row r="9613" spans="7:12" x14ac:dyDescent="0.2">
      <c r="G9613" s="45"/>
      <c r="L9613" s="8"/>
    </row>
    <row r="9614" spans="7:12" x14ac:dyDescent="0.2">
      <c r="G9614" s="45"/>
      <c r="L9614" s="8"/>
    </row>
    <row r="9615" spans="7:12" x14ac:dyDescent="0.2">
      <c r="G9615" s="45"/>
      <c r="L9615" s="8"/>
    </row>
    <row r="9616" spans="7:12" x14ac:dyDescent="0.2">
      <c r="G9616" s="45"/>
      <c r="L9616" s="8"/>
    </row>
    <row r="9617" spans="7:12" x14ac:dyDescent="0.2">
      <c r="G9617" s="45"/>
      <c r="L9617" s="8"/>
    </row>
    <row r="9618" spans="7:12" x14ac:dyDescent="0.2">
      <c r="G9618" s="45"/>
      <c r="L9618" s="8"/>
    </row>
    <row r="9619" spans="7:12" x14ac:dyDescent="0.2">
      <c r="G9619" s="45"/>
      <c r="L9619" s="8"/>
    </row>
    <row r="9620" spans="7:12" x14ac:dyDescent="0.2">
      <c r="G9620" s="45"/>
      <c r="L9620" s="8"/>
    </row>
    <row r="9621" spans="7:12" x14ac:dyDescent="0.2">
      <c r="G9621" s="45"/>
      <c r="L9621" s="8"/>
    </row>
    <row r="9622" spans="7:12" x14ac:dyDescent="0.2">
      <c r="G9622" s="45"/>
      <c r="L9622" s="8"/>
    </row>
    <row r="9623" spans="7:12" x14ac:dyDescent="0.2">
      <c r="G9623" s="45"/>
      <c r="L9623" s="8"/>
    </row>
    <row r="9624" spans="7:12" x14ac:dyDescent="0.2">
      <c r="G9624" s="45"/>
      <c r="L9624" s="8"/>
    </row>
    <row r="9625" spans="7:12" x14ac:dyDescent="0.2">
      <c r="G9625" s="45"/>
      <c r="L9625" s="8"/>
    </row>
    <row r="9626" spans="7:12" x14ac:dyDescent="0.2">
      <c r="G9626" s="45"/>
      <c r="L9626" s="8"/>
    </row>
    <row r="9627" spans="7:12" x14ac:dyDescent="0.2">
      <c r="G9627" s="45"/>
      <c r="L9627" s="8"/>
    </row>
    <row r="9628" spans="7:12" x14ac:dyDescent="0.2">
      <c r="G9628" s="45"/>
      <c r="L9628" s="8"/>
    </row>
    <row r="9629" spans="7:12" x14ac:dyDescent="0.2">
      <c r="G9629" s="45"/>
      <c r="L9629" s="8"/>
    </row>
    <row r="9630" spans="7:12" x14ac:dyDescent="0.2">
      <c r="G9630" s="45"/>
      <c r="L9630" s="8"/>
    </row>
    <row r="9631" spans="7:12" x14ac:dyDescent="0.2">
      <c r="G9631" s="45"/>
      <c r="L9631" s="8"/>
    </row>
    <row r="9632" spans="7:12" x14ac:dyDescent="0.2">
      <c r="G9632" s="45"/>
      <c r="L9632" s="8"/>
    </row>
    <row r="9633" spans="7:12" x14ac:dyDescent="0.2">
      <c r="G9633" s="45"/>
      <c r="L9633" s="8"/>
    </row>
    <row r="9634" spans="7:12" x14ac:dyDescent="0.2">
      <c r="G9634" s="45"/>
      <c r="L9634" s="8"/>
    </row>
    <row r="9635" spans="7:12" x14ac:dyDescent="0.2">
      <c r="G9635" s="45"/>
      <c r="L9635" s="8"/>
    </row>
    <row r="9636" spans="7:12" x14ac:dyDescent="0.2">
      <c r="G9636" s="45"/>
      <c r="L9636" s="8"/>
    </row>
    <row r="9637" spans="7:12" x14ac:dyDescent="0.2">
      <c r="G9637" s="45"/>
      <c r="L9637" s="8"/>
    </row>
    <row r="9638" spans="7:12" x14ac:dyDescent="0.2">
      <c r="G9638" s="45"/>
      <c r="L9638" s="8"/>
    </row>
    <row r="9639" spans="7:12" x14ac:dyDescent="0.2">
      <c r="G9639" s="45"/>
      <c r="L9639" s="8"/>
    </row>
    <row r="9640" spans="7:12" x14ac:dyDescent="0.2">
      <c r="G9640" s="45"/>
      <c r="L9640" s="8"/>
    </row>
    <row r="9641" spans="7:12" x14ac:dyDescent="0.2">
      <c r="G9641" s="45"/>
      <c r="L9641" s="8"/>
    </row>
    <row r="9642" spans="7:12" x14ac:dyDescent="0.2">
      <c r="G9642" s="45"/>
      <c r="L9642" s="8"/>
    </row>
    <row r="9643" spans="7:12" x14ac:dyDescent="0.2">
      <c r="G9643" s="45"/>
      <c r="L9643" s="8"/>
    </row>
    <row r="9644" spans="7:12" x14ac:dyDescent="0.2">
      <c r="G9644" s="45"/>
      <c r="L9644" s="8"/>
    </row>
    <row r="9645" spans="7:12" x14ac:dyDescent="0.2">
      <c r="G9645" s="45"/>
      <c r="L9645" s="8"/>
    </row>
    <row r="9646" spans="7:12" x14ac:dyDescent="0.2">
      <c r="G9646" s="45"/>
      <c r="L9646" s="8"/>
    </row>
    <row r="9647" spans="7:12" x14ac:dyDescent="0.2">
      <c r="G9647" s="45"/>
      <c r="L9647" s="8"/>
    </row>
    <row r="9648" spans="7:12" x14ac:dyDescent="0.2">
      <c r="G9648" s="45"/>
      <c r="L9648" s="8"/>
    </row>
    <row r="9649" spans="7:12" x14ac:dyDescent="0.2">
      <c r="G9649" s="45"/>
      <c r="L9649" s="8"/>
    </row>
    <row r="9650" spans="7:12" x14ac:dyDescent="0.2">
      <c r="G9650" s="45"/>
      <c r="L9650" s="8"/>
    </row>
    <row r="9651" spans="7:12" x14ac:dyDescent="0.2">
      <c r="G9651" s="45"/>
      <c r="L9651" s="8"/>
    </row>
    <row r="9652" spans="7:12" x14ac:dyDescent="0.2">
      <c r="G9652" s="45"/>
      <c r="L9652" s="8"/>
    </row>
    <row r="9653" spans="7:12" x14ac:dyDescent="0.2">
      <c r="G9653" s="45"/>
      <c r="L9653" s="8"/>
    </row>
    <row r="9654" spans="7:12" x14ac:dyDescent="0.2">
      <c r="G9654" s="45"/>
      <c r="L9654" s="8"/>
    </row>
    <row r="9655" spans="7:12" x14ac:dyDescent="0.2">
      <c r="G9655" s="45"/>
      <c r="L9655" s="8"/>
    </row>
    <row r="9656" spans="7:12" x14ac:dyDescent="0.2">
      <c r="G9656" s="45"/>
      <c r="L9656" s="8"/>
    </row>
    <row r="9657" spans="7:12" x14ac:dyDescent="0.2">
      <c r="G9657" s="45"/>
      <c r="L9657" s="8"/>
    </row>
    <row r="9658" spans="7:12" x14ac:dyDescent="0.2">
      <c r="G9658" s="45"/>
      <c r="L9658" s="8"/>
    </row>
    <row r="9659" spans="7:12" x14ac:dyDescent="0.2">
      <c r="G9659" s="45"/>
      <c r="L9659" s="8"/>
    </row>
    <row r="9660" spans="7:12" x14ac:dyDescent="0.2">
      <c r="G9660" s="45"/>
      <c r="L9660" s="8"/>
    </row>
    <row r="9661" spans="7:12" x14ac:dyDescent="0.2">
      <c r="G9661" s="45"/>
      <c r="L9661" s="8"/>
    </row>
    <row r="9662" spans="7:12" x14ac:dyDescent="0.2">
      <c r="G9662" s="45"/>
      <c r="L9662" s="8"/>
    </row>
    <row r="9663" spans="7:12" x14ac:dyDescent="0.2">
      <c r="G9663" s="45"/>
      <c r="L9663" s="8"/>
    </row>
    <row r="9664" spans="7:12" x14ac:dyDescent="0.2">
      <c r="G9664" s="45"/>
      <c r="L9664" s="8"/>
    </row>
    <row r="9665" spans="7:12" x14ac:dyDescent="0.2">
      <c r="G9665" s="45"/>
      <c r="L9665" s="8"/>
    </row>
    <row r="9666" spans="7:12" x14ac:dyDescent="0.2">
      <c r="G9666" s="45"/>
      <c r="L9666" s="8"/>
    </row>
    <row r="9667" spans="7:12" x14ac:dyDescent="0.2">
      <c r="G9667" s="45"/>
      <c r="L9667" s="8"/>
    </row>
    <row r="9668" spans="7:12" x14ac:dyDescent="0.2">
      <c r="G9668" s="45"/>
      <c r="L9668" s="8"/>
    </row>
    <row r="9669" spans="7:12" x14ac:dyDescent="0.2">
      <c r="G9669" s="45"/>
      <c r="L9669" s="8"/>
    </row>
    <row r="9670" spans="7:12" x14ac:dyDescent="0.2">
      <c r="G9670" s="45"/>
      <c r="L9670" s="8"/>
    </row>
    <row r="9671" spans="7:12" x14ac:dyDescent="0.2">
      <c r="G9671" s="45"/>
      <c r="L9671" s="8"/>
    </row>
    <row r="9672" spans="7:12" x14ac:dyDescent="0.2">
      <c r="G9672" s="45"/>
      <c r="L9672" s="8"/>
    </row>
    <row r="9673" spans="7:12" x14ac:dyDescent="0.2">
      <c r="G9673" s="45"/>
      <c r="L9673" s="8"/>
    </row>
    <row r="9674" spans="7:12" x14ac:dyDescent="0.2">
      <c r="G9674" s="45"/>
      <c r="L9674" s="8"/>
    </row>
    <row r="9675" spans="7:12" x14ac:dyDescent="0.2">
      <c r="G9675" s="45"/>
      <c r="L9675" s="8"/>
    </row>
    <row r="9676" spans="7:12" x14ac:dyDescent="0.2">
      <c r="G9676" s="45"/>
      <c r="L9676" s="8"/>
    </row>
    <row r="9677" spans="7:12" x14ac:dyDescent="0.2">
      <c r="G9677" s="45"/>
      <c r="L9677" s="8"/>
    </row>
    <row r="9678" spans="7:12" x14ac:dyDescent="0.2">
      <c r="G9678" s="45"/>
      <c r="L9678" s="8"/>
    </row>
    <row r="9679" spans="7:12" x14ac:dyDescent="0.2">
      <c r="G9679" s="45"/>
      <c r="L9679" s="8"/>
    </row>
    <row r="9680" spans="7:12" x14ac:dyDescent="0.2">
      <c r="G9680" s="45"/>
      <c r="L9680" s="8"/>
    </row>
    <row r="9681" spans="7:12" x14ac:dyDescent="0.2">
      <c r="G9681" s="45"/>
      <c r="L9681" s="8"/>
    </row>
    <row r="9682" spans="7:12" x14ac:dyDescent="0.2">
      <c r="G9682" s="45"/>
      <c r="L9682" s="8"/>
    </row>
    <row r="9683" spans="7:12" x14ac:dyDescent="0.2">
      <c r="G9683" s="45"/>
      <c r="L9683" s="8"/>
    </row>
    <row r="9684" spans="7:12" x14ac:dyDescent="0.2">
      <c r="G9684" s="45"/>
      <c r="L9684" s="8"/>
    </row>
    <row r="9685" spans="7:12" x14ac:dyDescent="0.2">
      <c r="G9685" s="45"/>
      <c r="L9685" s="8"/>
    </row>
    <row r="9686" spans="7:12" x14ac:dyDescent="0.2">
      <c r="G9686" s="45"/>
      <c r="L9686" s="8"/>
    </row>
    <row r="9687" spans="7:12" x14ac:dyDescent="0.2">
      <c r="G9687" s="45"/>
      <c r="L9687" s="8"/>
    </row>
    <row r="9688" spans="7:12" x14ac:dyDescent="0.2">
      <c r="G9688" s="45"/>
      <c r="L9688" s="8"/>
    </row>
    <row r="9689" spans="7:12" x14ac:dyDescent="0.2">
      <c r="G9689" s="45"/>
      <c r="L9689" s="8"/>
    </row>
    <row r="9690" spans="7:12" x14ac:dyDescent="0.2">
      <c r="G9690" s="45"/>
      <c r="L9690" s="8"/>
    </row>
    <row r="9691" spans="7:12" x14ac:dyDescent="0.2">
      <c r="G9691" s="45"/>
      <c r="L9691" s="8"/>
    </row>
    <row r="9692" spans="7:12" x14ac:dyDescent="0.2">
      <c r="G9692" s="45"/>
      <c r="L9692" s="8"/>
    </row>
    <row r="9693" spans="7:12" x14ac:dyDescent="0.2">
      <c r="G9693" s="45"/>
      <c r="L9693" s="8"/>
    </row>
    <row r="9694" spans="7:12" x14ac:dyDescent="0.2">
      <c r="G9694" s="45"/>
      <c r="L9694" s="8"/>
    </row>
    <row r="9695" spans="7:12" x14ac:dyDescent="0.2">
      <c r="G9695" s="45"/>
      <c r="L9695" s="8"/>
    </row>
    <row r="9696" spans="7:12" x14ac:dyDescent="0.2">
      <c r="G9696" s="45"/>
      <c r="L9696" s="8"/>
    </row>
    <row r="9697" spans="7:12" x14ac:dyDescent="0.2">
      <c r="G9697" s="45"/>
      <c r="L9697" s="8"/>
    </row>
    <row r="9698" spans="7:12" x14ac:dyDescent="0.2">
      <c r="G9698" s="45"/>
      <c r="L9698" s="8"/>
    </row>
    <row r="9699" spans="7:12" x14ac:dyDescent="0.2">
      <c r="G9699" s="45"/>
      <c r="L9699" s="8"/>
    </row>
    <row r="9700" spans="7:12" x14ac:dyDescent="0.2">
      <c r="G9700" s="45"/>
      <c r="L9700" s="8"/>
    </row>
    <row r="9701" spans="7:12" x14ac:dyDescent="0.2">
      <c r="G9701" s="45"/>
      <c r="L9701" s="8"/>
    </row>
    <row r="9702" spans="7:12" x14ac:dyDescent="0.2">
      <c r="G9702" s="45"/>
      <c r="L9702" s="8"/>
    </row>
    <row r="9703" spans="7:12" x14ac:dyDescent="0.2">
      <c r="G9703" s="45"/>
      <c r="L9703" s="8"/>
    </row>
    <row r="9704" spans="7:12" x14ac:dyDescent="0.2">
      <c r="G9704" s="45"/>
      <c r="L9704" s="8"/>
    </row>
    <row r="9705" spans="7:12" x14ac:dyDescent="0.2">
      <c r="G9705" s="45"/>
      <c r="L9705" s="8"/>
    </row>
    <row r="9706" spans="7:12" x14ac:dyDescent="0.2">
      <c r="G9706" s="45"/>
      <c r="L9706" s="8"/>
    </row>
    <row r="9707" spans="7:12" x14ac:dyDescent="0.2">
      <c r="G9707" s="45"/>
      <c r="L9707" s="8"/>
    </row>
    <row r="9708" spans="7:12" x14ac:dyDescent="0.2">
      <c r="G9708" s="45"/>
      <c r="L9708" s="8"/>
    </row>
    <row r="9709" spans="7:12" x14ac:dyDescent="0.2">
      <c r="G9709" s="45"/>
      <c r="L9709" s="8"/>
    </row>
    <row r="9710" spans="7:12" x14ac:dyDescent="0.2">
      <c r="G9710" s="45"/>
      <c r="L9710" s="8"/>
    </row>
    <row r="9711" spans="7:12" x14ac:dyDescent="0.2">
      <c r="G9711" s="45"/>
      <c r="L9711" s="8"/>
    </row>
    <row r="9712" spans="7:12" x14ac:dyDescent="0.2">
      <c r="G9712" s="45"/>
      <c r="L9712" s="8"/>
    </row>
    <row r="9713" spans="7:12" x14ac:dyDescent="0.2">
      <c r="G9713" s="45"/>
      <c r="L9713" s="8"/>
    </row>
    <row r="9714" spans="7:12" x14ac:dyDescent="0.2">
      <c r="G9714" s="45"/>
      <c r="L9714" s="8"/>
    </row>
    <row r="9715" spans="7:12" x14ac:dyDescent="0.2">
      <c r="G9715" s="45"/>
      <c r="L9715" s="8"/>
    </row>
    <row r="9716" spans="7:12" x14ac:dyDescent="0.2">
      <c r="G9716" s="45"/>
      <c r="L9716" s="8"/>
    </row>
    <row r="9717" spans="7:12" x14ac:dyDescent="0.2">
      <c r="G9717" s="45"/>
      <c r="L9717" s="8"/>
    </row>
    <row r="9718" spans="7:12" x14ac:dyDescent="0.2">
      <c r="G9718" s="45"/>
      <c r="L9718" s="8"/>
    </row>
    <row r="9719" spans="7:12" x14ac:dyDescent="0.2">
      <c r="G9719" s="45"/>
      <c r="L9719" s="8"/>
    </row>
    <row r="9720" spans="7:12" x14ac:dyDescent="0.2">
      <c r="G9720" s="45"/>
      <c r="L9720" s="8"/>
    </row>
    <row r="9721" spans="7:12" x14ac:dyDescent="0.2">
      <c r="G9721" s="45"/>
      <c r="L9721" s="8"/>
    </row>
    <row r="9722" spans="7:12" x14ac:dyDescent="0.2">
      <c r="G9722" s="45"/>
      <c r="L9722" s="8"/>
    </row>
    <row r="9723" spans="7:12" x14ac:dyDescent="0.2">
      <c r="G9723" s="45"/>
      <c r="L9723" s="8"/>
    </row>
    <row r="9724" spans="7:12" x14ac:dyDescent="0.2">
      <c r="G9724" s="45"/>
      <c r="L9724" s="8"/>
    </row>
    <row r="9725" spans="7:12" x14ac:dyDescent="0.2">
      <c r="G9725" s="45"/>
      <c r="L9725" s="8"/>
    </row>
    <row r="9726" spans="7:12" x14ac:dyDescent="0.2">
      <c r="G9726" s="45"/>
      <c r="L9726" s="8"/>
    </row>
    <row r="9727" spans="7:12" x14ac:dyDescent="0.2">
      <c r="G9727" s="45"/>
      <c r="L9727" s="8"/>
    </row>
    <row r="9728" spans="7:12" x14ac:dyDescent="0.2">
      <c r="G9728" s="45"/>
      <c r="L9728" s="8"/>
    </row>
    <row r="9729" spans="7:12" x14ac:dyDescent="0.2">
      <c r="G9729" s="45"/>
      <c r="L9729" s="8"/>
    </row>
    <row r="9730" spans="7:12" x14ac:dyDescent="0.2">
      <c r="G9730" s="45"/>
      <c r="L9730" s="8"/>
    </row>
    <row r="9731" spans="7:12" x14ac:dyDescent="0.2">
      <c r="G9731" s="45"/>
      <c r="L9731" s="8"/>
    </row>
    <row r="9732" spans="7:12" x14ac:dyDescent="0.2">
      <c r="G9732" s="45"/>
      <c r="L9732" s="8"/>
    </row>
    <row r="9733" spans="7:12" x14ac:dyDescent="0.2">
      <c r="G9733" s="45"/>
      <c r="L9733" s="8"/>
    </row>
    <row r="9734" spans="7:12" x14ac:dyDescent="0.2">
      <c r="G9734" s="45"/>
      <c r="L9734" s="8"/>
    </row>
    <row r="9735" spans="7:12" x14ac:dyDescent="0.2">
      <c r="G9735" s="45"/>
      <c r="L9735" s="8"/>
    </row>
    <row r="9736" spans="7:12" x14ac:dyDescent="0.2">
      <c r="G9736" s="45"/>
      <c r="L9736" s="8"/>
    </row>
    <row r="9737" spans="7:12" x14ac:dyDescent="0.2">
      <c r="G9737" s="45"/>
      <c r="L9737" s="8"/>
    </row>
    <row r="9738" spans="7:12" x14ac:dyDescent="0.2">
      <c r="G9738" s="45"/>
      <c r="L9738" s="8"/>
    </row>
    <row r="9739" spans="7:12" x14ac:dyDescent="0.2">
      <c r="G9739" s="45"/>
      <c r="L9739" s="8"/>
    </row>
    <row r="9740" spans="7:12" x14ac:dyDescent="0.2">
      <c r="G9740" s="45"/>
      <c r="L9740" s="8"/>
    </row>
    <row r="9741" spans="7:12" x14ac:dyDescent="0.2">
      <c r="G9741" s="45"/>
      <c r="L9741" s="8"/>
    </row>
    <row r="9742" spans="7:12" x14ac:dyDescent="0.2">
      <c r="G9742" s="45"/>
      <c r="L9742" s="8"/>
    </row>
    <row r="9743" spans="7:12" x14ac:dyDescent="0.2">
      <c r="G9743" s="45"/>
      <c r="L9743" s="8"/>
    </row>
    <row r="9744" spans="7:12" x14ac:dyDescent="0.2">
      <c r="G9744" s="45"/>
      <c r="L9744" s="8"/>
    </row>
    <row r="9745" spans="7:12" x14ac:dyDescent="0.2">
      <c r="G9745" s="45"/>
      <c r="L9745" s="8"/>
    </row>
    <row r="9746" spans="7:12" x14ac:dyDescent="0.2">
      <c r="G9746" s="45"/>
      <c r="L9746" s="8"/>
    </row>
    <row r="9747" spans="7:12" x14ac:dyDescent="0.2">
      <c r="G9747" s="45"/>
      <c r="L9747" s="8"/>
    </row>
    <row r="9748" spans="7:12" x14ac:dyDescent="0.2">
      <c r="G9748" s="45"/>
      <c r="L9748" s="8"/>
    </row>
    <row r="9749" spans="7:12" x14ac:dyDescent="0.2">
      <c r="G9749" s="45"/>
      <c r="L9749" s="8"/>
    </row>
    <row r="9750" spans="7:12" x14ac:dyDescent="0.2">
      <c r="G9750" s="45"/>
      <c r="L9750" s="8"/>
    </row>
    <row r="9751" spans="7:12" x14ac:dyDescent="0.2">
      <c r="G9751" s="45"/>
      <c r="L9751" s="8"/>
    </row>
    <row r="9752" spans="7:12" x14ac:dyDescent="0.2">
      <c r="G9752" s="45"/>
      <c r="L9752" s="8"/>
    </row>
    <row r="9753" spans="7:12" x14ac:dyDescent="0.2">
      <c r="G9753" s="45"/>
      <c r="L9753" s="8"/>
    </row>
    <row r="9754" spans="7:12" x14ac:dyDescent="0.2">
      <c r="G9754" s="45"/>
      <c r="L9754" s="8"/>
    </row>
    <row r="9755" spans="7:12" x14ac:dyDescent="0.2">
      <c r="G9755" s="45"/>
      <c r="L9755" s="8"/>
    </row>
    <row r="9756" spans="7:12" x14ac:dyDescent="0.2">
      <c r="G9756" s="45"/>
      <c r="L9756" s="8"/>
    </row>
    <row r="9757" spans="7:12" x14ac:dyDescent="0.2">
      <c r="G9757" s="45"/>
      <c r="L9757" s="8"/>
    </row>
    <row r="9758" spans="7:12" x14ac:dyDescent="0.2">
      <c r="G9758" s="45"/>
      <c r="L9758" s="8"/>
    </row>
    <row r="9759" spans="7:12" x14ac:dyDescent="0.2">
      <c r="G9759" s="45"/>
      <c r="L9759" s="8"/>
    </row>
    <row r="9760" spans="7:12" x14ac:dyDescent="0.2">
      <c r="G9760" s="45"/>
      <c r="L9760" s="8"/>
    </row>
    <row r="9761" spans="7:12" x14ac:dyDescent="0.2">
      <c r="G9761" s="45"/>
      <c r="L9761" s="8"/>
    </row>
    <row r="9762" spans="7:12" x14ac:dyDescent="0.2">
      <c r="G9762" s="45"/>
      <c r="L9762" s="8"/>
    </row>
    <row r="9763" spans="7:12" x14ac:dyDescent="0.2">
      <c r="G9763" s="45"/>
      <c r="L9763" s="8"/>
    </row>
    <row r="9764" spans="7:12" x14ac:dyDescent="0.2">
      <c r="G9764" s="45"/>
      <c r="L9764" s="8"/>
    </row>
    <row r="9765" spans="7:12" x14ac:dyDescent="0.2">
      <c r="G9765" s="45"/>
      <c r="L9765" s="8"/>
    </row>
    <row r="9766" spans="7:12" x14ac:dyDescent="0.2">
      <c r="G9766" s="45"/>
      <c r="L9766" s="8"/>
    </row>
    <row r="9767" spans="7:12" x14ac:dyDescent="0.2">
      <c r="G9767" s="45"/>
      <c r="L9767" s="8"/>
    </row>
    <row r="9768" spans="7:12" x14ac:dyDescent="0.2">
      <c r="G9768" s="45"/>
      <c r="L9768" s="8"/>
    </row>
    <row r="9769" spans="7:12" x14ac:dyDescent="0.2">
      <c r="G9769" s="45"/>
      <c r="L9769" s="8"/>
    </row>
    <row r="9770" spans="7:12" x14ac:dyDescent="0.2">
      <c r="G9770" s="45"/>
      <c r="L9770" s="8"/>
    </row>
    <row r="9771" spans="7:12" x14ac:dyDescent="0.2">
      <c r="G9771" s="45"/>
      <c r="L9771" s="8"/>
    </row>
    <row r="9772" spans="7:12" x14ac:dyDescent="0.2">
      <c r="G9772" s="45"/>
      <c r="L9772" s="8"/>
    </row>
    <row r="9773" spans="7:12" x14ac:dyDescent="0.2">
      <c r="G9773" s="45"/>
      <c r="L9773" s="8"/>
    </row>
    <row r="9774" spans="7:12" x14ac:dyDescent="0.2">
      <c r="G9774" s="45"/>
      <c r="L9774" s="8"/>
    </row>
    <row r="9775" spans="7:12" x14ac:dyDescent="0.2">
      <c r="G9775" s="45"/>
      <c r="L9775" s="8"/>
    </row>
    <row r="9776" spans="7:12" x14ac:dyDescent="0.2">
      <c r="G9776" s="45"/>
      <c r="L9776" s="8"/>
    </row>
    <row r="9777" spans="7:12" x14ac:dyDescent="0.2">
      <c r="G9777" s="45"/>
      <c r="L9777" s="8"/>
    </row>
    <row r="9778" spans="7:12" x14ac:dyDescent="0.2">
      <c r="G9778" s="45"/>
      <c r="L9778" s="8"/>
    </row>
    <row r="9779" spans="7:12" x14ac:dyDescent="0.2">
      <c r="G9779" s="45"/>
      <c r="L9779" s="8"/>
    </row>
    <row r="9780" spans="7:12" x14ac:dyDescent="0.2">
      <c r="G9780" s="45"/>
      <c r="L9780" s="8"/>
    </row>
    <row r="9781" spans="7:12" x14ac:dyDescent="0.2">
      <c r="G9781" s="45"/>
      <c r="L9781" s="8"/>
    </row>
    <row r="9782" spans="7:12" x14ac:dyDescent="0.2">
      <c r="G9782" s="45"/>
      <c r="L9782" s="8"/>
    </row>
    <row r="9783" spans="7:12" x14ac:dyDescent="0.2">
      <c r="G9783" s="45"/>
      <c r="L9783" s="8"/>
    </row>
    <row r="9784" spans="7:12" x14ac:dyDescent="0.2">
      <c r="G9784" s="45"/>
      <c r="L9784" s="8"/>
    </row>
    <row r="9785" spans="7:12" x14ac:dyDescent="0.2">
      <c r="G9785" s="45"/>
      <c r="L9785" s="8"/>
    </row>
    <row r="9786" spans="7:12" x14ac:dyDescent="0.2">
      <c r="G9786" s="45"/>
      <c r="L9786" s="8"/>
    </row>
    <row r="9787" spans="7:12" x14ac:dyDescent="0.2">
      <c r="G9787" s="45"/>
      <c r="L9787" s="8"/>
    </row>
    <row r="9788" spans="7:12" x14ac:dyDescent="0.2">
      <c r="G9788" s="45"/>
      <c r="L9788" s="8"/>
    </row>
    <row r="9789" spans="7:12" x14ac:dyDescent="0.2">
      <c r="G9789" s="45"/>
      <c r="L9789" s="8"/>
    </row>
    <row r="9790" spans="7:12" x14ac:dyDescent="0.2">
      <c r="G9790" s="45"/>
      <c r="L9790" s="8"/>
    </row>
    <row r="9791" spans="7:12" x14ac:dyDescent="0.2">
      <c r="G9791" s="45"/>
      <c r="L9791" s="8"/>
    </row>
    <row r="9792" spans="7:12" x14ac:dyDescent="0.2">
      <c r="G9792" s="45"/>
      <c r="L9792" s="8"/>
    </row>
    <row r="9793" spans="7:12" x14ac:dyDescent="0.2">
      <c r="G9793" s="45"/>
      <c r="L9793" s="8"/>
    </row>
    <row r="9794" spans="7:12" x14ac:dyDescent="0.2">
      <c r="G9794" s="45"/>
      <c r="L9794" s="8"/>
    </row>
    <row r="9795" spans="7:12" x14ac:dyDescent="0.2">
      <c r="G9795" s="45"/>
      <c r="L9795" s="8"/>
    </row>
    <row r="9796" spans="7:12" x14ac:dyDescent="0.2">
      <c r="G9796" s="45"/>
      <c r="L9796" s="8"/>
    </row>
    <row r="9797" spans="7:12" x14ac:dyDescent="0.2">
      <c r="G9797" s="45"/>
      <c r="L9797" s="8"/>
    </row>
    <row r="9798" spans="7:12" x14ac:dyDescent="0.2">
      <c r="G9798" s="45"/>
      <c r="L9798" s="8"/>
    </row>
    <row r="9799" spans="7:12" x14ac:dyDescent="0.2">
      <c r="G9799" s="45"/>
      <c r="L9799" s="8"/>
    </row>
    <row r="9800" spans="7:12" x14ac:dyDescent="0.2">
      <c r="G9800" s="45"/>
      <c r="L9800" s="8"/>
    </row>
    <row r="9801" spans="7:12" x14ac:dyDescent="0.2">
      <c r="G9801" s="45"/>
      <c r="L9801" s="8"/>
    </row>
    <row r="9802" spans="7:12" x14ac:dyDescent="0.2">
      <c r="G9802" s="45"/>
      <c r="L9802" s="8"/>
    </row>
    <row r="9803" spans="7:12" x14ac:dyDescent="0.2">
      <c r="G9803" s="45"/>
      <c r="L9803" s="8"/>
    </row>
    <row r="9804" spans="7:12" x14ac:dyDescent="0.2">
      <c r="G9804" s="45"/>
      <c r="L9804" s="8"/>
    </row>
    <row r="9805" spans="7:12" x14ac:dyDescent="0.2">
      <c r="G9805" s="45"/>
      <c r="L9805" s="8"/>
    </row>
    <row r="9806" spans="7:12" x14ac:dyDescent="0.2">
      <c r="G9806" s="45"/>
      <c r="L9806" s="8"/>
    </row>
    <row r="9807" spans="7:12" x14ac:dyDescent="0.2">
      <c r="G9807" s="45"/>
      <c r="L9807" s="8"/>
    </row>
    <row r="9808" spans="7:12" x14ac:dyDescent="0.2">
      <c r="G9808" s="45"/>
      <c r="L9808" s="8"/>
    </row>
    <row r="9809" spans="7:12" x14ac:dyDescent="0.2">
      <c r="G9809" s="45"/>
      <c r="L9809" s="8"/>
    </row>
    <row r="9810" spans="7:12" x14ac:dyDescent="0.2">
      <c r="G9810" s="45"/>
      <c r="L9810" s="8"/>
    </row>
    <row r="9811" spans="7:12" x14ac:dyDescent="0.2">
      <c r="G9811" s="45"/>
      <c r="L9811" s="8"/>
    </row>
    <row r="9812" spans="7:12" x14ac:dyDescent="0.2">
      <c r="G9812" s="45"/>
      <c r="L9812" s="8"/>
    </row>
    <row r="9813" spans="7:12" x14ac:dyDescent="0.2">
      <c r="G9813" s="45"/>
      <c r="L9813" s="8"/>
    </row>
    <row r="9814" spans="7:12" x14ac:dyDescent="0.2">
      <c r="G9814" s="45"/>
      <c r="L9814" s="8"/>
    </row>
    <row r="9815" spans="7:12" x14ac:dyDescent="0.2">
      <c r="G9815" s="45"/>
      <c r="L9815" s="8"/>
    </row>
    <row r="9816" spans="7:12" x14ac:dyDescent="0.2">
      <c r="G9816" s="45"/>
      <c r="L9816" s="8"/>
    </row>
    <row r="9817" spans="7:12" x14ac:dyDescent="0.2">
      <c r="G9817" s="45"/>
      <c r="L9817" s="8"/>
    </row>
    <row r="9818" spans="7:12" x14ac:dyDescent="0.2">
      <c r="G9818" s="45"/>
      <c r="L9818" s="8"/>
    </row>
    <row r="9819" spans="7:12" x14ac:dyDescent="0.2">
      <c r="G9819" s="45"/>
      <c r="L9819" s="8"/>
    </row>
    <row r="9820" spans="7:12" x14ac:dyDescent="0.2">
      <c r="G9820" s="45"/>
      <c r="L9820" s="8"/>
    </row>
    <row r="9821" spans="7:12" x14ac:dyDescent="0.2">
      <c r="G9821" s="45"/>
      <c r="L9821" s="8"/>
    </row>
    <row r="9822" spans="7:12" x14ac:dyDescent="0.2">
      <c r="G9822" s="45"/>
      <c r="L9822" s="8"/>
    </row>
    <row r="9823" spans="7:12" x14ac:dyDescent="0.2">
      <c r="G9823" s="45"/>
      <c r="L9823" s="8"/>
    </row>
    <row r="9824" spans="7:12" x14ac:dyDescent="0.2">
      <c r="G9824" s="45"/>
      <c r="L9824" s="8"/>
    </row>
    <row r="9825" spans="7:12" x14ac:dyDescent="0.2">
      <c r="G9825" s="45"/>
      <c r="L9825" s="8"/>
    </row>
    <row r="9826" spans="7:12" x14ac:dyDescent="0.2">
      <c r="G9826" s="45"/>
      <c r="L9826" s="8"/>
    </row>
    <row r="9827" spans="7:12" x14ac:dyDescent="0.2">
      <c r="G9827" s="45"/>
      <c r="L9827" s="8"/>
    </row>
    <row r="9828" spans="7:12" x14ac:dyDescent="0.2">
      <c r="G9828" s="45"/>
      <c r="L9828" s="8"/>
    </row>
    <row r="9829" spans="7:12" x14ac:dyDescent="0.2">
      <c r="G9829" s="45"/>
      <c r="L9829" s="8"/>
    </row>
    <row r="9830" spans="7:12" x14ac:dyDescent="0.2">
      <c r="G9830" s="45"/>
      <c r="L9830" s="8"/>
    </row>
    <row r="9831" spans="7:12" x14ac:dyDescent="0.2">
      <c r="G9831" s="45"/>
      <c r="L9831" s="8"/>
    </row>
    <row r="9832" spans="7:12" x14ac:dyDescent="0.2">
      <c r="G9832" s="45"/>
      <c r="L9832" s="8"/>
    </row>
    <row r="9833" spans="7:12" x14ac:dyDescent="0.2">
      <c r="G9833" s="45"/>
      <c r="L9833" s="8"/>
    </row>
    <row r="9834" spans="7:12" x14ac:dyDescent="0.2">
      <c r="G9834" s="45"/>
      <c r="L9834" s="8"/>
    </row>
    <row r="9835" spans="7:12" x14ac:dyDescent="0.2">
      <c r="G9835" s="45"/>
      <c r="L9835" s="8"/>
    </row>
    <row r="9836" spans="7:12" x14ac:dyDescent="0.2">
      <c r="G9836" s="45"/>
      <c r="L9836" s="8"/>
    </row>
    <row r="9837" spans="7:12" x14ac:dyDescent="0.2">
      <c r="G9837" s="45"/>
      <c r="L9837" s="8"/>
    </row>
    <row r="9838" spans="7:12" x14ac:dyDescent="0.2">
      <c r="G9838" s="45"/>
      <c r="L9838" s="8"/>
    </row>
    <row r="9839" spans="7:12" x14ac:dyDescent="0.2">
      <c r="G9839" s="45"/>
      <c r="L9839" s="8"/>
    </row>
    <row r="9840" spans="7:12" x14ac:dyDescent="0.2">
      <c r="G9840" s="45"/>
      <c r="L9840" s="8"/>
    </row>
    <row r="9841" spans="7:12" x14ac:dyDescent="0.2">
      <c r="G9841" s="45"/>
      <c r="L9841" s="8"/>
    </row>
    <row r="9842" spans="7:12" x14ac:dyDescent="0.2">
      <c r="G9842" s="45"/>
      <c r="L9842" s="8"/>
    </row>
    <row r="9843" spans="7:12" x14ac:dyDescent="0.2">
      <c r="G9843" s="45"/>
      <c r="L9843" s="8"/>
    </row>
    <row r="9844" spans="7:12" x14ac:dyDescent="0.2">
      <c r="G9844" s="45"/>
      <c r="L9844" s="8"/>
    </row>
    <row r="9845" spans="7:12" x14ac:dyDescent="0.2">
      <c r="G9845" s="45"/>
      <c r="L9845" s="8"/>
    </row>
    <row r="9846" spans="7:12" x14ac:dyDescent="0.2">
      <c r="G9846" s="45"/>
      <c r="L9846" s="8"/>
    </row>
    <row r="9847" spans="7:12" x14ac:dyDescent="0.2">
      <c r="G9847" s="45"/>
      <c r="L9847" s="8"/>
    </row>
    <row r="9848" spans="7:12" x14ac:dyDescent="0.2">
      <c r="G9848" s="45"/>
      <c r="L9848" s="8"/>
    </row>
    <row r="9849" spans="7:12" x14ac:dyDescent="0.2">
      <c r="G9849" s="45"/>
      <c r="L9849" s="8"/>
    </row>
    <row r="9850" spans="7:12" x14ac:dyDescent="0.2">
      <c r="G9850" s="45"/>
      <c r="L9850" s="8"/>
    </row>
    <row r="9851" spans="7:12" x14ac:dyDescent="0.2">
      <c r="G9851" s="45"/>
      <c r="L9851" s="8"/>
    </row>
    <row r="9852" spans="7:12" x14ac:dyDescent="0.2">
      <c r="G9852" s="45"/>
      <c r="L9852" s="8"/>
    </row>
    <row r="9853" spans="7:12" x14ac:dyDescent="0.2">
      <c r="G9853" s="45"/>
      <c r="L9853" s="8"/>
    </row>
    <row r="9854" spans="7:12" x14ac:dyDescent="0.2">
      <c r="G9854" s="45"/>
      <c r="L9854" s="8"/>
    </row>
    <row r="9855" spans="7:12" x14ac:dyDescent="0.2">
      <c r="G9855" s="45"/>
      <c r="L9855" s="8"/>
    </row>
    <row r="9856" spans="7:12" x14ac:dyDescent="0.2">
      <c r="G9856" s="45"/>
      <c r="L9856" s="8"/>
    </row>
    <row r="9857" spans="7:12" x14ac:dyDescent="0.2">
      <c r="G9857" s="45"/>
      <c r="L9857" s="8"/>
    </row>
    <row r="9858" spans="7:12" x14ac:dyDescent="0.2">
      <c r="G9858" s="45"/>
      <c r="L9858" s="8"/>
    </row>
    <row r="9859" spans="7:12" x14ac:dyDescent="0.2">
      <c r="G9859" s="45"/>
      <c r="L9859" s="8"/>
    </row>
    <row r="9860" spans="7:12" x14ac:dyDescent="0.2">
      <c r="G9860" s="45"/>
      <c r="L9860" s="8"/>
    </row>
    <row r="9861" spans="7:12" x14ac:dyDescent="0.2">
      <c r="G9861" s="45"/>
      <c r="L9861" s="8"/>
    </row>
    <row r="9862" spans="7:12" x14ac:dyDescent="0.2">
      <c r="G9862" s="45"/>
      <c r="L9862" s="8"/>
    </row>
    <row r="9863" spans="7:12" x14ac:dyDescent="0.2">
      <c r="G9863" s="45"/>
      <c r="L9863" s="8"/>
    </row>
    <row r="9864" spans="7:12" x14ac:dyDescent="0.2">
      <c r="G9864" s="45"/>
      <c r="L9864" s="8"/>
    </row>
    <row r="9865" spans="7:12" x14ac:dyDescent="0.2">
      <c r="G9865" s="45"/>
      <c r="L9865" s="8"/>
    </row>
    <row r="9866" spans="7:12" x14ac:dyDescent="0.2">
      <c r="G9866" s="45"/>
      <c r="L9866" s="8"/>
    </row>
    <row r="9867" spans="7:12" x14ac:dyDescent="0.2">
      <c r="G9867" s="45"/>
      <c r="L9867" s="8"/>
    </row>
    <row r="9868" spans="7:12" x14ac:dyDescent="0.2">
      <c r="G9868" s="45"/>
      <c r="L9868" s="8"/>
    </row>
    <row r="9869" spans="7:12" x14ac:dyDescent="0.2">
      <c r="G9869" s="45"/>
      <c r="L9869" s="8"/>
    </row>
    <row r="9870" spans="7:12" x14ac:dyDescent="0.2">
      <c r="G9870" s="45"/>
      <c r="L9870" s="8"/>
    </row>
    <row r="9871" spans="7:12" x14ac:dyDescent="0.2">
      <c r="G9871" s="45"/>
      <c r="L9871" s="8"/>
    </row>
    <row r="9872" spans="7:12" x14ac:dyDescent="0.2">
      <c r="G9872" s="45"/>
      <c r="L9872" s="8"/>
    </row>
    <row r="9873" spans="7:12" x14ac:dyDescent="0.2">
      <c r="G9873" s="45"/>
      <c r="L9873" s="8"/>
    </row>
    <row r="9874" spans="7:12" x14ac:dyDescent="0.2">
      <c r="G9874" s="45"/>
      <c r="L9874" s="8"/>
    </row>
    <row r="9875" spans="7:12" x14ac:dyDescent="0.2">
      <c r="G9875" s="45"/>
      <c r="L9875" s="8"/>
    </row>
    <row r="9876" spans="7:12" x14ac:dyDescent="0.2">
      <c r="G9876" s="45"/>
      <c r="L9876" s="8"/>
    </row>
    <row r="9877" spans="7:12" x14ac:dyDescent="0.2">
      <c r="G9877" s="45"/>
      <c r="L9877" s="8"/>
    </row>
    <row r="9878" spans="7:12" x14ac:dyDescent="0.2">
      <c r="G9878" s="45"/>
      <c r="L9878" s="8"/>
    </row>
    <row r="9879" spans="7:12" x14ac:dyDescent="0.2">
      <c r="G9879" s="45"/>
      <c r="L9879" s="8"/>
    </row>
    <row r="9880" spans="7:12" x14ac:dyDescent="0.2">
      <c r="G9880" s="45"/>
      <c r="L9880" s="8"/>
    </row>
    <row r="9881" spans="7:12" x14ac:dyDescent="0.2">
      <c r="G9881" s="45"/>
      <c r="L9881" s="8"/>
    </row>
    <row r="9882" spans="7:12" x14ac:dyDescent="0.2">
      <c r="G9882" s="45"/>
      <c r="L9882" s="8"/>
    </row>
    <row r="9883" spans="7:12" x14ac:dyDescent="0.2">
      <c r="G9883" s="45"/>
      <c r="L9883" s="8"/>
    </row>
    <row r="9884" spans="7:12" x14ac:dyDescent="0.2">
      <c r="G9884" s="45"/>
      <c r="L9884" s="8"/>
    </row>
    <row r="9885" spans="7:12" x14ac:dyDescent="0.2">
      <c r="G9885" s="45"/>
      <c r="L9885" s="8"/>
    </row>
    <row r="9886" spans="7:12" x14ac:dyDescent="0.2">
      <c r="G9886" s="45"/>
      <c r="L9886" s="8"/>
    </row>
    <row r="9887" spans="7:12" x14ac:dyDescent="0.2">
      <c r="G9887" s="45"/>
      <c r="L9887" s="8"/>
    </row>
    <row r="9888" spans="7:12" x14ac:dyDescent="0.2">
      <c r="G9888" s="45"/>
      <c r="L9888" s="8"/>
    </row>
    <row r="9889" spans="7:12" x14ac:dyDescent="0.2">
      <c r="G9889" s="45"/>
      <c r="L9889" s="8"/>
    </row>
    <row r="9890" spans="7:12" x14ac:dyDescent="0.2">
      <c r="G9890" s="45"/>
      <c r="L9890" s="8"/>
    </row>
    <row r="9891" spans="7:12" x14ac:dyDescent="0.2">
      <c r="G9891" s="45"/>
      <c r="L9891" s="8"/>
    </row>
    <row r="9892" spans="7:12" x14ac:dyDescent="0.2">
      <c r="G9892" s="45"/>
      <c r="L9892" s="8"/>
    </row>
    <row r="9893" spans="7:12" x14ac:dyDescent="0.2">
      <c r="G9893" s="45"/>
      <c r="L9893" s="8"/>
    </row>
    <row r="9894" spans="7:12" x14ac:dyDescent="0.2">
      <c r="G9894" s="45"/>
      <c r="L9894" s="8"/>
    </row>
    <row r="9895" spans="7:12" x14ac:dyDescent="0.2">
      <c r="G9895" s="45"/>
      <c r="L9895" s="8"/>
    </row>
    <row r="9896" spans="7:12" x14ac:dyDescent="0.2">
      <c r="G9896" s="45"/>
      <c r="L9896" s="8"/>
    </row>
    <row r="9897" spans="7:12" x14ac:dyDescent="0.2">
      <c r="G9897" s="45"/>
      <c r="L9897" s="8"/>
    </row>
    <row r="9898" spans="7:12" x14ac:dyDescent="0.2">
      <c r="G9898" s="45"/>
      <c r="L9898" s="8"/>
    </row>
    <row r="9899" spans="7:12" x14ac:dyDescent="0.2">
      <c r="G9899" s="45"/>
      <c r="L9899" s="8"/>
    </row>
    <row r="9900" spans="7:12" x14ac:dyDescent="0.2">
      <c r="G9900" s="45"/>
      <c r="L9900" s="8"/>
    </row>
    <row r="9901" spans="7:12" x14ac:dyDescent="0.2">
      <c r="G9901" s="45"/>
      <c r="L9901" s="8"/>
    </row>
    <row r="9902" spans="7:12" x14ac:dyDescent="0.2">
      <c r="G9902" s="45"/>
      <c r="L9902" s="8"/>
    </row>
    <row r="9903" spans="7:12" x14ac:dyDescent="0.2">
      <c r="G9903" s="45"/>
      <c r="L9903" s="8"/>
    </row>
    <row r="9904" spans="7:12" x14ac:dyDescent="0.2">
      <c r="G9904" s="45"/>
      <c r="L9904" s="8"/>
    </row>
    <row r="9905" spans="7:12" x14ac:dyDescent="0.2">
      <c r="G9905" s="45"/>
      <c r="L9905" s="8"/>
    </row>
    <row r="9906" spans="7:12" x14ac:dyDescent="0.2">
      <c r="G9906" s="45"/>
      <c r="L9906" s="8"/>
    </row>
    <row r="9907" spans="7:12" x14ac:dyDescent="0.2">
      <c r="G9907" s="45"/>
      <c r="L9907" s="8"/>
    </row>
    <row r="9908" spans="7:12" x14ac:dyDescent="0.2">
      <c r="G9908" s="45"/>
      <c r="L9908" s="8"/>
    </row>
    <row r="9909" spans="7:12" x14ac:dyDescent="0.2">
      <c r="G9909" s="45"/>
      <c r="L9909" s="8"/>
    </row>
    <row r="9910" spans="7:12" x14ac:dyDescent="0.2">
      <c r="G9910" s="45"/>
      <c r="L9910" s="8"/>
    </row>
    <row r="9911" spans="7:12" x14ac:dyDescent="0.2">
      <c r="G9911" s="45"/>
      <c r="L9911" s="8"/>
    </row>
    <row r="9912" spans="7:12" x14ac:dyDescent="0.2">
      <c r="G9912" s="45"/>
      <c r="L9912" s="8"/>
    </row>
    <row r="9913" spans="7:12" x14ac:dyDescent="0.2">
      <c r="G9913" s="45"/>
      <c r="L9913" s="8"/>
    </row>
    <row r="9914" spans="7:12" x14ac:dyDescent="0.2">
      <c r="G9914" s="45"/>
      <c r="L9914" s="8"/>
    </row>
    <row r="9915" spans="7:12" x14ac:dyDescent="0.2">
      <c r="G9915" s="45"/>
      <c r="L9915" s="8"/>
    </row>
    <row r="9916" spans="7:12" x14ac:dyDescent="0.2">
      <c r="G9916" s="45"/>
      <c r="L9916" s="8"/>
    </row>
    <row r="9917" spans="7:12" x14ac:dyDescent="0.2">
      <c r="G9917" s="45"/>
      <c r="L9917" s="8"/>
    </row>
    <row r="9918" spans="7:12" x14ac:dyDescent="0.2">
      <c r="G9918" s="45"/>
      <c r="L9918" s="8"/>
    </row>
    <row r="9919" spans="7:12" x14ac:dyDescent="0.2">
      <c r="G9919" s="45"/>
      <c r="L9919" s="8"/>
    </row>
    <row r="9920" spans="7:12" x14ac:dyDescent="0.2">
      <c r="G9920" s="45"/>
      <c r="L9920" s="8"/>
    </row>
    <row r="9921" spans="7:12" x14ac:dyDescent="0.2">
      <c r="G9921" s="45"/>
      <c r="L9921" s="8"/>
    </row>
    <row r="9922" spans="7:12" x14ac:dyDescent="0.2">
      <c r="G9922" s="45"/>
      <c r="L9922" s="8"/>
    </row>
    <row r="9923" spans="7:12" x14ac:dyDescent="0.2">
      <c r="G9923" s="45"/>
      <c r="L9923" s="8"/>
    </row>
    <row r="9924" spans="7:12" x14ac:dyDescent="0.2">
      <c r="G9924" s="45"/>
      <c r="L9924" s="8"/>
    </row>
    <row r="9925" spans="7:12" x14ac:dyDescent="0.2">
      <c r="G9925" s="45"/>
      <c r="L9925" s="8"/>
    </row>
    <row r="9926" spans="7:12" x14ac:dyDescent="0.2">
      <c r="G9926" s="45"/>
      <c r="L9926" s="8"/>
    </row>
    <row r="9927" spans="7:12" x14ac:dyDescent="0.2">
      <c r="G9927" s="45"/>
      <c r="L9927" s="8"/>
    </row>
    <row r="9928" spans="7:12" x14ac:dyDescent="0.2">
      <c r="G9928" s="45"/>
      <c r="L9928" s="8"/>
    </row>
    <row r="9929" spans="7:12" x14ac:dyDescent="0.2">
      <c r="G9929" s="45"/>
      <c r="L9929" s="8"/>
    </row>
    <row r="9930" spans="7:12" x14ac:dyDescent="0.2">
      <c r="G9930" s="45"/>
      <c r="L9930" s="8"/>
    </row>
    <row r="9931" spans="7:12" x14ac:dyDescent="0.2">
      <c r="G9931" s="45"/>
      <c r="L9931" s="8"/>
    </row>
    <row r="9932" spans="7:12" x14ac:dyDescent="0.2">
      <c r="G9932" s="45"/>
      <c r="L9932" s="8"/>
    </row>
    <row r="9933" spans="7:12" x14ac:dyDescent="0.2">
      <c r="G9933" s="45"/>
      <c r="L9933" s="8"/>
    </row>
    <row r="9934" spans="7:12" x14ac:dyDescent="0.2">
      <c r="G9934" s="45"/>
      <c r="L9934" s="8"/>
    </row>
    <row r="9935" spans="7:12" x14ac:dyDescent="0.2">
      <c r="G9935" s="45"/>
      <c r="L9935" s="8"/>
    </row>
    <row r="9936" spans="7:12" x14ac:dyDescent="0.2">
      <c r="G9936" s="45"/>
      <c r="L9936" s="8"/>
    </row>
    <row r="9937" spans="7:12" x14ac:dyDescent="0.2">
      <c r="G9937" s="45"/>
      <c r="L9937" s="8"/>
    </row>
    <row r="9938" spans="7:12" x14ac:dyDescent="0.2">
      <c r="G9938" s="45"/>
      <c r="L9938" s="8"/>
    </row>
    <row r="9939" spans="7:12" x14ac:dyDescent="0.2">
      <c r="G9939" s="45"/>
      <c r="L9939" s="8"/>
    </row>
    <row r="9940" spans="7:12" x14ac:dyDescent="0.2">
      <c r="G9940" s="45"/>
      <c r="L9940" s="8"/>
    </row>
    <row r="9941" spans="7:12" x14ac:dyDescent="0.2">
      <c r="G9941" s="45"/>
      <c r="L9941" s="8"/>
    </row>
    <row r="9942" spans="7:12" x14ac:dyDescent="0.2">
      <c r="G9942" s="45"/>
      <c r="L9942" s="8"/>
    </row>
    <row r="9943" spans="7:12" x14ac:dyDescent="0.2">
      <c r="G9943" s="45"/>
      <c r="L9943" s="8"/>
    </row>
    <row r="9944" spans="7:12" x14ac:dyDescent="0.2">
      <c r="G9944" s="45"/>
      <c r="L9944" s="8"/>
    </row>
    <row r="9945" spans="7:12" x14ac:dyDescent="0.2">
      <c r="G9945" s="45"/>
      <c r="L9945" s="8"/>
    </row>
    <row r="9946" spans="7:12" x14ac:dyDescent="0.2">
      <c r="G9946" s="45"/>
      <c r="L9946" s="8"/>
    </row>
    <row r="9947" spans="7:12" x14ac:dyDescent="0.2">
      <c r="G9947" s="45"/>
      <c r="L9947" s="8"/>
    </row>
    <row r="9948" spans="7:12" x14ac:dyDescent="0.2">
      <c r="G9948" s="45"/>
      <c r="L9948" s="8"/>
    </row>
    <row r="9949" spans="7:12" x14ac:dyDescent="0.2">
      <c r="G9949" s="45"/>
      <c r="L9949" s="8"/>
    </row>
    <row r="9950" spans="7:12" x14ac:dyDescent="0.2">
      <c r="G9950" s="45"/>
      <c r="L9950" s="8"/>
    </row>
    <row r="9951" spans="7:12" x14ac:dyDescent="0.2">
      <c r="G9951" s="45"/>
      <c r="L9951" s="8"/>
    </row>
    <row r="9952" spans="7:12" x14ac:dyDescent="0.2">
      <c r="G9952" s="45"/>
      <c r="L9952" s="8"/>
    </row>
    <row r="9953" spans="7:12" x14ac:dyDescent="0.2">
      <c r="G9953" s="45"/>
      <c r="L9953" s="8"/>
    </row>
    <row r="9954" spans="7:12" x14ac:dyDescent="0.2">
      <c r="G9954" s="45"/>
      <c r="L9954" s="8"/>
    </row>
    <row r="9955" spans="7:12" x14ac:dyDescent="0.2">
      <c r="G9955" s="45"/>
      <c r="L9955" s="8"/>
    </row>
    <row r="9956" spans="7:12" x14ac:dyDescent="0.2">
      <c r="G9956" s="45"/>
      <c r="L9956" s="8"/>
    </row>
    <row r="9957" spans="7:12" x14ac:dyDescent="0.2">
      <c r="G9957" s="45"/>
      <c r="L9957" s="8"/>
    </row>
    <row r="9958" spans="7:12" x14ac:dyDescent="0.2">
      <c r="G9958" s="45"/>
      <c r="L9958" s="8"/>
    </row>
    <row r="9959" spans="7:12" x14ac:dyDescent="0.2">
      <c r="G9959" s="45"/>
      <c r="L9959" s="8"/>
    </row>
    <row r="9960" spans="7:12" x14ac:dyDescent="0.2">
      <c r="G9960" s="45"/>
      <c r="L9960" s="8"/>
    </row>
    <row r="9961" spans="7:12" x14ac:dyDescent="0.2">
      <c r="G9961" s="45"/>
      <c r="L9961" s="8"/>
    </row>
    <row r="9962" spans="7:12" x14ac:dyDescent="0.2">
      <c r="G9962" s="45"/>
      <c r="L9962" s="8"/>
    </row>
    <row r="9963" spans="7:12" x14ac:dyDescent="0.2">
      <c r="G9963" s="45"/>
      <c r="L9963" s="8"/>
    </row>
    <row r="9964" spans="7:12" x14ac:dyDescent="0.2">
      <c r="G9964" s="45"/>
      <c r="L9964" s="8"/>
    </row>
    <row r="9965" spans="7:12" x14ac:dyDescent="0.2">
      <c r="G9965" s="45"/>
      <c r="L9965" s="8"/>
    </row>
    <row r="9966" spans="7:12" x14ac:dyDescent="0.2">
      <c r="G9966" s="45"/>
      <c r="L9966" s="8"/>
    </row>
    <row r="9967" spans="7:12" x14ac:dyDescent="0.2">
      <c r="G9967" s="45"/>
      <c r="L9967" s="8"/>
    </row>
    <row r="9968" spans="7:12" x14ac:dyDescent="0.2">
      <c r="G9968" s="45"/>
      <c r="L9968" s="8"/>
    </row>
    <row r="9969" spans="7:12" x14ac:dyDescent="0.2">
      <c r="G9969" s="45"/>
      <c r="L9969" s="8"/>
    </row>
    <row r="9970" spans="7:12" x14ac:dyDescent="0.2">
      <c r="G9970" s="45"/>
      <c r="L9970" s="8"/>
    </row>
    <row r="9971" spans="7:12" x14ac:dyDescent="0.2">
      <c r="G9971" s="45"/>
      <c r="L9971" s="8"/>
    </row>
    <row r="9972" spans="7:12" x14ac:dyDescent="0.2">
      <c r="G9972" s="45"/>
      <c r="L9972" s="8"/>
    </row>
    <row r="9973" spans="7:12" x14ac:dyDescent="0.2">
      <c r="G9973" s="45"/>
      <c r="L9973" s="8"/>
    </row>
    <row r="9974" spans="7:12" x14ac:dyDescent="0.2">
      <c r="G9974" s="45"/>
      <c r="L9974" s="8"/>
    </row>
    <row r="9975" spans="7:12" x14ac:dyDescent="0.2">
      <c r="G9975" s="45"/>
      <c r="L9975" s="8"/>
    </row>
    <row r="9976" spans="7:12" x14ac:dyDescent="0.2">
      <c r="G9976" s="45"/>
      <c r="L9976" s="8"/>
    </row>
    <row r="9977" spans="7:12" x14ac:dyDescent="0.2">
      <c r="G9977" s="45"/>
      <c r="L9977" s="8"/>
    </row>
    <row r="9978" spans="7:12" x14ac:dyDescent="0.2">
      <c r="G9978" s="45"/>
      <c r="L9978" s="8"/>
    </row>
    <row r="9979" spans="7:12" x14ac:dyDescent="0.2">
      <c r="G9979" s="45"/>
      <c r="L9979" s="8"/>
    </row>
    <row r="9980" spans="7:12" x14ac:dyDescent="0.2">
      <c r="G9980" s="45"/>
      <c r="L9980" s="8"/>
    </row>
    <row r="9981" spans="7:12" x14ac:dyDescent="0.2">
      <c r="G9981" s="45"/>
      <c r="L9981" s="8"/>
    </row>
    <row r="9982" spans="7:12" x14ac:dyDescent="0.2">
      <c r="G9982" s="45"/>
      <c r="L9982" s="8"/>
    </row>
    <row r="9983" spans="7:12" x14ac:dyDescent="0.2">
      <c r="G9983" s="45"/>
      <c r="L9983" s="8"/>
    </row>
    <row r="9984" spans="7:12" x14ac:dyDescent="0.2">
      <c r="G9984" s="45"/>
      <c r="L9984" s="8"/>
    </row>
    <row r="9985" spans="7:12" x14ac:dyDescent="0.2">
      <c r="G9985" s="45"/>
      <c r="L9985" s="8"/>
    </row>
    <row r="9986" spans="7:12" x14ac:dyDescent="0.2">
      <c r="G9986" s="45"/>
      <c r="L9986" s="8"/>
    </row>
    <row r="9987" spans="7:12" x14ac:dyDescent="0.2">
      <c r="G9987" s="45"/>
      <c r="L9987" s="8"/>
    </row>
    <row r="9988" spans="7:12" x14ac:dyDescent="0.2">
      <c r="G9988" s="45"/>
      <c r="L9988" s="8"/>
    </row>
    <row r="9989" spans="7:12" x14ac:dyDescent="0.2">
      <c r="G9989" s="45"/>
      <c r="L9989" s="8"/>
    </row>
    <row r="9990" spans="7:12" x14ac:dyDescent="0.2">
      <c r="G9990" s="45"/>
      <c r="L9990" s="8"/>
    </row>
    <row r="9991" spans="7:12" x14ac:dyDescent="0.2">
      <c r="G9991" s="45"/>
      <c r="L9991" s="8"/>
    </row>
    <row r="9992" spans="7:12" x14ac:dyDescent="0.2">
      <c r="G9992" s="45"/>
      <c r="L9992" s="8"/>
    </row>
    <row r="9993" spans="7:12" x14ac:dyDescent="0.2">
      <c r="G9993" s="45"/>
      <c r="L9993" s="8"/>
    </row>
    <row r="9994" spans="7:12" x14ac:dyDescent="0.2">
      <c r="G9994" s="45"/>
      <c r="L9994" s="8"/>
    </row>
    <row r="9995" spans="7:12" x14ac:dyDescent="0.2">
      <c r="G9995" s="45"/>
      <c r="L9995" s="8"/>
    </row>
    <row r="9996" spans="7:12" x14ac:dyDescent="0.2">
      <c r="G9996" s="45"/>
      <c r="L9996" s="8"/>
    </row>
    <row r="9997" spans="7:12" x14ac:dyDescent="0.2">
      <c r="G9997" s="45"/>
      <c r="L9997" s="8"/>
    </row>
    <row r="9998" spans="7:12" x14ac:dyDescent="0.2">
      <c r="G9998" s="45"/>
      <c r="L9998" s="8"/>
    </row>
    <row r="9999" spans="7:12" x14ac:dyDescent="0.2">
      <c r="G9999" s="45"/>
      <c r="L9999" s="8"/>
    </row>
    <row r="10000" spans="7:12" x14ac:dyDescent="0.2">
      <c r="G10000" s="45"/>
      <c r="L10000" s="8"/>
    </row>
    <row r="10001" spans="7:12" x14ac:dyDescent="0.2">
      <c r="G10001" s="45"/>
      <c r="L10001" s="8"/>
    </row>
    <row r="10002" spans="7:12" x14ac:dyDescent="0.2">
      <c r="G10002" s="45"/>
      <c r="L10002" s="8"/>
    </row>
    <row r="10003" spans="7:12" x14ac:dyDescent="0.2">
      <c r="G10003" s="45"/>
      <c r="L10003" s="8"/>
    </row>
    <row r="10004" spans="7:12" x14ac:dyDescent="0.2">
      <c r="G10004" s="45"/>
      <c r="L10004" s="8"/>
    </row>
    <row r="10005" spans="7:12" x14ac:dyDescent="0.2">
      <c r="G10005" s="45"/>
      <c r="L10005" s="8"/>
    </row>
    <row r="10006" spans="7:12" x14ac:dyDescent="0.2">
      <c r="G10006" s="45"/>
      <c r="L10006" s="8"/>
    </row>
    <row r="10007" spans="7:12" x14ac:dyDescent="0.2">
      <c r="G10007" s="45"/>
      <c r="L10007" s="8"/>
    </row>
    <row r="10008" spans="7:12" x14ac:dyDescent="0.2">
      <c r="G10008" s="45"/>
      <c r="L10008" s="8"/>
    </row>
    <row r="10009" spans="7:12" x14ac:dyDescent="0.2">
      <c r="G10009" s="45"/>
      <c r="L10009" s="8"/>
    </row>
    <row r="10010" spans="7:12" x14ac:dyDescent="0.2">
      <c r="G10010" s="45"/>
      <c r="L10010" s="8"/>
    </row>
    <row r="10011" spans="7:12" x14ac:dyDescent="0.2">
      <c r="G10011" s="45"/>
      <c r="L10011" s="8"/>
    </row>
    <row r="10012" spans="7:12" x14ac:dyDescent="0.2">
      <c r="G10012" s="45"/>
      <c r="L10012" s="8"/>
    </row>
    <row r="10013" spans="7:12" x14ac:dyDescent="0.2">
      <c r="G10013" s="45"/>
      <c r="L10013" s="8"/>
    </row>
    <row r="10014" spans="7:12" x14ac:dyDescent="0.2">
      <c r="G10014" s="45"/>
      <c r="L10014" s="8"/>
    </row>
    <row r="10015" spans="7:12" x14ac:dyDescent="0.2">
      <c r="G10015" s="45"/>
      <c r="L10015" s="8"/>
    </row>
    <row r="10016" spans="7:12" x14ac:dyDescent="0.2">
      <c r="G10016" s="45"/>
      <c r="L10016" s="8"/>
    </row>
    <row r="10017" spans="7:12" x14ac:dyDescent="0.2">
      <c r="G10017" s="45"/>
      <c r="L10017" s="8"/>
    </row>
    <row r="10018" spans="7:12" x14ac:dyDescent="0.2">
      <c r="G10018" s="45"/>
      <c r="L10018" s="8"/>
    </row>
    <row r="10019" spans="7:12" x14ac:dyDescent="0.2">
      <c r="G10019" s="45"/>
      <c r="L10019" s="8"/>
    </row>
    <row r="10020" spans="7:12" x14ac:dyDescent="0.2">
      <c r="G10020" s="45"/>
      <c r="L10020" s="8"/>
    </row>
    <row r="10021" spans="7:12" x14ac:dyDescent="0.2">
      <c r="G10021" s="45"/>
      <c r="L10021" s="8"/>
    </row>
    <row r="10022" spans="7:12" x14ac:dyDescent="0.2">
      <c r="G10022" s="45"/>
      <c r="L10022" s="8"/>
    </row>
    <row r="10023" spans="7:12" x14ac:dyDescent="0.2">
      <c r="G10023" s="45"/>
      <c r="L10023" s="8"/>
    </row>
    <row r="10024" spans="7:12" x14ac:dyDescent="0.2">
      <c r="G10024" s="45"/>
      <c r="L10024" s="8"/>
    </row>
    <row r="10025" spans="7:12" x14ac:dyDescent="0.2">
      <c r="G10025" s="45"/>
      <c r="L10025" s="8"/>
    </row>
    <row r="10026" spans="7:12" x14ac:dyDescent="0.2">
      <c r="G10026" s="45"/>
      <c r="L10026" s="8"/>
    </row>
    <row r="10027" spans="7:12" x14ac:dyDescent="0.2">
      <c r="G10027" s="45"/>
      <c r="L10027" s="8"/>
    </row>
    <row r="10028" spans="7:12" x14ac:dyDescent="0.2">
      <c r="G10028" s="45"/>
      <c r="L10028" s="8"/>
    </row>
    <row r="10029" spans="7:12" x14ac:dyDescent="0.2">
      <c r="G10029" s="45"/>
      <c r="L10029" s="8"/>
    </row>
    <row r="10030" spans="7:12" x14ac:dyDescent="0.2">
      <c r="G10030" s="45"/>
      <c r="L10030" s="8"/>
    </row>
    <row r="10031" spans="7:12" x14ac:dyDescent="0.2">
      <c r="G10031" s="45"/>
      <c r="L10031" s="8"/>
    </row>
    <row r="10032" spans="7:12" x14ac:dyDescent="0.2">
      <c r="G10032" s="45"/>
      <c r="L10032" s="8"/>
    </row>
    <row r="10033" spans="7:12" x14ac:dyDescent="0.2">
      <c r="G10033" s="45"/>
      <c r="L10033" s="8"/>
    </row>
    <row r="10034" spans="7:12" x14ac:dyDescent="0.2">
      <c r="G10034" s="45"/>
      <c r="L10034" s="8"/>
    </row>
    <row r="10035" spans="7:12" x14ac:dyDescent="0.2">
      <c r="G10035" s="45"/>
      <c r="L10035" s="8"/>
    </row>
    <row r="10036" spans="7:12" x14ac:dyDescent="0.2">
      <c r="G10036" s="45"/>
      <c r="L10036" s="8"/>
    </row>
    <row r="10037" spans="7:12" x14ac:dyDescent="0.2">
      <c r="G10037" s="45"/>
      <c r="L10037" s="8"/>
    </row>
    <row r="10038" spans="7:12" x14ac:dyDescent="0.2">
      <c r="G10038" s="45"/>
      <c r="L10038" s="8"/>
    </row>
    <row r="10039" spans="7:12" x14ac:dyDescent="0.2">
      <c r="G10039" s="45"/>
      <c r="L10039" s="8"/>
    </row>
    <row r="10040" spans="7:12" x14ac:dyDescent="0.2">
      <c r="G10040" s="45"/>
      <c r="L10040" s="8"/>
    </row>
    <row r="10041" spans="7:12" x14ac:dyDescent="0.2">
      <c r="G10041" s="45"/>
      <c r="L10041" s="8"/>
    </row>
    <row r="10042" spans="7:12" x14ac:dyDescent="0.2">
      <c r="G10042" s="45"/>
      <c r="L10042" s="8"/>
    </row>
    <row r="10043" spans="7:12" x14ac:dyDescent="0.2">
      <c r="G10043" s="45"/>
      <c r="L10043" s="8"/>
    </row>
    <row r="10044" spans="7:12" x14ac:dyDescent="0.2">
      <c r="G10044" s="45"/>
      <c r="L10044" s="8"/>
    </row>
    <row r="10045" spans="7:12" x14ac:dyDescent="0.2">
      <c r="G10045" s="45"/>
      <c r="L10045" s="8"/>
    </row>
    <row r="10046" spans="7:12" x14ac:dyDescent="0.2">
      <c r="G10046" s="45"/>
      <c r="L10046" s="8"/>
    </row>
    <row r="10047" spans="7:12" x14ac:dyDescent="0.2">
      <c r="G10047" s="45"/>
      <c r="L10047" s="8"/>
    </row>
    <row r="10048" spans="7:12" x14ac:dyDescent="0.2">
      <c r="G10048" s="45"/>
      <c r="L10048" s="8"/>
    </row>
    <row r="10049" spans="7:12" x14ac:dyDescent="0.2">
      <c r="G10049" s="45"/>
      <c r="L10049" s="8"/>
    </row>
    <row r="10050" spans="7:12" x14ac:dyDescent="0.2">
      <c r="G10050" s="45"/>
      <c r="L10050" s="8"/>
    </row>
    <row r="10051" spans="7:12" x14ac:dyDescent="0.2">
      <c r="G10051" s="45"/>
      <c r="L10051" s="8"/>
    </row>
    <row r="10052" spans="7:12" x14ac:dyDescent="0.2">
      <c r="G10052" s="45"/>
      <c r="L10052" s="8"/>
    </row>
    <row r="10053" spans="7:12" x14ac:dyDescent="0.2">
      <c r="G10053" s="45"/>
      <c r="L10053" s="8"/>
    </row>
    <row r="10054" spans="7:12" x14ac:dyDescent="0.2">
      <c r="G10054" s="45"/>
      <c r="L10054" s="8"/>
    </row>
    <row r="10055" spans="7:12" x14ac:dyDescent="0.2">
      <c r="G10055" s="45"/>
      <c r="L10055" s="8"/>
    </row>
    <row r="10056" spans="7:12" x14ac:dyDescent="0.2">
      <c r="G10056" s="45"/>
      <c r="L10056" s="8"/>
    </row>
    <row r="10057" spans="7:12" x14ac:dyDescent="0.2">
      <c r="G10057" s="45"/>
      <c r="L10057" s="8"/>
    </row>
    <row r="10058" spans="7:12" x14ac:dyDescent="0.2">
      <c r="G10058" s="45"/>
      <c r="L10058" s="8"/>
    </row>
    <row r="10059" spans="7:12" x14ac:dyDescent="0.2">
      <c r="G10059" s="45"/>
      <c r="L10059" s="8"/>
    </row>
    <row r="10060" spans="7:12" x14ac:dyDescent="0.2">
      <c r="G10060" s="45"/>
      <c r="L10060" s="8"/>
    </row>
    <row r="10061" spans="7:12" x14ac:dyDescent="0.2">
      <c r="G10061" s="45"/>
      <c r="L10061" s="8"/>
    </row>
    <row r="10062" spans="7:12" x14ac:dyDescent="0.2">
      <c r="G10062" s="45"/>
      <c r="L10062" s="8"/>
    </row>
    <row r="10063" spans="7:12" x14ac:dyDescent="0.2">
      <c r="G10063" s="45"/>
      <c r="L10063" s="8"/>
    </row>
    <row r="10064" spans="7:12" x14ac:dyDescent="0.2">
      <c r="G10064" s="45"/>
      <c r="L10064" s="8"/>
    </row>
    <row r="10065" spans="7:12" x14ac:dyDescent="0.2">
      <c r="G10065" s="45"/>
      <c r="L10065" s="8"/>
    </row>
    <row r="10066" spans="7:12" x14ac:dyDescent="0.2">
      <c r="G10066" s="45"/>
      <c r="L10066" s="8"/>
    </row>
    <row r="10067" spans="7:12" x14ac:dyDescent="0.2">
      <c r="G10067" s="45"/>
      <c r="L10067" s="8"/>
    </row>
    <row r="10068" spans="7:12" x14ac:dyDescent="0.2">
      <c r="G10068" s="45"/>
      <c r="L10068" s="8"/>
    </row>
    <row r="10069" spans="7:12" x14ac:dyDescent="0.2">
      <c r="G10069" s="45"/>
      <c r="L10069" s="8"/>
    </row>
    <row r="10070" spans="7:12" x14ac:dyDescent="0.2">
      <c r="G10070" s="45"/>
      <c r="L10070" s="8"/>
    </row>
    <row r="10071" spans="7:12" x14ac:dyDescent="0.2">
      <c r="G10071" s="45"/>
      <c r="L10071" s="8"/>
    </row>
    <row r="10072" spans="7:12" x14ac:dyDescent="0.2">
      <c r="G10072" s="45"/>
      <c r="L10072" s="8"/>
    </row>
    <row r="10073" spans="7:12" x14ac:dyDescent="0.2">
      <c r="G10073" s="45"/>
      <c r="L10073" s="8"/>
    </row>
    <row r="10074" spans="7:12" x14ac:dyDescent="0.2">
      <c r="G10074" s="45"/>
      <c r="L10074" s="8"/>
    </row>
    <row r="10075" spans="7:12" x14ac:dyDescent="0.2">
      <c r="G10075" s="45"/>
      <c r="L10075" s="8"/>
    </row>
    <row r="10076" spans="7:12" x14ac:dyDescent="0.2">
      <c r="G10076" s="45"/>
      <c r="L10076" s="8"/>
    </row>
    <row r="10077" spans="7:12" x14ac:dyDescent="0.2">
      <c r="G10077" s="45"/>
      <c r="L10077" s="8"/>
    </row>
    <row r="10078" spans="7:12" x14ac:dyDescent="0.2">
      <c r="G10078" s="45"/>
      <c r="L10078" s="8"/>
    </row>
    <row r="10079" spans="7:12" x14ac:dyDescent="0.2">
      <c r="G10079" s="45"/>
      <c r="L10079" s="8"/>
    </row>
    <row r="10080" spans="7:12" x14ac:dyDescent="0.2">
      <c r="G10080" s="45"/>
      <c r="L10080" s="8"/>
    </row>
    <row r="10081" spans="7:12" x14ac:dyDescent="0.2">
      <c r="G10081" s="45"/>
      <c r="L10081" s="8"/>
    </row>
    <row r="10082" spans="7:12" x14ac:dyDescent="0.2">
      <c r="G10082" s="45"/>
      <c r="L10082" s="8"/>
    </row>
    <row r="10083" spans="7:12" x14ac:dyDescent="0.2">
      <c r="G10083" s="45"/>
      <c r="L10083" s="8"/>
    </row>
    <row r="10084" spans="7:12" x14ac:dyDescent="0.2">
      <c r="G10084" s="45"/>
      <c r="L10084" s="8"/>
    </row>
    <row r="10085" spans="7:12" x14ac:dyDescent="0.2">
      <c r="G10085" s="45"/>
      <c r="L10085" s="8"/>
    </row>
    <row r="10086" spans="7:12" x14ac:dyDescent="0.2">
      <c r="G10086" s="45"/>
      <c r="L10086" s="8"/>
    </row>
    <row r="10087" spans="7:12" x14ac:dyDescent="0.2">
      <c r="G10087" s="45"/>
      <c r="L10087" s="8"/>
    </row>
    <row r="10088" spans="7:12" x14ac:dyDescent="0.2">
      <c r="G10088" s="45"/>
      <c r="L10088" s="8"/>
    </row>
    <row r="10089" spans="7:12" x14ac:dyDescent="0.2">
      <c r="G10089" s="45"/>
      <c r="L10089" s="8"/>
    </row>
    <row r="10090" spans="7:12" x14ac:dyDescent="0.2">
      <c r="G10090" s="45"/>
      <c r="L10090" s="8"/>
    </row>
    <row r="10091" spans="7:12" x14ac:dyDescent="0.2">
      <c r="G10091" s="45"/>
      <c r="L10091" s="8"/>
    </row>
    <row r="10092" spans="7:12" x14ac:dyDescent="0.2">
      <c r="G10092" s="45"/>
      <c r="L10092" s="8"/>
    </row>
    <row r="10093" spans="7:12" x14ac:dyDescent="0.2">
      <c r="G10093" s="45"/>
      <c r="L10093" s="8"/>
    </row>
    <row r="10094" spans="7:12" x14ac:dyDescent="0.2">
      <c r="G10094" s="45"/>
      <c r="L10094" s="8"/>
    </row>
    <row r="10095" spans="7:12" x14ac:dyDescent="0.2">
      <c r="G10095" s="45"/>
      <c r="L10095" s="8"/>
    </row>
    <row r="10096" spans="7:12" x14ac:dyDescent="0.2">
      <c r="G10096" s="45"/>
      <c r="L10096" s="8"/>
    </row>
    <row r="10097" spans="7:12" x14ac:dyDescent="0.2">
      <c r="G10097" s="45"/>
      <c r="L10097" s="8"/>
    </row>
    <row r="10098" spans="7:12" x14ac:dyDescent="0.2">
      <c r="G10098" s="45"/>
      <c r="L10098" s="8"/>
    </row>
    <row r="10099" spans="7:12" x14ac:dyDescent="0.2">
      <c r="G10099" s="45"/>
      <c r="L10099" s="8"/>
    </row>
    <row r="10100" spans="7:12" x14ac:dyDescent="0.2">
      <c r="G10100" s="45"/>
      <c r="L10100" s="8"/>
    </row>
    <row r="10101" spans="7:12" x14ac:dyDescent="0.2">
      <c r="G10101" s="45"/>
      <c r="L10101" s="8"/>
    </row>
    <row r="10102" spans="7:12" x14ac:dyDescent="0.2">
      <c r="G10102" s="45"/>
      <c r="L10102" s="8"/>
    </row>
    <row r="10103" spans="7:12" x14ac:dyDescent="0.2">
      <c r="G10103" s="45"/>
      <c r="L10103" s="8"/>
    </row>
    <row r="10104" spans="7:12" x14ac:dyDescent="0.2">
      <c r="G10104" s="45"/>
      <c r="L10104" s="8"/>
    </row>
    <row r="10105" spans="7:12" x14ac:dyDescent="0.2">
      <c r="G10105" s="45"/>
      <c r="L10105" s="8"/>
    </row>
    <row r="10106" spans="7:12" x14ac:dyDescent="0.2">
      <c r="G10106" s="45"/>
      <c r="L10106" s="8"/>
    </row>
    <row r="10107" spans="7:12" x14ac:dyDescent="0.2">
      <c r="G10107" s="45"/>
      <c r="L10107" s="8"/>
    </row>
    <row r="10108" spans="7:12" x14ac:dyDescent="0.2">
      <c r="G10108" s="45"/>
      <c r="L10108" s="8"/>
    </row>
    <row r="10109" spans="7:12" x14ac:dyDescent="0.2">
      <c r="G10109" s="45"/>
      <c r="L10109" s="8"/>
    </row>
    <row r="10110" spans="7:12" x14ac:dyDescent="0.2">
      <c r="G10110" s="45"/>
      <c r="L10110" s="8"/>
    </row>
    <row r="10111" spans="7:12" x14ac:dyDescent="0.2">
      <c r="G10111" s="45"/>
      <c r="L10111" s="8"/>
    </row>
    <row r="10112" spans="7:12" x14ac:dyDescent="0.2">
      <c r="G10112" s="45"/>
      <c r="L10112" s="8"/>
    </row>
    <row r="10113" spans="7:12" x14ac:dyDescent="0.2">
      <c r="G10113" s="45"/>
      <c r="L10113" s="8"/>
    </row>
    <row r="10114" spans="7:12" x14ac:dyDescent="0.2">
      <c r="G10114" s="45"/>
      <c r="L10114" s="8"/>
    </row>
    <row r="10115" spans="7:12" x14ac:dyDescent="0.2">
      <c r="G10115" s="45"/>
      <c r="L10115" s="8"/>
    </row>
    <row r="10116" spans="7:12" x14ac:dyDescent="0.2">
      <c r="G10116" s="45"/>
      <c r="L10116" s="8"/>
    </row>
    <row r="10117" spans="7:12" x14ac:dyDescent="0.2">
      <c r="G10117" s="45"/>
      <c r="L10117" s="8"/>
    </row>
    <row r="10118" spans="7:12" x14ac:dyDescent="0.2">
      <c r="G10118" s="45"/>
      <c r="L10118" s="8"/>
    </row>
    <row r="10119" spans="7:12" x14ac:dyDescent="0.2">
      <c r="G10119" s="45"/>
      <c r="L10119" s="8"/>
    </row>
    <row r="10120" spans="7:12" x14ac:dyDescent="0.2">
      <c r="G10120" s="45"/>
      <c r="L10120" s="8"/>
    </row>
    <row r="10121" spans="7:12" x14ac:dyDescent="0.2">
      <c r="G10121" s="45"/>
      <c r="L10121" s="8"/>
    </row>
    <row r="10122" spans="7:12" x14ac:dyDescent="0.2">
      <c r="G10122" s="45"/>
      <c r="L10122" s="8"/>
    </row>
    <row r="10123" spans="7:12" x14ac:dyDescent="0.2">
      <c r="G10123" s="45"/>
      <c r="L10123" s="8"/>
    </row>
    <row r="10124" spans="7:12" x14ac:dyDescent="0.2">
      <c r="G10124" s="45"/>
      <c r="L10124" s="8"/>
    </row>
    <row r="10125" spans="7:12" x14ac:dyDescent="0.2">
      <c r="G10125" s="45"/>
      <c r="L10125" s="8"/>
    </row>
    <row r="10126" spans="7:12" x14ac:dyDescent="0.2">
      <c r="G10126" s="45"/>
      <c r="L10126" s="8"/>
    </row>
    <row r="10127" spans="7:12" x14ac:dyDescent="0.2">
      <c r="G10127" s="45"/>
      <c r="L10127" s="8"/>
    </row>
    <row r="10128" spans="7:12" x14ac:dyDescent="0.2">
      <c r="G10128" s="45"/>
      <c r="L10128" s="8"/>
    </row>
    <row r="10129" spans="7:12" x14ac:dyDescent="0.2">
      <c r="G10129" s="45"/>
      <c r="L10129" s="8"/>
    </row>
    <row r="10130" spans="7:12" x14ac:dyDescent="0.2">
      <c r="G10130" s="45"/>
      <c r="L10130" s="8"/>
    </row>
    <row r="10131" spans="7:12" x14ac:dyDescent="0.2">
      <c r="G10131" s="45"/>
      <c r="L10131" s="8"/>
    </row>
    <row r="10132" spans="7:12" x14ac:dyDescent="0.2">
      <c r="G10132" s="45"/>
      <c r="L10132" s="8"/>
    </row>
    <row r="10133" spans="7:12" x14ac:dyDescent="0.2">
      <c r="G10133" s="45"/>
      <c r="L10133" s="8"/>
    </row>
    <row r="10134" spans="7:12" x14ac:dyDescent="0.2">
      <c r="G10134" s="45"/>
      <c r="L10134" s="8"/>
    </row>
    <row r="10135" spans="7:12" x14ac:dyDescent="0.2">
      <c r="G10135" s="45"/>
      <c r="L10135" s="8"/>
    </row>
    <row r="10136" spans="7:12" x14ac:dyDescent="0.2">
      <c r="G10136" s="45"/>
      <c r="L10136" s="8"/>
    </row>
    <row r="10137" spans="7:12" x14ac:dyDescent="0.2">
      <c r="G10137" s="45"/>
      <c r="L10137" s="8"/>
    </row>
    <row r="10138" spans="7:12" x14ac:dyDescent="0.2">
      <c r="G10138" s="45"/>
      <c r="L10138" s="8"/>
    </row>
    <row r="10139" spans="7:12" x14ac:dyDescent="0.2">
      <c r="G10139" s="45"/>
      <c r="L10139" s="8"/>
    </row>
    <row r="10140" spans="7:12" x14ac:dyDescent="0.2">
      <c r="G10140" s="45"/>
      <c r="L10140" s="8"/>
    </row>
    <row r="10141" spans="7:12" x14ac:dyDescent="0.2">
      <c r="G10141" s="45"/>
      <c r="L10141" s="8"/>
    </row>
    <row r="10142" spans="7:12" x14ac:dyDescent="0.2">
      <c r="G10142" s="45"/>
      <c r="L10142" s="8"/>
    </row>
    <row r="10143" spans="7:12" x14ac:dyDescent="0.2">
      <c r="G10143" s="45"/>
      <c r="L10143" s="8"/>
    </row>
    <row r="10144" spans="7:12" x14ac:dyDescent="0.2">
      <c r="G10144" s="45"/>
      <c r="L10144" s="8"/>
    </row>
    <row r="10145" spans="7:12" x14ac:dyDescent="0.2">
      <c r="G10145" s="45"/>
      <c r="L10145" s="8"/>
    </row>
    <row r="10146" spans="7:12" x14ac:dyDescent="0.2">
      <c r="G10146" s="45"/>
      <c r="L10146" s="8"/>
    </row>
    <row r="10147" spans="7:12" x14ac:dyDescent="0.2">
      <c r="G10147" s="45"/>
      <c r="L10147" s="8"/>
    </row>
    <row r="10148" spans="7:12" x14ac:dyDescent="0.2">
      <c r="G10148" s="45"/>
      <c r="L10148" s="8"/>
    </row>
    <row r="10149" spans="7:12" x14ac:dyDescent="0.2">
      <c r="G10149" s="45"/>
      <c r="L10149" s="8"/>
    </row>
    <row r="10150" spans="7:12" x14ac:dyDescent="0.2">
      <c r="G10150" s="45"/>
      <c r="L10150" s="8"/>
    </row>
    <row r="10151" spans="7:12" x14ac:dyDescent="0.2">
      <c r="G10151" s="45"/>
      <c r="L10151" s="8"/>
    </row>
    <row r="10152" spans="7:12" x14ac:dyDescent="0.2">
      <c r="G10152" s="45"/>
      <c r="L10152" s="8"/>
    </row>
    <row r="10153" spans="7:12" x14ac:dyDescent="0.2">
      <c r="G10153" s="45"/>
      <c r="L10153" s="8"/>
    </row>
    <row r="10154" spans="7:12" x14ac:dyDescent="0.2">
      <c r="G10154" s="45"/>
      <c r="L10154" s="8"/>
    </row>
    <row r="10155" spans="7:12" x14ac:dyDescent="0.2">
      <c r="G10155" s="45"/>
      <c r="L10155" s="8"/>
    </row>
    <row r="10156" spans="7:12" x14ac:dyDescent="0.2">
      <c r="G10156" s="45"/>
      <c r="L10156" s="8"/>
    </row>
    <row r="10157" spans="7:12" x14ac:dyDescent="0.2">
      <c r="G10157" s="45"/>
      <c r="L10157" s="8"/>
    </row>
    <row r="10158" spans="7:12" x14ac:dyDescent="0.2">
      <c r="G10158" s="45"/>
      <c r="L10158" s="8"/>
    </row>
    <row r="10159" spans="7:12" x14ac:dyDescent="0.2">
      <c r="G10159" s="45"/>
      <c r="L10159" s="8"/>
    </row>
    <row r="10160" spans="7:12" x14ac:dyDescent="0.2">
      <c r="G10160" s="45"/>
      <c r="L10160" s="8"/>
    </row>
    <row r="10161" spans="7:12" x14ac:dyDescent="0.2">
      <c r="G10161" s="45"/>
      <c r="L10161" s="8"/>
    </row>
    <row r="10162" spans="7:12" x14ac:dyDescent="0.2">
      <c r="G10162" s="45"/>
      <c r="L10162" s="8"/>
    </row>
    <row r="10163" spans="7:12" x14ac:dyDescent="0.2">
      <c r="G10163" s="45"/>
      <c r="L10163" s="8"/>
    </row>
    <row r="10164" spans="7:12" x14ac:dyDescent="0.2">
      <c r="G10164" s="45"/>
      <c r="L10164" s="8"/>
    </row>
    <row r="10165" spans="7:12" x14ac:dyDescent="0.2">
      <c r="G10165" s="45"/>
      <c r="L10165" s="8"/>
    </row>
    <row r="10166" spans="7:12" x14ac:dyDescent="0.2">
      <c r="G10166" s="45"/>
      <c r="L10166" s="8"/>
    </row>
    <row r="10167" spans="7:12" x14ac:dyDescent="0.2">
      <c r="G10167" s="45"/>
      <c r="L10167" s="8"/>
    </row>
    <row r="10168" spans="7:12" x14ac:dyDescent="0.2">
      <c r="G10168" s="45"/>
      <c r="L10168" s="8"/>
    </row>
    <row r="10169" spans="7:12" x14ac:dyDescent="0.2">
      <c r="G10169" s="45"/>
      <c r="L10169" s="8"/>
    </row>
    <row r="10170" spans="7:12" x14ac:dyDescent="0.2">
      <c r="G10170" s="45"/>
      <c r="L10170" s="8"/>
    </row>
    <row r="10171" spans="7:12" x14ac:dyDescent="0.2">
      <c r="G10171" s="45"/>
      <c r="L10171" s="8"/>
    </row>
    <row r="10172" spans="7:12" x14ac:dyDescent="0.2">
      <c r="G10172" s="45"/>
      <c r="L10172" s="8"/>
    </row>
    <row r="10173" spans="7:12" x14ac:dyDescent="0.2">
      <c r="G10173" s="45"/>
      <c r="L10173" s="8"/>
    </row>
    <row r="10174" spans="7:12" x14ac:dyDescent="0.2">
      <c r="G10174" s="45"/>
      <c r="L10174" s="8"/>
    </row>
    <row r="10175" spans="7:12" x14ac:dyDescent="0.2">
      <c r="G10175" s="45"/>
      <c r="L10175" s="8"/>
    </row>
    <row r="10176" spans="7:12" x14ac:dyDescent="0.2">
      <c r="G10176" s="45"/>
      <c r="L10176" s="8"/>
    </row>
    <row r="10177" spans="7:12" x14ac:dyDescent="0.2">
      <c r="G10177" s="45"/>
      <c r="L10177" s="8"/>
    </row>
    <row r="10178" spans="7:12" x14ac:dyDescent="0.2">
      <c r="G10178" s="45"/>
      <c r="L10178" s="8"/>
    </row>
    <row r="10179" spans="7:12" x14ac:dyDescent="0.2">
      <c r="G10179" s="45"/>
      <c r="L10179" s="8"/>
    </row>
    <row r="10180" spans="7:12" x14ac:dyDescent="0.2">
      <c r="G10180" s="45"/>
      <c r="L10180" s="8"/>
    </row>
    <row r="10181" spans="7:12" x14ac:dyDescent="0.2">
      <c r="G10181" s="45"/>
      <c r="L10181" s="8"/>
    </row>
    <row r="10182" spans="7:12" x14ac:dyDescent="0.2">
      <c r="G10182" s="45"/>
      <c r="L10182" s="8"/>
    </row>
    <row r="10183" spans="7:12" x14ac:dyDescent="0.2">
      <c r="G10183" s="45"/>
      <c r="L10183" s="8"/>
    </row>
    <row r="10184" spans="7:12" x14ac:dyDescent="0.2">
      <c r="G10184" s="45"/>
      <c r="L10184" s="8"/>
    </row>
    <row r="10185" spans="7:12" x14ac:dyDescent="0.2">
      <c r="G10185" s="45"/>
      <c r="L10185" s="8"/>
    </row>
    <row r="10186" spans="7:12" x14ac:dyDescent="0.2">
      <c r="G10186" s="45"/>
      <c r="L10186" s="8"/>
    </row>
    <row r="10187" spans="7:12" x14ac:dyDescent="0.2">
      <c r="G10187" s="45"/>
      <c r="L10187" s="8"/>
    </row>
    <row r="10188" spans="7:12" x14ac:dyDescent="0.2">
      <c r="G10188" s="45"/>
      <c r="L10188" s="8"/>
    </row>
    <row r="10189" spans="7:12" x14ac:dyDescent="0.2">
      <c r="G10189" s="45"/>
      <c r="L10189" s="8"/>
    </row>
    <row r="10190" spans="7:12" x14ac:dyDescent="0.2">
      <c r="G10190" s="45"/>
      <c r="L10190" s="8"/>
    </row>
    <row r="10191" spans="7:12" x14ac:dyDescent="0.2">
      <c r="G10191" s="45"/>
      <c r="L10191" s="8"/>
    </row>
    <row r="10192" spans="7:12" x14ac:dyDescent="0.2">
      <c r="G10192" s="45"/>
      <c r="L10192" s="8"/>
    </row>
    <row r="10193" spans="7:12" x14ac:dyDescent="0.2">
      <c r="G10193" s="45"/>
      <c r="L10193" s="8"/>
    </row>
    <row r="10194" spans="7:12" x14ac:dyDescent="0.2">
      <c r="G10194" s="45"/>
      <c r="L10194" s="8"/>
    </row>
    <row r="10195" spans="7:12" x14ac:dyDescent="0.2">
      <c r="G10195" s="45"/>
      <c r="L10195" s="8"/>
    </row>
    <row r="10196" spans="7:12" x14ac:dyDescent="0.2">
      <c r="G10196" s="45"/>
      <c r="L10196" s="8"/>
    </row>
    <row r="10197" spans="7:12" x14ac:dyDescent="0.2">
      <c r="G10197" s="45"/>
      <c r="L10197" s="8"/>
    </row>
    <row r="10198" spans="7:12" x14ac:dyDescent="0.2">
      <c r="G10198" s="45"/>
      <c r="L10198" s="8"/>
    </row>
    <row r="10199" spans="7:12" x14ac:dyDescent="0.2">
      <c r="G10199" s="45"/>
      <c r="L10199" s="8"/>
    </row>
    <row r="10200" spans="7:12" x14ac:dyDescent="0.2">
      <c r="G10200" s="45"/>
      <c r="L10200" s="8"/>
    </row>
    <row r="10201" spans="7:12" x14ac:dyDescent="0.2">
      <c r="G10201" s="45"/>
      <c r="L10201" s="8"/>
    </row>
    <row r="10202" spans="7:12" x14ac:dyDescent="0.2">
      <c r="G10202" s="45"/>
      <c r="L10202" s="8"/>
    </row>
    <row r="10203" spans="7:12" x14ac:dyDescent="0.2">
      <c r="G10203" s="45"/>
      <c r="L10203" s="8"/>
    </row>
    <row r="10204" spans="7:12" x14ac:dyDescent="0.2">
      <c r="G10204" s="45"/>
      <c r="L10204" s="8"/>
    </row>
    <row r="10205" spans="7:12" x14ac:dyDescent="0.2">
      <c r="G10205" s="45"/>
      <c r="L10205" s="8"/>
    </row>
    <row r="10206" spans="7:12" x14ac:dyDescent="0.2">
      <c r="G10206" s="45"/>
      <c r="L10206" s="8"/>
    </row>
    <row r="10207" spans="7:12" x14ac:dyDescent="0.2">
      <c r="G10207" s="45"/>
      <c r="L10207" s="8"/>
    </row>
    <row r="10208" spans="7:12" x14ac:dyDescent="0.2">
      <c r="G10208" s="45"/>
      <c r="L10208" s="8"/>
    </row>
    <row r="10209" spans="7:12" x14ac:dyDescent="0.2">
      <c r="G10209" s="45"/>
      <c r="L10209" s="8"/>
    </row>
    <row r="10210" spans="7:12" x14ac:dyDescent="0.2">
      <c r="G10210" s="45"/>
      <c r="L10210" s="8"/>
    </row>
    <row r="10211" spans="7:12" x14ac:dyDescent="0.2">
      <c r="G10211" s="45"/>
      <c r="L10211" s="8"/>
    </row>
    <row r="10212" spans="7:12" x14ac:dyDescent="0.2">
      <c r="G10212" s="45"/>
      <c r="L10212" s="8"/>
    </row>
    <row r="10213" spans="7:12" x14ac:dyDescent="0.2">
      <c r="G10213" s="45"/>
      <c r="L10213" s="8"/>
    </row>
    <row r="10214" spans="7:12" x14ac:dyDescent="0.2">
      <c r="G10214" s="45"/>
      <c r="L10214" s="8"/>
    </row>
    <row r="10215" spans="7:12" x14ac:dyDescent="0.2">
      <c r="G10215" s="45"/>
      <c r="L10215" s="8"/>
    </row>
    <row r="10216" spans="7:12" x14ac:dyDescent="0.2">
      <c r="G10216" s="45"/>
      <c r="L10216" s="8"/>
    </row>
    <row r="10217" spans="7:12" x14ac:dyDescent="0.2">
      <c r="G10217" s="45"/>
      <c r="L10217" s="8"/>
    </row>
    <row r="10218" spans="7:12" x14ac:dyDescent="0.2">
      <c r="G10218" s="45"/>
      <c r="L10218" s="8"/>
    </row>
    <row r="10219" spans="7:12" x14ac:dyDescent="0.2">
      <c r="G10219" s="45"/>
      <c r="L10219" s="8"/>
    </row>
    <row r="10220" spans="7:12" x14ac:dyDescent="0.2">
      <c r="G10220" s="45"/>
      <c r="L10220" s="8"/>
    </row>
    <row r="10221" spans="7:12" x14ac:dyDescent="0.2">
      <c r="G10221" s="45"/>
      <c r="L10221" s="8"/>
    </row>
    <row r="10222" spans="7:12" x14ac:dyDescent="0.2">
      <c r="G10222" s="45"/>
      <c r="L10222" s="8"/>
    </row>
    <row r="10223" spans="7:12" x14ac:dyDescent="0.2">
      <c r="G10223" s="45"/>
      <c r="L10223" s="8"/>
    </row>
    <row r="10224" spans="7:12" x14ac:dyDescent="0.2">
      <c r="G10224" s="45"/>
      <c r="L10224" s="8"/>
    </row>
    <row r="10225" spans="7:12" x14ac:dyDescent="0.2">
      <c r="G10225" s="45"/>
      <c r="L10225" s="8"/>
    </row>
    <row r="10226" spans="7:12" x14ac:dyDescent="0.2">
      <c r="G10226" s="45"/>
      <c r="L10226" s="8"/>
    </row>
    <row r="10227" spans="7:12" x14ac:dyDescent="0.2">
      <c r="G10227" s="45"/>
      <c r="L10227" s="8"/>
    </row>
    <row r="10228" spans="7:12" x14ac:dyDescent="0.2">
      <c r="G10228" s="45"/>
      <c r="L10228" s="8"/>
    </row>
    <row r="10229" spans="7:12" x14ac:dyDescent="0.2">
      <c r="G10229" s="45"/>
      <c r="L10229" s="8"/>
    </row>
    <row r="10230" spans="7:12" x14ac:dyDescent="0.2">
      <c r="G10230" s="45"/>
      <c r="L10230" s="8"/>
    </row>
    <row r="10231" spans="7:12" x14ac:dyDescent="0.2">
      <c r="G10231" s="45"/>
      <c r="L10231" s="8"/>
    </row>
    <row r="10232" spans="7:12" x14ac:dyDescent="0.2">
      <c r="G10232" s="45"/>
      <c r="L10232" s="8"/>
    </row>
    <row r="10233" spans="7:12" x14ac:dyDescent="0.2">
      <c r="G10233" s="45"/>
      <c r="L10233" s="8"/>
    </row>
    <row r="10234" spans="7:12" x14ac:dyDescent="0.2">
      <c r="G10234" s="45"/>
      <c r="L10234" s="8"/>
    </row>
    <row r="10235" spans="7:12" x14ac:dyDescent="0.2">
      <c r="G10235" s="45"/>
      <c r="L10235" s="8"/>
    </row>
    <row r="10236" spans="7:12" x14ac:dyDescent="0.2">
      <c r="G10236" s="45"/>
      <c r="L10236" s="8"/>
    </row>
    <row r="10237" spans="7:12" x14ac:dyDescent="0.2">
      <c r="G10237" s="45"/>
      <c r="L10237" s="8"/>
    </row>
    <row r="10238" spans="7:12" x14ac:dyDescent="0.2">
      <c r="G10238" s="45"/>
      <c r="L10238" s="8"/>
    </row>
    <row r="10239" spans="7:12" x14ac:dyDescent="0.2">
      <c r="G10239" s="45"/>
      <c r="L10239" s="8"/>
    </row>
    <row r="10240" spans="7:12" x14ac:dyDescent="0.2">
      <c r="G10240" s="45"/>
      <c r="L10240" s="8"/>
    </row>
    <row r="10241" spans="7:12" x14ac:dyDescent="0.2">
      <c r="G10241" s="45"/>
      <c r="L10241" s="8"/>
    </row>
    <row r="10242" spans="7:12" x14ac:dyDescent="0.2">
      <c r="G10242" s="45"/>
      <c r="L10242" s="8"/>
    </row>
    <row r="10243" spans="7:12" x14ac:dyDescent="0.2">
      <c r="G10243" s="45"/>
      <c r="L10243" s="8"/>
    </row>
    <row r="10244" spans="7:12" x14ac:dyDescent="0.2">
      <c r="G10244" s="45"/>
      <c r="L10244" s="8"/>
    </row>
    <row r="10245" spans="7:12" x14ac:dyDescent="0.2">
      <c r="G10245" s="45"/>
      <c r="L10245" s="8"/>
    </row>
    <row r="10246" spans="7:12" x14ac:dyDescent="0.2">
      <c r="G10246" s="45"/>
      <c r="L10246" s="8"/>
    </row>
    <row r="10247" spans="7:12" x14ac:dyDescent="0.2">
      <c r="G10247" s="45"/>
      <c r="L10247" s="8"/>
    </row>
    <row r="10248" spans="7:12" x14ac:dyDescent="0.2">
      <c r="G10248" s="45"/>
      <c r="L10248" s="8"/>
    </row>
    <row r="10249" spans="7:12" x14ac:dyDescent="0.2">
      <c r="G10249" s="45"/>
      <c r="L10249" s="8"/>
    </row>
    <row r="10250" spans="7:12" x14ac:dyDescent="0.2">
      <c r="G10250" s="45"/>
      <c r="L10250" s="8"/>
    </row>
    <row r="10251" spans="7:12" x14ac:dyDescent="0.2">
      <c r="G10251" s="45"/>
      <c r="L10251" s="8"/>
    </row>
    <row r="10252" spans="7:12" x14ac:dyDescent="0.2">
      <c r="G10252" s="45"/>
      <c r="L10252" s="8"/>
    </row>
    <row r="10253" spans="7:12" x14ac:dyDescent="0.2">
      <c r="G10253" s="45"/>
      <c r="L10253" s="8"/>
    </row>
    <row r="10254" spans="7:12" x14ac:dyDescent="0.2">
      <c r="G10254" s="45"/>
      <c r="L10254" s="8"/>
    </row>
    <row r="10255" spans="7:12" x14ac:dyDescent="0.2">
      <c r="G10255" s="45"/>
      <c r="L10255" s="8"/>
    </row>
    <row r="10256" spans="7:12" x14ac:dyDescent="0.2">
      <c r="G10256" s="45"/>
      <c r="L10256" s="8"/>
    </row>
    <row r="10257" spans="7:12" x14ac:dyDescent="0.2">
      <c r="G10257" s="45"/>
      <c r="L10257" s="8"/>
    </row>
    <row r="10258" spans="7:12" x14ac:dyDescent="0.2">
      <c r="G10258" s="45"/>
      <c r="L10258" s="8"/>
    </row>
    <row r="10259" spans="7:12" x14ac:dyDescent="0.2">
      <c r="G10259" s="45"/>
      <c r="L10259" s="8"/>
    </row>
    <row r="10260" spans="7:12" x14ac:dyDescent="0.2">
      <c r="G10260" s="45"/>
      <c r="L10260" s="8"/>
    </row>
    <row r="10261" spans="7:12" x14ac:dyDescent="0.2">
      <c r="G10261" s="45"/>
      <c r="L10261" s="8"/>
    </row>
    <row r="10262" spans="7:12" x14ac:dyDescent="0.2">
      <c r="G10262" s="45"/>
      <c r="L10262" s="8"/>
    </row>
    <row r="10263" spans="7:12" x14ac:dyDescent="0.2">
      <c r="G10263" s="45"/>
      <c r="L10263" s="8"/>
    </row>
    <row r="10264" spans="7:12" x14ac:dyDescent="0.2">
      <c r="G10264" s="45"/>
      <c r="L10264" s="8"/>
    </row>
    <row r="10265" spans="7:12" x14ac:dyDescent="0.2">
      <c r="G10265" s="45"/>
      <c r="L10265" s="8"/>
    </row>
    <row r="10266" spans="7:12" x14ac:dyDescent="0.2">
      <c r="G10266" s="45"/>
      <c r="L10266" s="8"/>
    </row>
    <row r="10267" spans="7:12" x14ac:dyDescent="0.2">
      <c r="G10267" s="45"/>
      <c r="L10267" s="8"/>
    </row>
    <row r="10268" spans="7:12" x14ac:dyDescent="0.2">
      <c r="G10268" s="45"/>
      <c r="L10268" s="8"/>
    </row>
    <row r="10269" spans="7:12" x14ac:dyDescent="0.2">
      <c r="G10269" s="45"/>
      <c r="L10269" s="8"/>
    </row>
    <row r="10270" spans="7:12" x14ac:dyDescent="0.2">
      <c r="G10270" s="45"/>
      <c r="L10270" s="8"/>
    </row>
    <row r="10271" spans="7:12" x14ac:dyDescent="0.2">
      <c r="G10271" s="45"/>
      <c r="L10271" s="8"/>
    </row>
    <row r="10272" spans="7:12" x14ac:dyDescent="0.2">
      <c r="G10272" s="45"/>
      <c r="L10272" s="8"/>
    </row>
    <row r="10273" spans="7:12" x14ac:dyDescent="0.2">
      <c r="G10273" s="45"/>
      <c r="L10273" s="8"/>
    </row>
    <row r="10274" spans="7:12" x14ac:dyDescent="0.2">
      <c r="G10274" s="45"/>
      <c r="L10274" s="8"/>
    </row>
    <row r="10275" spans="7:12" x14ac:dyDescent="0.2">
      <c r="G10275" s="45"/>
      <c r="L10275" s="8"/>
    </row>
    <row r="10276" spans="7:12" x14ac:dyDescent="0.2">
      <c r="G10276" s="45"/>
      <c r="L10276" s="8"/>
    </row>
    <row r="10277" spans="7:12" x14ac:dyDescent="0.2">
      <c r="G10277" s="45"/>
      <c r="L10277" s="8"/>
    </row>
    <row r="10278" spans="7:12" x14ac:dyDescent="0.2">
      <c r="G10278" s="45"/>
      <c r="L10278" s="8"/>
    </row>
    <row r="10279" spans="7:12" x14ac:dyDescent="0.2">
      <c r="G10279" s="45"/>
      <c r="L10279" s="8"/>
    </row>
    <row r="10280" spans="7:12" x14ac:dyDescent="0.2">
      <c r="G10280" s="45"/>
      <c r="L10280" s="8"/>
    </row>
    <row r="10281" spans="7:12" x14ac:dyDescent="0.2">
      <c r="G10281" s="45"/>
      <c r="L10281" s="8"/>
    </row>
    <row r="10282" spans="7:12" x14ac:dyDescent="0.2">
      <c r="G10282" s="45"/>
      <c r="L10282" s="8"/>
    </row>
    <row r="10283" spans="7:12" x14ac:dyDescent="0.2">
      <c r="G10283" s="45"/>
      <c r="L10283" s="8"/>
    </row>
    <row r="10284" spans="7:12" x14ac:dyDescent="0.2">
      <c r="G10284" s="45"/>
      <c r="L10284" s="8"/>
    </row>
    <row r="10285" spans="7:12" x14ac:dyDescent="0.2">
      <c r="G10285" s="45"/>
      <c r="L10285" s="8"/>
    </row>
    <row r="10286" spans="7:12" x14ac:dyDescent="0.2">
      <c r="G10286" s="45"/>
      <c r="L10286" s="8"/>
    </row>
    <row r="10287" spans="7:12" x14ac:dyDescent="0.2">
      <c r="G10287" s="45"/>
      <c r="L10287" s="8"/>
    </row>
    <row r="10288" spans="7:12" x14ac:dyDescent="0.2">
      <c r="G10288" s="45"/>
      <c r="L10288" s="8"/>
    </row>
    <row r="10289" spans="7:12" x14ac:dyDescent="0.2">
      <c r="G10289" s="45"/>
      <c r="L10289" s="8"/>
    </row>
    <row r="10290" spans="7:12" x14ac:dyDescent="0.2">
      <c r="G10290" s="45"/>
      <c r="L10290" s="8"/>
    </row>
    <row r="10291" spans="7:12" x14ac:dyDescent="0.2">
      <c r="G10291" s="45"/>
      <c r="L10291" s="8"/>
    </row>
    <row r="10292" spans="7:12" x14ac:dyDescent="0.2">
      <c r="G10292" s="45"/>
      <c r="L10292" s="8"/>
    </row>
    <row r="10293" spans="7:12" x14ac:dyDescent="0.2">
      <c r="G10293" s="45"/>
      <c r="L10293" s="8"/>
    </row>
    <row r="10294" spans="7:12" x14ac:dyDescent="0.2">
      <c r="G10294" s="45"/>
      <c r="L10294" s="8"/>
    </row>
    <row r="10295" spans="7:12" x14ac:dyDescent="0.2">
      <c r="G10295" s="45"/>
      <c r="L10295" s="8"/>
    </row>
    <row r="10296" spans="7:12" x14ac:dyDescent="0.2">
      <c r="G10296" s="45"/>
      <c r="L10296" s="8"/>
    </row>
    <row r="10297" spans="7:12" x14ac:dyDescent="0.2">
      <c r="G10297" s="45"/>
      <c r="L10297" s="8"/>
    </row>
    <row r="10298" spans="7:12" x14ac:dyDescent="0.2">
      <c r="G10298" s="45"/>
      <c r="L10298" s="8"/>
    </row>
    <row r="10299" spans="7:12" x14ac:dyDescent="0.2">
      <c r="G10299" s="45"/>
      <c r="L10299" s="8"/>
    </row>
    <row r="10300" spans="7:12" x14ac:dyDescent="0.2">
      <c r="G10300" s="45"/>
      <c r="L10300" s="8"/>
    </row>
    <row r="10301" spans="7:12" x14ac:dyDescent="0.2">
      <c r="G10301" s="45"/>
      <c r="L10301" s="8"/>
    </row>
    <row r="10302" spans="7:12" x14ac:dyDescent="0.2">
      <c r="G10302" s="45"/>
      <c r="L10302" s="8"/>
    </row>
    <row r="10303" spans="7:12" x14ac:dyDescent="0.2">
      <c r="G10303" s="45"/>
      <c r="L10303" s="8"/>
    </row>
    <row r="10304" spans="7:12" x14ac:dyDescent="0.2">
      <c r="G10304" s="45"/>
      <c r="L10304" s="8"/>
    </row>
    <row r="10305" spans="7:12" x14ac:dyDescent="0.2">
      <c r="G10305" s="45"/>
      <c r="L10305" s="8"/>
    </row>
    <row r="10306" spans="7:12" x14ac:dyDescent="0.2">
      <c r="G10306" s="45"/>
      <c r="L10306" s="8"/>
    </row>
    <row r="10307" spans="7:12" x14ac:dyDescent="0.2">
      <c r="G10307" s="45"/>
      <c r="L10307" s="8"/>
    </row>
    <row r="10308" spans="7:12" x14ac:dyDescent="0.2">
      <c r="G10308" s="45"/>
      <c r="L10308" s="8"/>
    </row>
    <row r="10309" spans="7:12" x14ac:dyDescent="0.2">
      <c r="G10309" s="45"/>
      <c r="L10309" s="8"/>
    </row>
    <row r="10310" spans="7:12" x14ac:dyDescent="0.2">
      <c r="G10310" s="45"/>
      <c r="L10310" s="8"/>
    </row>
    <row r="10311" spans="7:12" x14ac:dyDescent="0.2">
      <c r="G10311" s="45"/>
      <c r="L10311" s="8"/>
    </row>
    <row r="10312" spans="7:12" x14ac:dyDescent="0.2">
      <c r="G10312" s="45"/>
      <c r="L10312" s="8"/>
    </row>
    <row r="10313" spans="7:12" x14ac:dyDescent="0.2">
      <c r="G10313" s="45"/>
      <c r="L10313" s="8"/>
    </row>
    <row r="10314" spans="7:12" x14ac:dyDescent="0.2">
      <c r="G10314" s="45"/>
      <c r="L10314" s="8"/>
    </row>
    <row r="10315" spans="7:12" x14ac:dyDescent="0.2">
      <c r="G10315" s="45"/>
      <c r="L10315" s="8"/>
    </row>
    <row r="10316" spans="7:12" x14ac:dyDescent="0.2">
      <c r="G10316" s="45"/>
      <c r="L10316" s="8"/>
    </row>
    <row r="10317" spans="7:12" x14ac:dyDescent="0.2">
      <c r="G10317" s="45"/>
      <c r="L10317" s="8"/>
    </row>
    <row r="10318" spans="7:12" x14ac:dyDescent="0.2">
      <c r="G10318" s="45"/>
      <c r="L10318" s="8"/>
    </row>
    <row r="10319" spans="7:12" x14ac:dyDescent="0.2">
      <c r="G10319" s="45"/>
      <c r="L10319" s="8"/>
    </row>
    <row r="10320" spans="7:12" x14ac:dyDescent="0.2">
      <c r="G10320" s="45"/>
      <c r="L10320" s="8"/>
    </row>
    <row r="10321" spans="7:12" x14ac:dyDescent="0.2">
      <c r="G10321" s="45"/>
      <c r="L10321" s="8"/>
    </row>
    <row r="10322" spans="7:12" x14ac:dyDescent="0.2">
      <c r="G10322" s="45"/>
      <c r="L10322" s="8"/>
    </row>
    <row r="10323" spans="7:12" x14ac:dyDescent="0.2">
      <c r="G10323" s="45"/>
      <c r="L10323" s="8"/>
    </row>
    <row r="10324" spans="7:12" x14ac:dyDescent="0.2">
      <c r="G10324" s="45"/>
      <c r="L10324" s="8"/>
    </row>
    <row r="10325" spans="7:12" x14ac:dyDescent="0.2">
      <c r="G10325" s="45"/>
      <c r="L10325" s="8"/>
    </row>
    <row r="10326" spans="7:12" x14ac:dyDescent="0.2">
      <c r="G10326" s="45"/>
      <c r="L10326" s="8"/>
    </row>
    <row r="10327" spans="7:12" x14ac:dyDescent="0.2">
      <c r="G10327" s="45"/>
      <c r="L10327" s="8"/>
    </row>
    <row r="10328" spans="7:12" x14ac:dyDescent="0.2">
      <c r="G10328" s="45"/>
      <c r="L10328" s="8"/>
    </row>
    <row r="10329" spans="7:12" x14ac:dyDescent="0.2">
      <c r="G10329" s="45"/>
      <c r="L10329" s="8"/>
    </row>
    <row r="10330" spans="7:12" x14ac:dyDescent="0.2">
      <c r="G10330" s="45"/>
      <c r="L10330" s="8"/>
    </row>
    <row r="10331" spans="7:12" x14ac:dyDescent="0.2">
      <c r="G10331" s="45"/>
      <c r="L10331" s="8"/>
    </row>
    <row r="10332" spans="7:12" x14ac:dyDescent="0.2">
      <c r="G10332" s="45"/>
      <c r="L10332" s="8"/>
    </row>
    <row r="10333" spans="7:12" x14ac:dyDescent="0.2">
      <c r="G10333" s="45"/>
      <c r="L10333" s="8"/>
    </row>
    <row r="10334" spans="7:12" x14ac:dyDescent="0.2">
      <c r="G10334" s="45"/>
      <c r="L10334" s="8"/>
    </row>
    <row r="10335" spans="7:12" x14ac:dyDescent="0.2">
      <c r="G10335" s="45"/>
      <c r="L10335" s="8"/>
    </row>
    <row r="10336" spans="7:12" x14ac:dyDescent="0.2">
      <c r="G10336" s="45"/>
      <c r="L10336" s="8"/>
    </row>
    <row r="10337" spans="7:12" x14ac:dyDescent="0.2">
      <c r="G10337" s="45"/>
      <c r="L10337" s="8"/>
    </row>
    <row r="10338" spans="7:12" x14ac:dyDescent="0.2">
      <c r="G10338" s="45"/>
      <c r="L10338" s="8"/>
    </row>
    <row r="10339" spans="7:12" x14ac:dyDescent="0.2">
      <c r="G10339" s="45"/>
      <c r="L10339" s="8"/>
    </row>
    <row r="10340" spans="7:12" x14ac:dyDescent="0.2">
      <c r="G10340" s="45"/>
      <c r="L10340" s="8"/>
    </row>
    <row r="10341" spans="7:12" x14ac:dyDescent="0.2">
      <c r="G10341" s="45"/>
      <c r="L10341" s="8"/>
    </row>
    <row r="10342" spans="7:12" x14ac:dyDescent="0.2">
      <c r="G10342" s="45"/>
      <c r="L10342" s="8"/>
    </row>
    <row r="10343" spans="7:12" x14ac:dyDescent="0.2">
      <c r="G10343" s="45"/>
      <c r="L10343" s="8"/>
    </row>
    <row r="10344" spans="7:12" x14ac:dyDescent="0.2">
      <c r="G10344" s="45"/>
      <c r="L10344" s="8"/>
    </row>
    <row r="10345" spans="7:12" x14ac:dyDescent="0.2">
      <c r="G10345" s="45"/>
      <c r="L10345" s="8"/>
    </row>
    <row r="10346" spans="7:12" x14ac:dyDescent="0.2">
      <c r="G10346" s="45"/>
      <c r="L10346" s="8"/>
    </row>
    <row r="10347" spans="7:12" x14ac:dyDescent="0.2">
      <c r="G10347" s="45"/>
      <c r="L10347" s="8"/>
    </row>
    <row r="10348" spans="7:12" x14ac:dyDescent="0.2">
      <c r="G10348" s="45"/>
      <c r="L10348" s="8"/>
    </row>
    <row r="10349" spans="7:12" x14ac:dyDescent="0.2">
      <c r="G10349" s="45"/>
      <c r="L10349" s="8"/>
    </row>
    <row r="10350" spans="7:12" x14ac:dyDescent="0.2">
      <c r="G10350" s="45"/>
      <c r="L10350" s="8"/>
    </row>
    <row r="10351" spans="7:12" x14ac:dyDescent="0.2">
      <c r="G10351" s="45"/>
      <c r="L10351" s="8"/>
    </row>
    <row r="10352" spans="7:12" x14ac:dyDescent="0.2">
      <c r="G10352" s="45"/>
      <c r="L10352" s="8"/>
    </row>
    <row r="10353" spans="7:12" x14ac:dyDescent="0.2">
      <c r="G10353" s="45"/>
      <c r="L10353" s="8"/>
    </row>
    <row r="10354" spans="7:12" x14ac:dyDescent="0.2">
      <c r="G10354" s="45"/>
      <c r="L10354" s="8"/>
    </row>
    <row r="10355" spans="7:12" x14ac:dyDescent="0.2">
      <c r="G10355" s="45"/>
      <c r="L10355" s="8"/>
    </row>
    <row r="10356" spans="7:12" x14ac:dyDescent="0.2">
      <c r="G10356" s="45"/>
      <c r="L10356" s="8"/>
    </row>
    <row r="10357" spans="7:12" x14ac:dyDescent="0.2">
      <c r="G10357" s="45"/>
      <c r="L10357" s="8"/>
    </row>
    <row r="10358" spans="7:12" x14ac:dyDescent="0.2">
      <c r="G10358" s="45"/>
      <c r="L10358" s="8"/>
    </row>
    <row r="10359" spans="7:12" x14ac:dyDescent="0.2">
      <c r="G10359" s="45"/>
      <c r="L10359" s="8"/>
    </row>
    <row r="10360" spans="7:12" x14ac:dyDescent="0.2">
      <c r="G10360" s="45"/>
      <c r="L10360" s="8"/>
    </row>
    <row r="10361" spans="7:12" x14ac:dyDescent="0.2">
      <c r="G10361" s="45"/>
      <c r="L10361" s="8"/>
    </row>
    <row r="10362" spans="7:12" x14ac:dyDescent="0.2">
      <c r="G10362" s="45"/>
      <c r="L10362" s="8"/>
    </row>
    <row r="10363" spans="7:12" x14ac:dyDescent="0.2">
      <c r="G10363" s="45"/>
      <c r="L10363" s="8"/>
    </row>
    <row r="10364" spans="7:12" x14ac:dyDescent="0.2">
      <c r="G10364" s="45"/>
      <c r="L10364" s="8"/>
    </row>
    <row r="10365" spans="7:12" x14ac:dyDescent="0.2">
      <c r="G10365" s="45"/>
      <c r="L10365" s="8"/>
    </row>
    <row r="10366" spans="7:12" x14ac:dyDescent="0.2">
      <c r="G10366" s="45"/>
      <c r="L10366" s="8"/>
    </row>
    <row r="10367" spans="7:12" x14ac:dyDescent="0.2">
      <c r="G10367" s="45"/>
      <c r="L10367" s="8"/>
    </row>
    <row r="10368" spans="7:12" x14ac:dyDescent="0.2">
      <c r="G10368" s="45"/>
      <c r="L10368" s="8"/>
    </row>
    <row r="10369" spans="7:12" x14ac:dyDescent="0.2">
      <c r="G10369" s="45"/>
      <c r="L10369" s="8"/>
    </row>
    <row r="10370" spans="7:12" x14ac:dyDescent="0.2">
      <c r="G10370" s="45"/>
      <c r="L10370" s="8"/>
    </row>
    <row r="10371" spans="7:12" x14ac:dyDescent="0.2">
      <c r="G10371" s="45"/>
      <c r="L10371" s="8"/>
    </row>
    <row r="10372" spans="7:12" x14ac:dyDescent="0.2">
      <c r="G10372" s="45"/>
      <c r="L10372" s="8"/>
    </row>
    <row r="10373" spans="7:12" x14ac:dyDescent="0.2">
      <c r="G10373" s="45"/>
      <c r="L10373" s="8"/>
    </row>
    <row r="10374" spans="7:12" x14ac:dyDescent="0.2">
      <c r="G10374" s="45"/>
      <c r="L10374" s="8"/>
    </row>
    <row r="10375" spans="7:12" x14ac:dyDescent="0.2">
      <c r="G10375" s="45"/>
      <c r="L10375" s="8"/>
    </row>
    <row r="10376" spans="7:12" x14ac:dyDescent="0.2">
      <c r="G10376" s="45"/>
      <c r="L10376" s="8"/>
    </row>
    <row r="10377" spans="7:12" x14ac:dyDescent="0.2">
      <c r="G10377" s="45"/>
      <c r="L10377" s="8"/>
    </row>
    <row r="10378" spans="7:12" x14ac:dyDescent="0.2">
      <c r="G10378" s="45"/>
      <c r="L10378" s="8"/>
    </row>
    <row r="10379" spans="7:12" x14ac:dyDescent="0.2">
      <c r="G10379" s="45"/>
      <c r="L10379" s="8"/>
    </row>
    <row r="10380" spans="7:12" x14ac:dyDescent="0.2">
      <c r="G10380" s="45"/>
      <c r="L10380" s="8"/>
    </row>
    <row r="10381" spans="7:12" x14ac:dyDescent="0.2">
      <c r="G10381" s="45"/>
      <c r="L10381" s="8"/>
    </row>
    <row r="10382" spans="7:12" x14ac:dyDescent="0.2">
      <c r="G10382" s="45"/>
      <c r="L10382" s="8"/>
    </row>
    <row r="10383" spans="7:12" x14ac:dyDescent="0.2">
      <c r="G10383" s="45"/>
      <c r="L10383" s="8"/>
    </row>
    <row r="10384" spans="7:12" x14ac:dyDescent="0.2">
      <c r="G10384" s="45"/>
      <c r="L10384" s="8"/>
    </row>
    <row r="10385" spans="7:12" x14ac:dyDescent="0.2">
      <c r="G10385" s="45"/>
      <c r="L10385" s="8"/>
    </row>
    <row r="10386" spans="7:12" x14ac:dyDescent="0.2">
      <c r="G10386" s="45"/>
      <c r="L10386" s="8"/>
    </row>
    <row r="10387" spans="7:12" x14ac:dyDescent="0.2">
      <c r="G10387" s="45"/>
      <c r="L10387" s="8"/>
    </row>
    <row r="10388" spans="7:12" x14ac:dyDescent="0.2">
      <c r="G10388" s="45"/>
      <c r="L10388" s="8"/>
    </row>
    <row r="10389" spans="7:12" x14ac:dyDescent="0.2">
      <c r="G10389" s="45"/>
      <c r="L10389" s="8"/>
    </row>
    <row r="10390" spans="7:12" x14ac:dyDescent="0.2">
      <c r="G10390" s="45"/>
      <c r="L10390" s="8"/>
    </row>
    <row r="10391" spans="7:12" x14ac:dyDescent="0.2">
      <c r="G10391" s="45"/>
      <c r="L10391" s="8"/>
    </row>
    <row r="10392" spans="7:12" x14ac:dyDescent="0.2">
      <c r="G10392" s="45"/>
      <c r="L10392" s="8"/>
    </row>
    <row r="10393" spans="7:12" x14ac:dyDescent="0.2">
      <c r="G10393" s="45"/>
      <c r="L10393" s="8"/>
    </row>
    <row r="10394" spans="7:12" x14ac:dyDescent="0.2">
      <c r="G10394" s="45"/>
      <c r="L10394" s="8"/>
    </row>
    <row r="10395" spans="7:12" x14ac:dyDescent="0.2">
      <c r="G10395" s="45"/>
      <c r="L10395" s="8"/>
    </row>
    <row r="10396" spans="7:12" x14ac:dyDescent="0.2">
      <c r="G10396" s="45"/>
      <c r="L10396" s="8"/>
    </row>
    <row r="10397" spans="7:12" x14ac:dyDescent="0.2">
      <c r="G10397" s="45"/>
      <c r="L10397" s="8"/>
    </row>
    <row r="10398" spans="7:12" x14ac:dyDescent="0.2">
      <c r="G10398" s="45"/>
      <c r="L10398" s="8"/>
    </row>
    <row r="10399" spans="7:12" x14ac:dyDescent="0.2">
      <c r="G10399" s="45"/>
      <c r="L10399" s="8"/>
    </row>
    <row r="10400" spans="7:12" x14ac:dyDescent="0.2">
      <c r="G10400" s="45"/>
      <c r="L10400" s="8"/>
    </row>
    <row r="10401" spans="7:12" x14ac:dyDescent="0.2">
      <c r="G10401" s="45"/>
      <c r="L10401" s="8"/>
    </row>
    <row r="10402" spans="7:12" x14ac:dyDescent="0.2">
      <c r="G10402" s="45"/>
      <c r="L10402" s="8"/>
    </row>
    <row r="10403" spans="7:12" x14ac:dyDescent="0.2">
      <c r="G10403" s="45"/>
      <c r="L10403" s="8"/>
    </row>
    <row r="10404" spans="7:12" x14ac:dyDescent="0.2">
      <c r="G10404" s="45"/>
      <c r="L10404" s="8"/>
    </row>
    <row r="10405" spans="7:12" x14ac:dyDescent="0.2">
      <c r="G10405" s="45"/>
      <c r="L10405" s="8"/>
    </row>
    <row r="10406" spans="7:12" x14ac:dyDescent="0.2">
      <c r="G10406" s="45"/>
      <c r="L10406" s="8"/>
    </row>
    <row r="10407" spans="7:12" x14ac:dyDescent="0.2">
      <c r="G10407" s="45"/>
      <c r="L10407" s="8"/>
    </row>
    <row r="10408" spans="7:12" x14ac:dyDescent="0.2">
      <c r="G10408" s="45"/>
      <c r="L10408" s="8"/>
    </row>
    <row r="10409" spans="7:12" x14ac:dyDescent="0.2">
      <c r="G10409" s="45"/>
      <c r="L10409" s="8"/>
    </row>
    <row r="10410" spans="7:12" x14ac:dyDescent="0.2">
      <c r="G10410" s="45"/>
      <c r="L10410" s="8"/>
    </row>
    <row r="10411" spans="7:12" x14ac:dyDescent="0.2">
      <c r="G10411" s="45"/>
      <c r="L10411" s="8"/>
    </row>
    <row r="10412" spans="7:12" x14ac:dyDescent="0.2">
      <c r="G10412" s="45"/>
      <c r="L10412" s="8"/>
    </row>
    <row r="10413" spans="7:12" x14ac:dyDescent="0.2">
      <c r="G10413" s="45"/>
      <c r="L10413" s="8"/>
    </row>
    <row r="10414" spans="7:12" x14ac:dyDescent="0.2">
      <c r="G10414" s="45"/>
      <c r="L10414" s="8"/>
    </row>
    <row r="10415" spans="7:12" x14ac:dyDescent="0.2">
      <c r="G10415" s="45"/>
      <c r="L10415" s="8"/>
    </row>
    <row r="10416" spans="7:12" x14ac:dyDescent="0.2">
      <c r="G10416" s="45"/>
      <c r="L10416" s="8"/>
    </row>
    <row r="10417" spans="7:12" x14ac:dyDescent="0.2">
      <c r="G10417" s="45"/>
      <c r="L10417" s="8"/>
    </row>
    <row r="10418" spans="7:12" x14ac:dyDescent="0.2">
      <c r="G10418" s="45"/>
      <c r="L10418" s="8"/>
    </row>
    <row r="10419" spans="7:12" x14ac:dyDescent="0.2">
      <c r="G10419" s="45"/>
      <c r="L10419" s="8"/>
    </row>
    <row r="10420" spans="7:12" x14ac:dyDescent="0.2">
      <c r="G10420" s="45"/>
      <c r="L10420" s="8"/>
    </row>
    <row r="10421" spans="7:12" x14ac:dyDescent="0.2">
      <c r="G10421" s="45"/>
      <c r="L10421" s="8"/>
    </row>
    <row r="10422" spans="7:12" x14ac:dyDescent="0.2">
      <c r="G10422" s="45"/>
      <c r="L10422" s="8"/>
    </row>
    <row r="10423" spans="7:12" x14ac:dyDescent="0.2">
      <c r="G10423" s="45"/>
      <c r="L10423" s="8"/>
    </row>
    <row r="10424" spans="7:12" x14ac:dyDescent="0.2">
      <c r="G10424" s="45"/>
      <c r="L10424" s="8"/>
    </row>
    <row r="10425" spans="7:12" x14ac:dyDescent="0.2">
      <c r="G10425" s="45"/>
      <c r="L10425" s="8"/>
    </row>
    <row r="10426" spans="7:12" x14ac:dyDescent="0.2">
      <c r="G10426" s="45"/>
      <c r="L10426" s="8"/>
    </row>
    <row r="10427" spans="7:12" x14ac:dyDescent="0.2">
      <c r="G10427" s="45"/>
      <c r="L10427" s="8"/>
    </row>
    <row r="10428" spans="7:12" x14ac:dyDescent="0.2">
      <c r="G10428" s="45"/>
      <c r="L10428" s="8"/>
    </row>
    <row r="10429" spans="7:12" x14ac:dyDescent="0.2">
      <c r="G10429" s="45"/>
      <c r="L10429" s="8"/>
    </row>
    <row r="10430" spans="7:12" x14ac:dyDescent="0.2">
      <c r="G10430" s="45"/>
      <c r="L10430" s="8"/>
    </row>
    <row r="10431" spans="7:12" x14ac:dyDescent="0.2">
      <c r="G10431" s="45"/>
      <c r="L10431" s="8"/>
    </row>
    <row r="10432" spans="7:12" x14ac:dyDescent="0.2">
      <c r="G10432" s="45"/>
      <c r="L10432" s="8"/>
    </row>
    <row r="10433" spans="7:12" x14ac:dyDescent="0.2">
      <c r="G10433" s="45"/>
      <c r="L10433" s="8"/>
    </row>
    <row r="10434" spans="7:12" x14ac:dyDescent="0.2">
      <c r="G10434" s="45"/>
      <c r="L10434" s="8"/>
    </row>
    <row r="10435" spans="7:12" x14ac:dyDescent="0.2">
      <c r="G10435" s="45"/>
      <c r="L10435" s="8"/>
    </row>
    <row r="10436" spans="7:12" x14ac:dyDescent="0.2">
      <c r="G10436" s="45"/>
      <c r="L10436" s="8"/>
    </row>
    <row r="10437" spans="7:12" x14ac:dyDescent="0.2">
      <c r="G10437" s="45"/>
      <c r="L10437" s="8"/>
    </row>
    <row r="10438" spans="7:12" x14ac:dyDescent="0.2">
      <c r="G10438" s="45"/>
      <c r="L10438" s="8"/>
    </row>
    <row r="10439" spans="7:12" x14ac:dyDescent="0.2">
      <c r="G10439" s="45"/>
      <c r="L10439" s="8"/>
    </row>
    <row r="10440" spans="7:12" x14ac:dyDescent="0.2">
      <c r="G10440" s="45"/>
      <c r="L10440" s="8"/>
    </row>
    <row r="10441" spans="7:12" x14ac:dyDescent="0.2">
      <c r="G10441" s="45"/>
      <c r="L10441" s="8"/>
    </row>
    <row r="10442" spans="7:12" x14ac:dyDescent="0.2">
      <c r="G10442" s="45"/>
      <c r="L10442" s="8"/>
    </row>
    <row r="10443" spans="7:12" x14ac:dyDescent="0.2">
      <c r="G10443" s="45"/>
      <c r="L10443" s="8"/>
    </row>
    <row r="10444" spans="7:12" x14ac:dyDescent="0.2">
      <c r="G10444" s="45"/>
      <c r="L10444" s="8"/>
    </row>
    <row r="10445" spans="7:12" x14ac:dyDescent="0.2">
      <c r="G10445" s="45"/>
      <c r="L10445" s="8"/>
    </row>
    <row r="10446" spans="7:12" x14ac:dyDescent="0.2">
      <c r="G10446" s="45"/>
      <c r="L10446" s="8"/>
    </row>
    <row r="10447" spans="7:12" x14ac:dyDescent="0.2">
      <c r="G10447" s="45"/>
      <c r="L10447" s="8"/>
    </row>
    <row r="10448" spans="7:12" x14ac:dyDescent="0.2">
      <c r="G10448" s="45"/>
      <c r="L10448" s="8"/>
    </row>
    <row r="10449" spans="7:12" x14ac:dyDescent="0.2">
      <c r="G10449" s="45"/>
      <c r="L10449" s="8"/>
    </row>
    <row r="10450" spans="7:12" x14ac:dyDescent="0.2">
      <c r="G10450" s="45"/>
      <c r="L10450" s="8"/>
    </row>
    <row r="10451" spans="7:12" x14ac:dyDescent="0.2">
      <c r="G10451" s="45"/>
      <c r="L10451" s="8"/>
    </row>
    <row r="10452" spans="7:12" x14ac:dyDescent="0.2">
      <c r="G10452" s="45"/>
      <c r="L10452" s="8"/>
    </row>
    <row r="10453" spans="7:12" x14ac:dyDescent="0.2">
      <c r="G10453" s="45"/>
      <c r="L10453" s="8"/>
    </row>
    <row r="10454" spans="7:12" x14ac:dyDescent="0.2">
      <c r="G10454" s="45"/>
      <c r="L10454" s="8"/>
    </row>
    <row r="10455" spans="7:12" x14ac:dyDescent="0.2">
      <c r="G10455" s="45"/>
      <c r="L10455" s="8"/>
    </row>
    <row r="10456" spans="7:12" x14ac:dyDescent="0.2">
      <c r="G10456" s="45"/>
      <c r="L10456" s="8"/>
    </row>
    <row r="10457" spans="7:12" x14ac:dyDescent="0.2">
      <c r="G10457" s="45"/>
      <c r="L10457" s="8"/>
    </row>
    <row r="10458" spans="7:12" x14ac:dyDescent="0.2">
      <c r="G10458" s="45"/>
      <c r="L10458" s="8"/>
    </row>
    <row r="10459" spans="7:12" x14ac:dyDescent="0.2">
      <c r="G10459" s="45"/>
      <c r="L10459" s="8"/>
    </row>
    <row r="10460" spans="7:12" x14ac:dyDescent="0.2">
      <c r="G10460" s="45"/>
      <c r="L10460" s="8"/>
    </row>
    <row r="10461" spans="7:12" x14ac:dyDescent="0.2">
      <c r="G10461" s="45"/>
      <c r="L10461" s="8"/>
    </row>
    <row r="10462" spans="7:12" x14ac:dyDescent="0.2">
      <c r="G10462" s="45"/>
      <c r="L10462" s="8"/>
    </row>
    <row r="10463" spans="7:12" x14ac:dyDescent="0.2">
      <c r="G10463" s="45"/>
      <c r="L10463" s="8"/>
    </row>
    <row r="10464" spans="7:12" x14ac:dyDescent="0.2">
      <c r="G10464" s="45"/>
      <c r="L10464" s="8"/>
    </row>
    <row r="10465" spans="7:12" x14ac:dyDescent="0.2">
      <c r="G10465" s="45"/>
      <c r="L10465" s="8"/>
    </row>
    <row r="10466" spans="7:12" x14ac:dyDescent="0.2">
      <c r="G10466" s="45"/>
      <c r="L10466" s="8"/>
    </row>
    <row r="10467" spans="7:12" x14ac:dyDescent="0.2">
      <c r="G10467" s="45"/>
      <c r="L10467" s="8"/>
    </row>
    <row r="10468" spans="7:12" x14ac:dyDescent="0.2">
      <c r="G10468" s="45"/>
      <c r="L10468" s="8"/>
    </row>
    <row r="10469" spans="7:12" x14ac:dyDescent="0.2">
      <c r="G10469" s="45"/>
      <c r="L10469" s="8"/>
    </row>
    <row r="10470" spans="7:12" x14ac:dyDescent="0.2">
      <c r="G10470" s="45"/>
      <c r="L10470" s="8"/>
    </row>
    <row r="10471" spans="7:12" x14ac:dyDescent="0.2">
      <c r="G10471" s="45"/>
      <c r="L10471" s="8"/>
    </row>
    <row r="10472" spans="7:12" x14ac:dyDescent="0.2">
      <c r="G10472" s="45"/>
      <c r="L10472" s="8"/>
    </row>
    <row r="10473" spans="7:12" x14ac:dyDescent="0.2">
      <c r="G10473" s="45"/>
      <c r="L10473" s="8"/>
    </row>
    <row r="10474" spans="7:12" x14ac:dyDescent="0.2">
      <c r="G10474" s="45"/>
      <c r="L10474" s="8"/>
    </row>
    <row r="10475" spans="7:12" x14ac:dyDescent="0.2">
      <c r="G10475" s="45"/>
      <c r="L10475" s="8"/>
    </row>
    <row r="10476" spans="7:12" x14ac:dyDescent="0.2">
      <c r="G10476" s="45"/>
      <c r="L10476" s="8"/>
    </row>
    <row r="10477" spans="7:12" x14ac:dyDescent="0.2">
      <c r="G10477" s="45"/>
      <c r="L10477" s="8"/>
    </row>
    <row r="10478" spans="7:12" x14ac:dyDescent="0.2">
      <c r="G10478" s="45"/>
      <c r="L10478" s="8"/>
    </row>
    <row r="10479" spans="7:12" x14ac:dyDescent="0.2">
      <c r="G10479" s="45"/>
      <c r="L10479" s="8"/>
    </row>
    <row r="10480" spans="7:12" x14ac:dyDescent="0.2">
      <c r="G10480" s="45"/>
      <c r="L10480" s="8"/>
    </row>
    <row r="10481" spans="7:12" x14ac:dyDescent="0.2">
      <c r="G10481" s="45"/>
      <c r="L10481" s="8"/>
    </row>
    <row r="10482" spans="7:12" x14ac:dyDescent="0.2">
      <c r="G10482" s="45"/>
      <c r="L10482" s="8"/>
    </row>
    <row r="10483" spans="7:12" x14ac:dyDescent="0.2">
      <c r="G10483" s="45"/>
      <c r="L10483" s="8"/>
    </row>
    <row r="10484" spans="7:12" x14ac:dyDescent="0.2">
      <c r="G10484" s="45"/>
      <c r="L10484" s="8"/>
    </row>
    <row r="10485" spans="7:12" x14ac:dyDescent="0.2">
      <c r="G10485" s="45"/>
      <c r="L10485" s="8"/>
    </row>
    <row r="10486" spans="7:12" x14ac:dyDescent="0.2">
      <c r="G10486" s="45"/>
      <c r="L10486" s="8"/>
    </row>
    <row r="10487" spans="7:12" x14ac:dyDescent="0.2">
      <c r="G10487" s="45"/>
      <c r="L10487" s="8"/>
    </row>
    <row r="10488" spans="7:12" x14ac:dyDescent="0.2">
      <c r="G10488" s="45"/>
      <c r="L10488" s="8"/>
    </row>
    <row r="10489" spans="7:12" x14ac:dyDescent="0.2">
      <c r="G10489" s="45"/>
      <c r="L10489" s="8"/>
    </row>
    <row r="10490" spans="7:12" x14ac:dyDescent="0.2">
      <c r="G10490" s="45"/>
      <c r="L10490" s="8"/>
    </row>
    <row r="10491" spans="7:12" x14ac:dyDescent="0.2">
      <c r="G10491" s="45"/>
      <c r="L10491" s="8"/>
    </row>
    <row r="10492" spans="7:12" x14ac:dyDescent="0.2">
      <c r="G10492" s="45"/>
      <c r="L10492" s="8"/>
    </row>
    <row r="10493" spans="7:12" x14ac:dyDescent="0.2">
      <c r="G10493" s="45"/>
      <c r="L10493" s="8"/>
    </row>
    <row r="10494" spans="7:12" x14ac:dyDescent="0.2">
      <c r="G10494" s="45"/>
      <c r="L10494" s="8"/>
    </row>
    <row r="10495" spans="7:12" x14ac:dyDescent="0.2">
      <c r="G10495" s="45"/>
      <c r="L10495" s="8"/>
    </row>
    <row r="10496" spans="7:12" x14ac:dyDescent="0.2">
      <c r="G10496" s="45"/>
      <c r="L10496" s="8"/>
    </row>
    <row r="10497" spans="7:12" x14ac:dyDescent="0.2">
      <c r="G10497" s="45"/>
      <c r="L10497" s="8"/>
    </row>
    <row r="10498" spans="7:12" x14ac:dyDescent="0.2">
      <c r="G10498" s="45"/>
      <c r="L10498" s="8"/>
    </row>
    <row r="10499" spans="7:12" x14ac:dyDescent="0.2">
      <c r="G10499" s="45"/>
      <c r="L10499" s="8"/>
    </row>
    <row r="10500" spans="7:12" x14ac:dyDescent="0.2">
      <c r="G10500" s="45"/>
      <c r="L10500" s="8"/>
    </row>
    <row r="10501" spans="7:12" x14ac:dyDescent="0.2">
      <c r="G10501" s="45"/>
      <c r="L10501" s="8"/>
    </row>
    <row r="10502" spans="7:12" x14ac:dyDescent="0.2">
      <c r="G10502" s="45"/>
      <c r="L10502" s="8"/>
    </row>
    <row r="10503" spans="7:12" x14ac:dyDescent="0.2">
      <c r="G10503" s="45"/>
      <c r="L10503" s="8"/>
    </row>
    <row r="10504" spans="7:12" x14ac:dyDescent="0.2">
      <c r="G10504" s="45"/>
      <c r="L10504" s="8"/>
    </row>
    <row r="10505" spans="7:12" x14ac:dyDescent="0.2">
      <c r="G10505" s="45"/>
      <c r="L10505" s="8"/>
    </row>
    <row r="10506" spans="7:12" x14ac:dyDescent="0.2">
      <c r="G10506" s="45"/>
      <c r="L10506" s="8"/>
    </row>
    <row r="10507" spans="7:12" x14ac:dyDescent="0.2">
      <c r="G10507" s="45"/>
      <c r="L10507" s="8"/>
    </row>
    <row r="10508" spans="7:12" x14ac:dyDescent="0.2">
      <c r="G10508" s="45"/>
      <c r="L10508" s="8"/>
    </row>
    <row r="10509" spans="7:12" x14ac:dyDescent="0.2">
      <c r="G10509" s="45"/>
      <c r="L10509" s="8"/>
    </row>
    <row r="10510" spans="7:12" x14ac:dyDescent="0.2">
      <c r="G10510" s="45"/>
      <c r="L10510" s="8"/>
    </row>
    <row r="10511" spans="7:12" x14ac:dyDescent="0.2">
      <c r="G10511" s="45"/>
      <c r="L10511" s="8"/>
    </row>
    <row r="10512" spans="7:12" x14ac:dyDescent="0.2">
      <c r="G10512" s="45"/>
      <c r="L10512" s="8"/>
    </row>
    <row r="10513" spans="7:12" x14ac:dyDescent="0.2">
      <c r="G10513" s="45"/>
      <c r="L10513" s="8"/>
    </row>
    <row r="10514" spans="7:12" x14ac:dyDescent="0.2">
      <c r="G10514" s="45"/>
      <c r="L10514" s="8"/>
    </row>
    <row r="10515" spans="7:12" x14ac:dyDescent="0.2">
      <c r="G10515" s="45"/>
      <c r="L10515" s="8"/>
    </row>
    <row r="10516" spans="7:12" x14ac:dyDescent="0.2">
      <c r="G10516" s="45"/>
      <c r="L10516" s="8"/>
    </row>
    <row r="10517" spans="7:12" x14ac:dyDescent="0.2">
      <c r="G10517" s="45"/>
      <c r="L10517" s="8"/>
    </row>
    <row r="10518" spans="7:12" x14ac:dyDescent="0.2">
      <c r="G10518" s="45"/>
      <c r="L10518" s="8"/>
    </row>
    <row r="10519" spans="7:12" x14ac:dyDescent="0.2">
      <c r="G10519" s="45"/>
      <c r="L10519" s="8"/>
    </row>
    <row r="10520" spans="7:12" x14ac:dyDescent="0.2">
      <c r="G10520" s="45"/>
      <c r="L10520" s="8"/>
    </row>
    <row r="10521" spans="7:12" x14ac:dyDescent="0.2">
      <c r="G10521" s="45"/>
      <c r="L10521" s="8"/>
    </row>
    <row r="10522" spans="7:12" x14ac:dyDescent="0.2">
      <c r="G10522" s="45"/>
      <c r="L10522" s="8"/>
    </row>
    <row r="10523" spans="7:12" x14ac:dyDescent="0.2">
      <c r="G10523" s="45"/>
      <c r="L10523" s="8"/>
    </row>
    <row r="10524" spans="7:12" x14ac:dyDescent="0.2">
      <c r="G10524" s="45"/>
      <c r="L10524" s="8"/>
    </row>
    <row r="10525" spans="7:12" x14ac:dyDescent="0.2">
      <c r="G10525" s="45"/>
      <c r="L10525" s="8"/>
    </row>
    <row r="10526" spans="7:12" x14ac:dyDescent="0.2">
      <c r="G10526" s="45"/>
      <c r="L10526" s="8"/>
    </row>
    <row r="10527" spans="7:12" x14ac:dyDescent="0.2">
      <c r="G10527" s="45"/>
      <c r="L10527" s="8"/>
    </row>
    <row r="10528" spans="7:12" x14ac:dyDescent="0.2">
      <c r="G10528" s="45"/>
      <c r="L10528" s="8"/>
    </row>
    <row r="10529" spans="7:12" x14ac:dyDescent="0.2">
      <c r="G10529" s="45"/>
      <c r="L10529" s="8"/>
    </row>
    <row r="10530" spans="7:12" x14ac:dyDescent="0.2">
      <c r="G10530" s="45"/>
      <c r="L10530" s="8"/>
    </row>
    <row r="10531" spans="7:12" x14ac:dyDescent="0.2">
      <c r="G10531" s="45"/>
      <c r="L10531" s="8"/>
    </row>
    <row r="10532" spans="7:12" x14ac:dyDescent="0.2">
      <c r="G10532" s="45"/>
      <c r="L10532" s="8"/>
    </row>
    <row r="10533" spans="7:12" x14ac:dyDescent="0.2">
      <c r="G10533" s="45"/>
      <c r="L10533" s="8"/>
    </row>
    <row r="10534" spans="7:12" x14ac:dyDescent="0.2">
      <c r="G10534" s="45"/>
      <c r="L10534" s="8"/>
    </row>
    <row r="10535" spans="7:12" x14ac:dyDescent="0.2">
      <c r="G10535" s="45"/>
      <c r="L10535" s="8"/>
    </row>
    <row r="10536" spans="7:12" x14ac:dyDescent="0.2">
      <c r="G10536" s="45"/>
      <c r="L10536" s="8"/>
    </row>
    <row r="10537" spans="7:12" x14ac:dyDescent="0.2">
      <c r="G10537" s="45"/>
      <c r="L10537" s="8"/>
    </row>
    <row r="10538" spans="7:12" x14ac:dyDescent="0.2">
      <c r="G10538" s="45"/>
      <c r="L10538" s="8"/>
    </row>
    <row r="10539" spans="7:12" x14ac:dyDescent="0.2">
      <c r="G10539" s="45"/>
      <c r="L10539" s="8"/>
    </row>
    <row r="10540" spans="7:12" x14ac:dyDescent="0.2">
      <c r="G10540" s="45"/>
      <c r="L10540" s="8"/>
    </row>
    <row r="10541" spans="7:12" x14ac:dyDescent="0.2">
      <c r="G10541" s="45"/>
      <c r="L10541" s="8"/>
    </row>
    <row r="10542" spans="7:12" x14ac:dyDescent="0.2">
      <c r="G10542" s="45"/>
      <c r="L10542" s="8"/>
    </row>
    <row r="10543" spans="7:12" x14ac:dyDescent="0.2">
      <c r="G10543" s="45"/>
      <c r="L10543" s="8"/>
    </row>
    <row r="10544" spans="7:12" x14ac:dyDescent="0.2">
      <c r="G10544" s="45"/>
      <c r="L10544" s="8"/>
    </row>
    <row r="10545" spans="7:12" x14ac:dyDescent="0.2">
      <c r="G10545" s="45"/>
      <c r="L10545" s="8"/>
    </row>
    <row r="10546" spans="7:12" x14ac:dyDescent="0.2">
      <c r="G10546" s="45"/>
      <c r="L10546" s="8"/>
    </row>
    <row r="10547" spans="7:12" x14ac:dyDescent="0.2">
      <c r="G10547" s="45"/>
      <c r="L10547" s="8"/>
    </row>
    <row r="10548" spans="7:12" x14ac:dyDescent="0.2">
      <c r="G10548" s="45"/>
      <c r="L10548" s="8"/>
    </row>
    <row r="10549" spans="7:12" x14ac:dyDescent="0.2">
      <c r="G10549" s="45"/>
      <c r="L10549" s="8"/>
    </row>
    <row r="10550" spans="7:12" x14ac:dyDescent="0.2">
      <c r="G10550" s="45"/>
      <c r="L10550" s="8"/>
    </row>
    <row r="10551" spans="7:12" x14ac:dyDescent="0.2">
      <c r="G10551" s="45"/>
      <c r="L10551" s="8"/>
    </row>
    <row r="10552" spans="7:12" x14ac:dyDescent="0.2">
      <c r="G10552" s="45"/>
      <c r="L10552" s="8"/>
    </row>
    <row r="10553" spans="7:12" x14ac:dyDescent="0.2">
      <c r="G10553" s="45"/>
      <c r="L10553" s="8"/>
    </row>
    <row r="10554" spans="7:12" x14ac:dyDescent="0.2">
      <c r="G10554" s="45"/>
      <c r="L10554" s="8"/>
    </row>
    <row r="10555" spans="7:12" x14ac:dyDescent="0.2">
      <c r="G10555" s="45"/>
      <c r="L10555" s="8"/>
    </row>
    <row r="10556" spans="7:12" x14ac:dyDescent="0.2">
      <c r="G10556" s="45"/>
      <c r="L10556" s="8"/>
    </row>
    <row r="10557" spans="7:12" x14ac:dyDescent="0.2">
      <c r="G10557" s="45"/>
      <c r="L10557" s="8"/>
    </row>
    <row r="10558" spans="7:12" x14ac:dyDescent="0.2">
      <c r="G10558" s="45"/>
      <c r="L10558" s="8"/>
    </row>
    <row r="10559" spans="7:12" x14ac:dyDescent="0.2">
      <c r="G10559" s="45"/>
      <c r="L10559" s="8"/>
    </row>
    <row r="10560" spans="7:12" x14ac:dyDescent="0.2">
      <c r="G10560" s="45"/>
      <c r="L10560" s="8"/>
    </row>
    <row r="10561" spans="7:12" x14ac:dyDescent="0.2">
      <c r="G10561" s="45"/>
      <c r="L10561" s="8"/>
    </row>
    <row r="10562" spans="7:12" x14ac:dyDescent="0.2">
      <c r="G10562" s="45"/>
      <c r="L10562" s="8"/>
    </row>
    <row r="10563" spans="7:12" x14ac:dyDescent="0.2">
      <c r="G10563" s="45"/>
      <c r="L10563" s="8"/>
    </row>
    <row r="10564" spans="7:12" x14ac:dyDescent="0.2">
      <c r="G10564" s="45"/>
      <c r="L10564" s="8"/>
    </row>
    <row r="10565" spans="7:12" x14ac:dyDescent="0.2">
      <c r="G10565" s="45"/>
      <c r="L10565" s="8"/>
    </row>
    <row r="10566" spans="7:12" x14ac:dyDescent="0.2">
      <c r="G10566" s="45"/>
      <c r="L10566" s="8"/>
    </row>
    <row r="10567" spans="7:12" x14ac:dyDescent="0.2">
      <c r="G10567" s="45"/>
      <c r="L10567" s="8"/>
    </row>
    <row r="10568" spans="7:12" x14ac:dyDescent="0.2">
      <c r="G10568" s="45"/>
      <c r="L10568" s="8"/>
    </row>
    <row r="10569" spans="7:12" x14ac:dyDescent="0.2">
      <c r="G10569" s="45"/>
      <c r="L10569" s="8"/>
    </row>
    <row r="10570" spans="7:12" x14ac:dyDescent="0.2">
      <c r="G10570" s="45"/>
      <c r="L10570" s="8"/>
    </row>
    <row r="10571" spans="7:12" x14ac:dyDescent="0.2">
      <c r="G10571" s="45"/>
      <c r="L10571" s="8"/>
    </row>
    <row r="10572" spans="7:12" x14ac:dyDescent="0.2">
      <c r="G10572" s="45"/>
      <c r="L10572" s="8"/>
    </row>
    <row r="10573" spans="7:12" x14ac:dyDescent="0.2">
      <c r="G10573" s="45"/>
      <c r="L10573" s="8"/>
    </row>
    <row r="10574" spans="7:12" x14ac:dyDescent="0.2">
      <c r="G10574" s="45"/>
      <c r="L10574" s="8"/>
    </row>
    <row r="10575" spans="7:12" x14ac:dyDescent="0.2">
      <c r="G10575" s="45"/>
      <c r="L10575" s="8"/>
    </row>
    <row r="10576" spans="7:12" x14ac:dyDescent="0.2">
      <c r="G10576" s="45"/>
      <c r="L10576" s="8"/>
    </row>
    <row r="10577" spans="7:12" x14ac:dyDescent="0.2">
      <c r="G10577" s="45"/>
      <c r="L10577" s="8"/>
    </row>
    <row r="10578" spans="7:12" x14ac:dyDescent="0.2">
      <c r="G10578" s="45"/>
      <c r="L10578" s="8"/>
    </row>
    <row r="10579" spans="7:12" x14ac:dyDescent="0.2">
      <c r="G10579" s="45"/>
      <c r="L10579" s="8"/>
    </row>
    <row r="10580" spans="7:12" x14ac:dyDescent="0.2">
      <c r="G10580" s="45"/>
      <c r="L10580" s="8"/>
    </row>
    <row r="10581" spans="7:12" x14ac:dyDescent="0.2">
      <c r="G10581" s="45"/>
      <c r="L10581" s="8"/>
    </row>
    <row r="10582" spans="7:12" x14ac:dyDescent="0.2">
      <c r="G10582" s="45"/>
      <c r="L10582" s="8"/>
    </row>
    <row r="10583" spans="7:12" x14ac:dyDescent="0.2">
      <c r="G10583" s="45"/>
      <c r="L10583" s="8"/>
    </row>
    <row r="10584" spans="7:12" x14ac:dyDescent="0.2">
      <c r="G10584" s="45"/>
      <c r="L10584" s="8"/>
    </row>
    <row r="10585" spans="7:12" x14ac:dyDescent="0.2">
      <c r="G10585" s="45"/>
      <c r="L10585" s="8"/>
    </row>
    <row r="10586" spans="7:12" x14ac:dyDescent="0.2">
      <c r="G10586" s="45"/>
      <c r="L10586" s="8"/>
    </row>
    <row r="10587" spans="7:12" x14ac:dyDescent="0.2">
      <c r="G10587" s="45"/>
      <c r="L10587" s="8"/>
    </row>
    <row r="10588" spans="7:12" x14ac:dyDescent="0.2">
      <c r="G10588" s="45"/>
      <c r="L10588" s="8"/>
    </row>
    <row r="10589" spans="7:12" x14ac:dyDescent="0.2">
      <c r="G10589" s="45"/>
      <c r="L10589" s="8"/>
    </row>
    <row r="10590" spans="7:12" x14ac:dyDescent="0.2">
      <c r="G10590" s="45"/>
      <c r="L10590" s="8"/>
    </row>
    <row r="10591" spans="7:12" x14ac:dyDescent="0.2">
      <c r="G10591" s="45"/>
      <c r="L10591" s="8"/>
    </row>
    <row r="10592" spans="7:12" x14ac:dyDescent="0.2">
      <c r="G10592" s="45"/>
      <c r="L10592" s="8"/>
    </row>
    <row r="10593" spans="7:12" x14ac:dyDescent="0.2">
      <c r="G10593" s="45"/>
      <c r="L10593" s="8"/>
    </row>
    <row r="10594" spans="7:12" x14ac:dyDescent="0.2">
      <c r="G10594" s="45"/>
      <c r="L10594" s="8"/>
    </row>
    <row r="10595" spans="7:12" x14ac:dyDescent="0.2">
      <c r="G10595" s="45"/>
      <c r="L10595" s="8"/>
    </row>
    <row r="10596" spans="7:12" x14ac:dyDescent="0.2">
      <c r="G10596" s="45"/>
      <c r="L10596" s="8"/>
    </row>
    <row r="10597" spans="7:12" x14ac:dyDescent="0.2">
      <c r="G10597" s="45"/>
      <c r="L10597" s="8"/>
    </row>
    <row r="10598" spans="7:12" x14ac:dyDescent="0.2">
      <c r="G10598" s="45"/>
      <c r="L10598" s="8"/>
    </row>
    <row r="10599" spans="7:12" x14ac:dyDescent="0.2">
      <c r="G10599" s="45"/>
      <c r="L10599" s="8"/>
    </row>
    <row r="10600" spans="7:12" x14ac:dyDescent="0.2">
      <c r="G10600" s="45"/>
      <c r="L10600" s="8"/>
    </row>
    <row r="10601" spans="7:12" x14ac:dyDescent="0.2">
      <c r="G10601" s="45"/>
      <c r="L10601" s="8"/>
    </row>
    <row r="10602" spans="7:12" x14ac:dyDescent="0.2">
      <c r="G10602" s="45"/>
      <c r="L10602" s="8"/>
    </row>
    <row r="10603" spans="7:12" x14ac:dyDescent="0.2">
      <c r="G10603" s="45"/>
      <c r="L10603" s="8"/>
    </row>
    <row r="10604" spans="7:12" x14ac:dyDescent="0.2">
      <c r="G10604" s="45"/>
      <c r="L10604" s="8"/>
    </row>
    <row r="10605" spans="7:12" x14ac:dyDescent="0.2">
      <c r="G10605" s="45"/>
      <c r="L10605" s="8"/>
    </row>
    <row r="10606" spans="7:12" x14ac:dyDescent="0.2">
      <c r="G10606" s="45"/>
      <c r="L10606" s="8"/>
    </row>
    <row r="10607" spans="7:12" x14ac:dyDescent="0.2">
      <c r="G10607" s="45"/>
      <c r="L10607" s="8"/>
    </row>
    <row r="10608" spans="7:12" x14ac:dyDescent="0.2">
      <c r="G10608" s="45"/>
      <c r="L10608" s="8"/>
    </row>
    <row r="10609" spans="7:12" x14ac:dyDescent="0.2">
      <c r="G10609" s="45"/>
      <c r="L10609" s="8"/>
    </row>
    <row r="10610" spans="7:12" x14ac:dyDescent="0.2">
      <c r="G10610" s="45"/>
      <c r="L10610" s="8"/>
    </row>
    <row r="10611" spans="7:12" x14ac:dyDescent="0.2">
      <c r="G10611" s="45"/>
      <c r="L10611" s="8"/>
    </row>
    <row r="10612" spans="7:12" x14ac:dyDescent="0.2">
      <c r="G10612" s="45"/>
      <c r="L10612" s="8"/>
    </row>
    <row r="10613" spans="7:12" x14ac:dyDescent="0.2">
      <c r="G10613" s="45"/>
      <c r="L10613" s="8"/>
    </row>
    <row r="10614" spans="7:12" x14ac:dyDescent="0.2">
      <c r="G10614" s="45"/>
      <c r="L10614" s="8"/>
    </row>
    <row r="10615" spans="7:12" x14ac:dyDescent="0.2">
      <c r="G10615" s="45"/>
      <c r="L10615" s="8"/>
    </row>
    <row r="10616" spans="7:12" x14ac:dyDescent="0.2">
      <c r="G10616" s="45"/>
      <c r="L10616" s="8"/>
    </row>
    <row r="10617" spans="7:12" x14ac:dyDescent="0.2">
      <c r="G10617" s="45"/>
      <c r="L10617" s="8"/>
    </row>
    <row r="10618" spans="7:12" x14ac:dyDescent="0.2">
      <c r="G10618" s="45"/>
      <c r="L10618" s="8"/>
    </row>
    <row r="10619" spans="7:12" x14ac:dyDescent="0.2">
      <c r="G10619" s="45"/>
      <c r="L10619" s="8"/>
    </row>
    <row r="10620" spans="7:12" x14ac:dyDescent="0.2">
      <c r="G10620" s="45"/>
      <c r="L10620" s="8"/>
    </row>
    <row r="10621" spans="7:12" x14ac:dyDescent="0.2">
      <c r="G10621" s="45"/>
      <c r="L10621" s="8"/>
    </row>
    <row r="10622" spans="7:12" x14ac:dyDescent="0.2">
      <c r="G10622" s="45"/>
      <c r="L10622" s="8"/>
    </row>
    <row r="10623" spans="7:12" x14ac:dyDescent="0.2">
      <c r="G10623" s="45"/>
      <c r="L10623" s="8"/>
    </row>
    <row r="10624" spans="7:12" x14ac:dyDescent="0.2">
      <c r="G10624" s="45"/>
      <c r="L10624" s="8"/>
    </row>
    <row r="10625" spans="7:12" x14ac:dyDescent="0.2">
      <c r="G10625" s="45"/>
      <c r="L10625" s="8"/>
    </row>
    <row r="10626" spans="7:12" x14ac:dyDescent="0.2">
      <c r="G10626" s="45"/>
      <c r="L10626" s="8"/>
    </row>
    <row r="10627" spans="7:12" x14ac:dyDescent="0.2">
      <c r="G10627" s="45"/>
      <c r="L10627" s="8"/>
    </row>
    <row r="10628" spans="7:12" x14ac:dyDescent="0.2">
      <c r="G10628" s="45"/>
      <c r="L10628" s="8"/>
    </row>
    <row r="10629" spans="7:12" x14ac:dyDescent="0.2">
      <c r="G10629" s="45"/>
      <c r="L10629" s="8"/>
    </row>
    <row r="10630" spans="7:12" x14ac:dyDescent="0.2">
      <c r="G10630" s="45"/>
      <c r="L10630" s="8"/>
    </row>
    <row r="10631" spans="7:12" x14ac:dyDescent="0.2">
      <c r="G10631" s="45"/>
      <c r="L10631" s="8"/>
    </row>
    <row r="10632" spans="7:12" x14ac:dyDescent="0.2">
      <c r="G10632" s="45"/>
      <c r="L10632" s="8"/>
    </row>
    <row r="10633" spans="7:12" x14ac:dyDescent="0.2">
      <c r="G10633" s="45"/>
      <c r="L10633" s="8"/>
    </row>
    <row r="10634" spans="7:12" x14ac:dyDescent="0.2">
      <c r="G10634" s="45"/>
      <c r="L10634" s="8"/>
    </row>
    <row r="10635" spans="7:12" x14ac:dyDescent="0.2">
      <c r="G10635" s="45"/>
      <c r="L10635" s="8"/>
    </row>
    <row r="10636" spans="7:12" x14ac:dyDescent="0.2">
      <c r="G10636" s="45"/>
      <c r="L10636" s="8"/>
    </row>
    <row r="10637" spans="7:12" x14ac:dyDescent="0.2">
      <c r="G10637" s="45"/>
      <c r="L10637" s="8"/>
    </row>
    <row r="10638" spans="7:12" x14ac:dyDescent="0.2">
      <c r="G10638" s="45"/>
      <c r="L10638" s="8"/>
    </row>
    <row r="10639" spans="7:12" x14ac:dyDescent="0.2">
      <c r="G10639" s="45"/>
      <c r="L10639" s="8"/>
    </row>
    <row r="10640" spans="7:12" x14ac:dyDescent="0.2">
      <c r="G10640" s="45"/>
      <c r="L10640" s="8"/>
    </row>
    <row r="10641" spans="7:12" x14ac:dyDescent="0.2">
      <c r="G10641" s="45"/>
      <c r="L10641" s="8"/>
    </row>
    <row r="10642" spans="7:12" x14ac:dyDescent="0.2">
      <c r="G10642" s="45"/>
      <c r="L10642" s="8"/>
    </row>
    <row r="10643" spans="7:12" x14ac:dyDescent="0.2">
      <c r="G10643" s="45"/>
      <c r="L10643" s="8"/>
    </row>
    <row r="10644" spans="7:12" x14ac:dyDescent="0.2">
      <c r="G10644" s="45"/>
      <c r="L10644" s="8"/>
    </row>
    <row r="10645" spans="7:12" x14ac:dyDescent="0.2">
      <c r="G10645" s="45"/>
      <c r="L10645" s="8"/>
    </row>
    <row r="10646" spans="7:12" x14ac:dyDescent="0.2">
      <c r="G10646" s="45"/>
      <c r="L10646" s="8"/>
    </row>
    <row r="10647" spans="7:12" x14ac:dyDescent="0.2">
      <c r="G10647" s="45"/>
      <c r="L10647" s="8"/>
    </row>
    <row r="10648" spans="7:12" x14ac:dyDescent="0.2">
      <c r="G10648" s="45"/>
      <c r="L10648" s="8"/>
    </row>
    <row r="10649" spans="7:12" x14ac:dyDescent="0.2">
      <c r="G10649" s="45"/>
      <c r="L10649" s="8"/>
    </row>
    <row r="10650" spans="7:12" x14ac:dyDescent="0.2">
      <c r="G10650" s="45"/>
      <c r="L10650" s="8"/>
    </row>
    <row r="10651" spans="7:12" x14ac:dyDescent="0.2">
      <c r="G10651" s="45"/>
      <c r="L10651" s="8"/>
    </row>
    <row r="10652" spans="7:12" x14ac:dyDescent="0.2">
      <c r="G10652" s="45"/>
      <c r="L10652" s="8"/>
    </row>
    <row r="10653" spans="7:12" x14ac:dyDescent="0.2">
      <c r="G10653" s="45"/>
      <c r="L10653" s="8"/>
    </row>
    <row r="10654" spans="7:12" x14ac:dyDescent="0.2">
      <c r="G10654" s="45"/>
      <c r="L10654" s="8"/>
    </row>
    <row r="10655" spans="7:12" x14ac:dyDescent="0.2">
      <c r="G10655" s="45"/>
      <c r="L10655" s="8"/>
    </row>
    <row r="10656" spans="7:12" x14ac:dyDescent="0.2">
      <c r="G10656" s="45"/>
      <c r="L10656" s="8"/>
    </row>
    <row r="10657" spans="7:12" x14ac:dyDescent="0.2">
      <c r="G10657" s="45"/>
      <c r="L10657" s="8"/>
    </row>
    <row r="10658" spans="7:12" x14ac:dyDescent="0.2">
      <c r="G10658" s="45"/>
      <c r="L10658" s="8"/>
    </row>
    <row r="10659" spans="7:12" x14ac:dyDescent="0.2">
      <c r="G10659" s="45"/>
      <c r="L10659" s="8"/>
    </row>
    <row r="10660" spans="7:12" x14ac:dyDescent="0.2">
      <c r="G10660" s="45"/>
      <c r="L10660" s="8"/>
    </row>
    <row r="10661" spans="7:12" x14ac:dyDescent="0.2">
      <c r="G10661" s="45"/>
      <c r="L10661" s="8"/>
    </row>
    <row r="10662" spans="7:12" x14ac:dyDescent="0.2">
      <c r="G10662" s="45"/>
      <c r="L10662" s="8"/>
    </row>
    <row r="10663" spans="7:12" x14ac:dyDescent="0.2">
      <c r="G10663" s="45"/>
      <c r="L10663" s="8"/>
    </row>
    <row r="10664" spans="7:12" x14ac:dyDescent="0.2">
      <c r="G10664" s="45"/>
      <c r="L10664" s="8"/>
    </row>
    <row r="10665" spans="7:12" x14ac:dyDescent="0.2">
      <c r="G10665" s="45"/>
      <c r="L10665" s="8"/>
    </row>
    <row r="10666" spans="7:12" x14ac:dyDescent="0.2">
      <c r="G10666" s="45"/>
      <c r="L10666" s="8"/>
    </row>
    <row r="10667" spans="7:12" x14ac:dyDescent="0.2">
      <c r="G10667" s="45"/>
      <c r="L10667" s="8"/>
    </row>
    <row r="10668" spans="7:12" x14ac:dyDescent="0.2">
      <c r="G10668" s="45"/>
      <c r="L10668" s="8"/>
    </row>
    <row r="10669" spans="7:12" x14ac:dyDescent="0.2">
      <c r="G10669" s="45"/>
      <c r="L10669" s="8"/>
    </row>
    <row r="10670" spans="7:12" x14ac:dyDescent="0.2">
      <c r="G10670" s="45"/>
      <c r="L10670" s="8"/>
    </row>
    <row r="10671" spans="7:12" x14ac:dyDescent="0.2">
      <c r="G10671" s="45"/>
      <c r="L10671" s="8"/>
    </row>
    <row r="10672" spans="7:12" x14ac:dyDescent="0.2">
      <c r="G10672" s="45"/>
      <c r="L10672" s="8"/>
    </row>
    <row r="10673" spans="7:12" x14ac:dyDescent="0.2">
      <c r="G10673" s="45"/>
      <c r="L10673" s="8"/>
    </row>
    <row r="10674" spans="7:12" x14ac:dyDescent="0.2">
      <c r="G10674" s="45"/>
      <c r="L10674" s="8"/>
    </row>
    <row r="10675" spans="7:12" x14ac:dyDescent="0.2">
      <c r="G10675" s="45"/>
      <c r="L10675" s="8"/>
    </row>
    <row r="10676" spans="7:12" x14ac:dyDescent="0.2">
      <c r="G10676" s="45"/>
      <c r="L10676" s="8"/>
    </row>
    <row r="10677" spans="7:12" x14ac:dyDescent="0.2">
      <c r="G10677" s="45"/>
      <c r="L10677" s="8"/>
    </row>
    <row r="10678" spans="7:12" x14ac:dyDescent="0.2">
      <c r="G10678" s="45"/>
      <c r="L10678" s="8"/>
    </row>
    <row r="10679" spans="7:12" x14ac:dyDescent="0.2">
      <c r="G10679" s="45"/>
      <c r="L10679" s="8"/>
    </row>
    <row r="10680" spans="7:12" x14ac:dyDescent="0.2">
      <c r="G10680" s="45"/>
      <c r="L10680" s="8"/>
    </row>
    <row r="10681" spans="7:12" x14ac:dyDescent="0.2">
      <c r="G10681" s="45"/>
      <c r="L10681" s="8"/>
    </row>
    <row r="10682" spans="7:12" x14ac:dyDescent="0.2">
      <c r="G10682" s="45"/>
      <c r="L10682" s="8"/>
    </row>
    <row r="10683" spans="7:12" x14ac:dyDescent="0.2">
      <c r="G10683" s="45"/>
      <c r="L10683" s="8"/>
    </row>
    <row r="10684" spans="7:12" x14ac:dyDescent="0.2">
      <c r="G10684" s="45"/>
      <c r="L10684" s="8"/>
    </row>
    <row r="10685" spans="7:12" x14ac:dyDescent="0.2">
      <c r="G10685" s="45"/>
      <c r="L10685" s="8"/>
    </row>
    <row r="10686" spans="7:12" x14ac:dyDescent="0.2">
      <c r="G10686" s="45"/>
      <c r="L10686" s="8"/>
    </row>
    <row r="10687" spans="7:12" x14ac:dyDescent="0.2">
      <c r="G10687" s="45"/>
      <c r="L10687" s="8"/>
    </row>
    <row r="10688" spans="7:12" x14ac:dyDescent="0.2">
      <c r="G10688" s="45"/>
      <c r="L10688" s="8"/>
    </row>
    <row r="10689" spans="7:12" x14ac:dyDescent="0.2">
      <c r="G10689" s="45"/>
      <c r="L10689" s="8"/>
    </row>
    <row r="10690" spans="7:12" x14ac:dyDescent="0.2">
      <c r="G10690" s="45"/>
      <c r="L10690" s="8"/>
    </row>
    <row r="10691" spans="7:12" x14ac:dyDescent="0.2">
      <c r="G10691" s="45"/>
      <c r="L10691" s="8"/>
    </row>
    <row r="10692" spans="7:12" x14ac:dyDescent="0.2">
      <c r="G10692" s="45"/>
      <c r="L10692" s="8"/>
    </row>
    <row r="10693" spans="7:12" x14ac:dyDescent="0.2">
      <c r="G10693" s="45"/>
      <c r="L10693" s="8"/>
    </row>
    <row r="10694" spans="7:12" x14ac:dyDescent="0.2">
      <c r="G10694" s="45"/>
      <c r="L10694" s="8"/>
    </row>
    <row r="10695" spans="7:12" x14ac:dyDescent="0.2">
      <c r="G10695" s="45"/>
      <c r="L10695" s="8"/>
    </row>
    <row r="10696" spans="7:12" x14ac:dyDescent="0.2">
      <c r="G10696" s="45"/>
      <c r="L10696" s="8"/>
    </row>
    <row r="10697" spans="7:12" x14ac:dyDescent="0.2">
      <c r="G10697" s="45"/>
      <c r="L10697" s="8"/>
    </row>
    <row r="10698" spans="7:12" x14ac:dyDescent="0.2">
      <c r="G10698" s="45"/>
      <c r="L10698" s="8"/>
    </row>
    <row r="10699" spans="7:12" x14ac:dyDescent="0.2">
      <c r="G10699" s="45"/>
      <c r="L10699" s="8"/>
    </row>
    <row r="10700" spans="7:12" x14ac:dyDescent="0.2">
      <c r="G10700" s="45"/>
      <c r="L10700" s="8"/>
    </row>
    <row r="10701" spans="7:12" x14ac:dyDescent="0.2">
      <c r="G10701" s="45"/>
      <c r="L10701" s="8"/>
    </row>
    <row r="10702" spans="7:12" x14ac:dyDescent="0.2">
      <c r="G10702" s="45"/>
      <c r="L10702" s="8"/>
    </row>
    <row r="10703" spans="7:12" x14ac:dyDescent="0.2">
      <c r="G10703" s="45"/>
      <c r="L10703" s="8"/>
    </row>
    <row r="10704" spans="7:12" x14ac:dyDescent="0.2">
      <c r="G10704" s="45"/>
      <c r="L10704" s="8"/>
    </row>
    <row r="10705" spans="7:12" x14ac:dyDescent="0.2">
      <c r="G10705" s="45"/>
      <c r="L10705" s="8"/>
    </row>
    <row r="10706" spans="7:12" x14ac:dyDescent="0.2">
      <c r="G10706" s="45"/>
      <c r="L10706" s="8"/>
    </row>
    <row r="10707" spans="7:12" x14ac:dyDescent="0.2">
      <c r="G10707" s="45"/>
      <c r="L10707" s="8"/>
    </row>
    <row r="10708" spans="7:12" x14ac:dyDescent="0.2">
      <c r="G10708" s="45"/>
      <c r="L10708" s="8"/>
    </row>
    <row r="10709" spans="7:12" x14ac:dyDescent="0.2">
      <c r="G10709" s="45"/>
      <c r="L10709" s="8"/>
    </row>
    <row r="10710" spans="7:12" x14ac:dyDescent="0.2">
      <c r="G10710" s="45"/>
      <c r="L10710" s="8"/>
    </row>
    <row r="10711" spans="7:12" x14ac:dyDescent="0.2">
      <c r="G10711" s="45"/>
      <c r="L10711" s="8"/>
    </row>
    <row r="10712" spans="7:12" x14ac:dyDescent="0.2">
      <c r="G10712" s="45"/>
      <c r="L10712" s="8"/>
    </row>
    <row r="10713" spans="7:12" x14ac:dyDescent="0.2">
      <c r="G10713" s="45"/>
      <c r="L10713" s="8"/>
    </row>
    <row r="10714" spans="7:12" x14ac:dyDescent="0.2">
      <c r="G10714" s="45"/>
      <c r="L10714" s="8"/>
    </row>
    <row r="10715" spans="7:12" x14ac:dyDescent="0.2">
      <c r="G10715" s="45"/>
      <c r="L10715" s="8"/>
    </row>
    <row r="10716" spans="7:12" x14ac:dyDescent="0.2">
      <c r="G10716" s="45"/>
      <c r="L10716" s="8"/>
    </row>
    <row r="10717" spans="7:12" x14ac:dyDescent="0.2">
      <c r="G10717" s="45"/>
      <c r="L10717" s="8"/>
    </row>
    <row r="10718" spans="7:12" x14ac:dyDescent="0.2">
      <c r="G10718" s="45"/>
      <c r="L10718" s="8"/>
    </row>
    <row r="10719" spans="7:12" x14ac:dyDescent="0.2">
      <c r="G10719" s="45"/>
      <c r="L10719" s="8"/>
    </row>
    <row r="10720" spans="7:12" x14ac:dyDescent="0.2">
      <c r="G10720" s="45"/>
      <c r="L10720" s="8"/>
    </row>
    <row r="10721" spans="7:12" x14ac:dyDescent="0.2">
      <c r="G10721" s="45"/>
      <c r="L10721" s="8"/>
    </row>
    <row r="10722" spans="7:12" x14ac:dyDescent="0.2">
      <c r="G10722" s="45"/>
      <c r="L10722" s="8"/>
    </row>
    <row r="10723" spans="7:12" x14ac:dyDescent="0.2">
      <c r="G10723" s="45"/>
      <c r="L10723" s="8"/>
    </row>
    <row r="10724" spans="7:12" x14ac:dyDescent="0.2">
      <c r="G10724" s="45"/>
      <c r="L10724" s="8"/>
    </row>
    <row r="10725" spans="7:12" x14ac:dyDescent="0.2">
      <c r="G10725" s="45"/>
      <c r="L10725" s="8"/>
    </row>
    <row r="10726" spans="7:12" x14ac:dyDescent="0.2">
      <c r="G10726" s="45"/>
      <c r="L10726" s="8"/>
    </row>
    <row r="10727" spans="7:12" x14ac:dyDescent="0.2">
      <c r="G10727" s="45"/>
      <c r="L10727" s="8"/>
    </row>
    <row r="10728" spans="7:12" x14ac:dyDescent="0.2">
      <c r="G10728" s="45"/>
      <c r="L10728" s="8"/>
    </row>
    <row r="10729" spans="7:12" x14ac:dyDescent="0.2">
      <c r="G10729" s="45"/>
      <c r="L10729" s="8"/>
    </row>
    <row r="10730" spans="7:12" x14ac:dyDescent="0.2">
      <c r="G10730" s="45"/>
      <c r="L10730" s="8"/>
    </row>
    <row r="10731" spans="7:12" x14ac:dyDescent="0.2">
      <c r="G10731" s="45"/>
      <c r="L10731" s="8"/>
    </row>
    <row r="10732" spans="7:12" x14ac:dyDescent="0.2">
      <c r="G10732" s="45"/>
      <c r="L10732" s="8"/>
    </row>
    <row r="10733" spans="7:12" x14ac:dyDescent="0.2">
      <c r="G10733" s="45"/>
      <c r="L10733" s="8"/>
    </row>
    <row r="10734" spans="7:12" x14ac:dyDescent="0.2">
      <c r="G10734" s="45"/>
      <c r="L10734" s="8"/>
    </row>
    <row r="10735" spans="7:12" x14ac:dyDescent="0.2">
      <c r="G10735" s="45"/>
      <c r="L10735" s="8"/>
    </row>
    <row r="10736" spans="7:12" x14ac:dyDescent="0.2">
      <c r="G10736" s="45"/>
      <c r="L10736" s="8"/>
    </row>
    <row r="10737" spans="7:12" x14ac:dyDescent="0.2">
      <c r="G10737" s="45"/>
      <c r="L10737" s="8"/>
    </row>
    <row r="10738" spans="7:12" x14ac:dyDescent="0.2">
      <c r="G10738" s="45"/>
      <c r="L10738" s="8"/>
    </row>
    <row r="10739" spans="7:12" x14ac:dyDescent="0.2">
      <c r="G10739" s="45"/>
      <c r="L10739" s="8"/>
    </row>
    <row r="10740" spans="7:12" x14ac:dyDescent="0.2">
      <c r="G10740" s="45"/>
      <c r="L10740" s="8"/>
    </row>
    <row r="10741" spans="7:12" x14ac:dyDescent="0.2">
      <c r="G10741" s="45"/>
      <c r="L10741" s="8"/>
    </row>
    <row r="10742" spans="7:12" x14ac:dyDescent="0.2">
      <c r="G10742" s="45"/>
      <c r="L10742" s="8"/>
    </row>
    <row r="10743" spans="7:12" x14ac:dyDescent="0.2">
      <c r="G10743" s="45"/>
      <c r="L10743" s="8"/>
    </row>
    <row r="10744" spans="7:12" x14ac:dyDescent="0.2">
      <c r="G10744" s="45"/>
      <c r="L10744" s="8"/>
    </row>
    <row r="10745" spans="7:12" x14ac:dyDescent="0.2">
      <c r="G10745" s="45"/>
      <c r="L10745" s="8"/>
    </row>
    <row r="10746" spans="7:12" x14ac:dyDescent="0.2">
      <c r="G10746" s="45"/>
      <c r="L10746" s="8"/>
    </row>
    <row r="10747" spans="7:12" x14ac:dyDescent="0.2">
      <c r="G10747" s="45"/>
      <c r="L10747" s="8"/>
    </row>
    <row r="10748" spans="7:12" x14ac:dyDescent="0.2">
      <c r="G10748" s="45"/>
      <c r="L10748" s="8"/>
    </row>
    <row r="10749" spans="7:12" x14ac:dyDescent="0.2">
      <c r="G10749" s="45"/>
      <c r="L10749" s="8"/>
    </row>
    <row r="10750" spans="7:12" x14ac:dyDescent="0.2">
      <c r="G10750" s="45"/>
      <c r="L10750" s="8"/>
    </row>
    <row r="10751" spans="7:12" x14ac:dyDescent="0.2">
      <c r="G10751" s="45"/>
      <c r="L10751" s="8"/>
    </row>
    <row r="10752" spans="7:12" x14ac:dyDescent="0.2">
      <c r="G10752" s="45"/>
      <c r="L10752" s="8"/>
    </row>
    <row r="10753" spans="7:12" x14ac:dyDescent="0.2">
      <c r="G10753" s="45"/>
      <c r="L10753" s="8"/>
    </row>
    <row r="10754" spans="7:12" x14ac:dyDescent="0.2">
      <c r="G10754" s="45"/>
      <c r="L10754" s="8"/>
    </row>
    <row r="10755" spans="7:12" x14ac:dyDescent="0.2">
      <c r="G10755" s="45"/>
      <c r="L10755" s="8"/>
    </row>
    <row r="10756" spans="7:12" x14ac:dyDescent="0.2">
      <c r="G10756" s="45"/>
      <c r="L10756" s="8"/>
    </row>
    <row r="10757" spans="7:12" x14ac:dyDescent="0.2">
      <c r="G10757" s="45"/>
      <c r="L10757" s="8"/>
    </row>
    <row r="10758" spans="7:12" x14ac:dyDescent="0.2">
      <c r="G10758" s="45"/>
      <c r="L10758" s="8"/>
    </row>
    <row r="10759" spans="7:12" x14ac:dyDescent="0.2">
      <c r="G10759" s="45"/>
      <c r="L10759" s="8"/>
    </row>
    <row r="10760" spans="7:12" x14ac:dyDescent="0.2">
      <c r="G10760" s="45"/>
      <c r="L10760" s="8"/>
    </row>
    <row r="10761" spans="7:12" x14ac:dyDescent="0.2">
      <c r="G10761" s="45"/>
      <c r="L10761" s="8"/>
    </row>
    <row r="10762" spans="7:12" x14ac:dyDescent="0.2">
      <c r="G10762" s="45"/>
      <c r="L10762" s="8"/>
    </row>
    <row r="10763" spans="7:12" x14ac:dyDescent="0.2">
      <c r="G10763" s="45"/>
      <c r="L10763" s="8"/>
    </row>
    <row r="10764" spans="7:12" x14ac:dyDescent="0.2">
      <c r="G10764" s="45"/>
      <c r="L10764" s="8"/>
    </row>
    <row r="10765" spans="7:12" x14ac:dyDescent="0.2">
      <c r="G10765" s="45"/>
      <c r="L10765" s="8"/>
    </row>
    <row r="10766" spans="7:12" x14ac:dyDescent="0.2">
      <c r="G10766" s="45"/>
      <c r="L10766" s="8"/>
    </row>
    <row r="10767" spans="7:12" x14ac:dyDescent="0.2">
      <c r="G10767" s="45"/>
      <c r="L10767" s="8"/>
    </row>
    <row r="10768" spans="7:12" x14ac:dyDescent="0.2">
      <c r="G10768" s="45"/>
      <c r="L10768" s="8"/>
    </row>
    <row r="10769" spans="7:12" x14ac:dyDescent="0.2">
      <c r="G10769" s="45"/>
      <c r="L10769" s="8"/>
    </row>
    <row r="10770" spans="7:12" x14ac:dyDescent="0.2">
      <c r="G10770" s="45"/>
      <c r="L10770" s="8"/>
    </row>
    <row r="10771" spans="7:12" x14ac:dyDescent="0.2">
      <c r="G10771" s="45"/>
      <c r="L10771" s="8"/>
    </row>
    <row r="10772" spans="7:12" x14ac:dyDescent="0.2">
      <c r="G10772" s="45"/>
      <c r="L10772" s="8"/>
    </row>
    <row r="10773" spans="7:12" x14ac:dyDescent="0.2">
      <c r="G10773" s="45"/>
      <c r="L10773" s="8"/>
    </row>
    <row r="10774" spans="7:12" x14ac:dyDescent="0.2">
      <c r="G10774" s="45"/>
      <c r="L10774" s="8"/>
    </row>
    <row r="10775" spans="7:12" x14ac:dyDescent="0.2">
      <c r="G10775" s="45"/>
      <c r="L10775" s="8"/>
    </row>
    <row r="10776" spans="7:12" x14ac:dyDescent="0.2">
      <c r="G10776" s="45"/>
      <c r="L10776" s="8"/>
    </row>
    <row r="10777" spans="7:12" x14ac:dyDescent="0.2">
      <c r="G10777" s="45"/>
      <c r="L10777" s="8"/>
    </row>
    <row r="10778" spans="7:12" x14ac:dyDescent="0.2">
      <c r="G10778" s="45"/>
      <c r="L10778" s="8"/>
    </row>
    <row r="10779" spans="7:12" x14ac:dyDescent="0.2">
      <c r="G10779" s="45"/>
      <c r="L10779" s="8"/>
    </row>
    <row r="10780" spans="7:12" x14ac:dyDescent="0.2">
      <c r="G10780" s="45"/>
      <c r="L10780" s="8"/>
    </row>
    <row r="10781" spans="7:12" x14ac:dyDescent="0.2">
      <c r="G10781" s="45"/>
      <c r="L10781" s="8"/>
    </row>
    <row r="10782" spans="7:12" x14ac:dyDescent="0.2">
      <c r="G10782" s="45"/>
      <c r="L10782" s="8"/>
    </row>
    <row r="10783" spans="7:12" x14ac:dyDescent="0.2">
      <c r="G10783" s="45"/>
      <c r="L10783" s="8"/>
    </row>
    <row r="10784" spans="7:12" x14ac:dyDescent="0.2">
      <c r="G10784" s="45"/>
      <c r="L10784" s="8"/>
    </row>
    <row r="10785" spans="7:12" x14ac:dyDescent="0.2">
      <c r="G10785" s="45"/>
      <c r="L10785" s="8"/>
    </row>
    <row r="10786" spans="7:12" x14ac:dyDescent="0.2">
      <c r="G10786" s="45"/>
      <c r="L10786" s="8"/>
    </row>
    <row r="10787" spans="7:12" x14ac:dyDescent="0.2">
      <c r="G10787" s="45"/>
      <c r="L10787" s="8"/>
    </row>
    <row r="10788" spans="7:12" x14ac:dyDescent="0.2">
      <c r="G10788" s="45"/>
      <c r="L10788" s="8"/>
    </row>
    <row r="10789" spans="7:12" x14ac:dyDescent="0.2">
      <c r="G10789" s="45"/>
      <c r="L10789" s="8"/>
    </row>
    <row r="10790" spans="7:12" x14ac:dyDescent="0.2">
      <c r="G10790" s="45"/>
      <c r="L10790" s="8"/>
    </row>
    <row r="10791" spans="7:12" x14ac:dyDescent="0.2">
      <c r="G10791" s="45"/>
      <c r="L10791" s="8"/>
    </row>
    <row r="10792" spans="7:12" x14ac:dyDescent="0.2">
      <c r="G10792" s="45"/>
      <c r="L10792" s="8"/>
    </row>
    <row r="10793" spans="7:12" x14ac:dyDescent="0.2">
      <c r="G10793" s="45"/>
      <c r="L10793" s="8"/>
    </row>
    <row r="10794" spans="7:12" x14ac:dyDescent="0.2">
      <c r="G10794" s="45"/>
      <c r="L10794" s="8"/>
    </row>
    <row r="10795" spans="7:12" x14ac:dyDescent="0.2">
      <c r="G10795" s="45"/>
      <c r="L10795" s="8"/>
    </row>
    <row r="10796" spans="7:12" x14ac:dyDescent="0.2">
      <c r="G10796" s="45"/>
      <c r="L10796" s="8"/>
    </row>
    <row r="10797" spans="7:12" x14ac:dyDescent="0.2">
      <c r="G10797" s="45"/>
      <c r="L10797" s="8"/>
    </row>
    <row r="10798" spans="7:12" x14ac:dyDescent="0.2">
      <c r="G10798" s="45"/>
      <c r="L10798" s="8"/>
    </row>
    <row r="10799" spans="7:12" x14ac:dyDescent="0.2">
      <c r="G10799" s="45"/>
      <c r="L10799" s="8"/>
    </row>
    <row r="10800" spans="7:12" x14ac:dyDescent="0.2">
      <c r="G10800" s="45"/>
      <c r="L10800" s="8"/>
    </row>
    <row r="10801" spans="7:12" x14ac:dyDescent="0.2">
      <c r="G10801" s="45"/>
      <c r="L10801" s="8"/>
    </row>
    <row r="10802" spans="7:12" x14ac:dyDescent="0.2">
      <c r="G10802" s="45"/>
      <c r="L10802" s="8"/>
    </row>
    <row r="10803" spans="7:12" x14ac:dyDescent="0.2">
      <c r="G10803" s="45"/>
      <c r="L10803" s="8"/>
    </row>
    <row r="10804" spans="7:12" x14ac:dyDescent="0.2">
      <c r="G10804" s="45"/>
      <c r="L10804" s="8"/>
    </row>
    <row r="10805" spans="7:12" x14ac:dyDescent="0.2">
      <c r="G10805" s="45"/>
      <c r="L10805" s="8"/>
    </row>
    <row r="10806" spans="7:12" x14ac:dyDescent="0.2">
      <c r="G10806" s="45"/>
      <c r="L10806" s="8"/>
    </row>
    <row r="10807" spans="7:12" x14ac:dyDescent="0.2">
      <c r="G10807" s="45"/>
      <c r="L10807" s="8"/>
    </row>
    <row r="10808" spans="7:12" x14ac:dyDescent="0.2">
      <c r="G10808" s="45"/>
      <c r="L10808" s="8"/>
    </row>
    <row r="10809" spans="7:12" x14ac:dyDescent="0.2">
      <c r="G10809" s="45"/>
      <c r="L10809" s="8"/>
    </row>
    <row r="10810" spans="7:12" x14ac:dyDescent="0.2">
      <c r="G10810" s="45"/>
      <c r="L10810" s="8"/>
    </row>
    <row r="10811" spans="7:12" x14ac:dyDescent="0.2">
      <c r="G10811" s="45"/>
      <c r="L10811" s="8"/>
    </row>
    <row r="10812" spans="7:12" x14ac:dyDescent="0.2">
      <c r="G10812" s="45"/>
      <c r="L10812" s="8"/>
    </row>
    <row r="10813" spans="7:12" x14ac:dyDescent="0.2">
      <c r="G10813" s="45"/>
      <c r="L10813" s="8"/>
    </row>
    <row r="10814" spans="7:12" x14ac:dyDescent="0.2">
      <c r="G10814" s="45"/>
      <c r="L10814" s="8"/>
    </row>
    <row r="10815" spans="7:12" x14ac:dyDescent="0.2">
      <c r="G10815" s="45"/>
      <c r="L10815" s="8"/>
    </row>
    <row r="10816" spans="7:12" x14ac:dyDescent="0.2">
      <c r="G10816" s="45"/>
      <c r="L10816" s="8"/>
    </row>
    <row r="10817" spans="7:12" x14ac:dyDescent="0.2">
      <c r="G10817" s="45"/>
      <c r="L10817" s="8"/>
    </row>
    <row r="10818" spans="7:12" x14ac:dyDescent="0.2">
      <c r="G10818" s="45"/>
      <c r="L10818" s="8"/>
    </row>
    <row r="10819" spans="7:12" x14ac:dyDescent="0.2">
      <c r="G10819" s="45"/>
      <c r="L10819" s="8"/>
    </row>
    <row r="10820" spans="7:12" x14ac:dyDescent="0.2">
      <c r="G10820" s="45"/>
      <c r="L10820" s="8"/>
    </row>
    <row r="10821" spans="7:12" x14ac:dyDescent="0.2">
      <c r="G10821" s="45"/>
      <c r="L10821" s="8"/>
    </row>
    <row r="10822" spans="7:12" x14ac:dyDescent="0.2">
      <c r="G10822" s="45"/>
      <c r="L10822" s="8"/>
    </row>
    <row r="10823" spans="7:12" x14ac:dyDescent="0.2">
      <c r="G10823" s="45"/>
      <c r="L10823" s="8"/>
    </row>
    <row r="10824" spans="7:12" x14ac:dyDescent="0.2">
      <c r="G10824" s="45"/>
      <c r="L10824" s="8"/>
    </row>
    <row r="10825" spans="7:12" x14ac:dyDescent="0.2">
      <c r="G10825" s="45"/>
      <c r="L10825" s="8"/>
    </row>
    <row r="10826" spans="7:12" x14ac:dyDescent="0.2">
      <c r="G10826" s="45"/>
      <c r="L10826" s="8"/>
    </row>
    <row r="10827" spans="7:12" x14ac:dyDescent="0.2">
      <c r="G10827" s="45"/>
      <c r="L10827" s="8"/>
    </row>
    <row r="10828" spans="7:12" x14ac:dyDescent="0.2">
      <c r="G10828" s="45"/>
      <c r="L10828" s="8"/>
    </row>
    <row r="10829" spans="7:12" x14ac:dyDescent="0.2">
      <c r="G10829" s="45"/>
      <c r="L10829" s="8"/>
    </row>
    <row r="10830" spans="7:12" x14ac:dyDescent="0.2">
      <c r="G10830" s="45"/>
      <c r="L10830" s="8"/>
    </row>
    <row r="10831" spans="7:12" x14ac:dyDescent="0.2">
      <c r="G10831" s="45"/>
      <c r="L10831" s="8"/>
    </row>
    <row r="10832" spans="7:12" x14ac:dyDescent="0.2">
      <c r="G10832" s="45"/>
      <c r="L10832" s="8"/>
    </row>
    <row r="10833" spans="7:12" x14ac:dyDescent="0.2">
      <c r="G10833" s="45"/>
      <c r="L10833" s="8"/>
    </row>
    <row r="10834" spans="7:12" x14ac:dyDescent="0.2">
      <c r="G10834" s="45"/>
      <c r="L10834" s="8"/>
    </row>
    <row r="10835" spans="7:12" x14ac:dyDescent="0.2">
      <c r="G10835" s="45"/>
      <c r="L10835" s="8"/>
    </row>
    <row r="10836" spans="7:12" x14ac:dyDescent="0.2">
      <c r="G10836" s="45"/>
      <c r="L10836" s="8"/>
    </row>
    <row r="10837" spans="7:12" x14ac:dyDescent="0.2">
      <c r="G10837" s="45"/>
      <c r="L10837" s="8"/>
    </row>
    <row r="10838" spans="7:12" x14ac:dyDescent="0.2">
      <c r="G10838" s="45"/>
      <c r="L10838" s="8"/>
    </row>
    <row r="10839" spans="7:12" x14ac:dyDescent="0.2">
      <c r="G10839" s="45"/>
      <c r="L10839" s="8"/>
    </row>
    <row r="10840" spans="7:12" x14ac:dyDescent="0.2">
      <c r="G10840" s="45"/>
      <c r="L10840" s="8"/>
    </row>
    <row r="10841" spans="7:12" x14ac:dyDescent="0.2">
      <c r="G10841" s="45"/>
      <c r="L10841" s="8"/>
    </row>
    <row r="10842" spans="7:12" x14ac:dyDescent="0.2">
      <c r="G10842" s="45"/>
      <c r="L10842" s="8"/>
    </row>
    <row r="10843" spans="7:12" x14ac:dyDescent="0.2">
      <c r="G10843" s="45"/>
      <c r="L10843" s="8"/>
    </row>
    <row r="10844" spans="7:12" x14ac:dyDescent="0.2">
      <c r="G10844" s="45"/>
      <c r="L10844" s="8"/>
    </row>
    <row r="10845" spans="7:12" x14ac:dyDescent="0.2">
      <c r="G10845" s="45"/>
      <c r="L10845" s="8"/>
    </row>
    <row r="10846" spans="7:12" x14ac:dyDescent="0.2">
      <c r="G10846" s="45"/>
      <c r="L10846" s="8"/>
    </row>
    <row r="10847" spans="7:12" x14ac:dyDescent="0.2">
      <c r="G10847" s="45"/>
      <c r="L10847" s="8"/>
    </row>
    <row r="10848" spans="7:12" x14ac:dyDescent="0.2">
      <c r="G10848" s="45"/>
      <c r="L10848" s="8"/>
    </row>
    <row r="10849" spans="7:12" x14ac:dyDescent="0.2">
      <c r="G10849" s="45"/>
      <c r="L10849" s="8"/>
    </row>
    <row r="10850" spans="7:12" x14ac:dyDescent="0.2">
      <c r="G10850" s="45"/>
      <c r="L10850" s="8"/>
    </row>
    <row r="10851" spans="7:12" x14ac:dyDescent="0.2">
      <c r="G10851" s="45"/>
      <c r="L10851" s="8"/>
    </row>
    <row r="10852" spans="7:12" x14ac:dyDescent="0.2">
      <c r="G10852" s="45"/>
      <c r="L10852" s="8"/>
    </row>
    <row r="10853" spans="7:12" x14ac:dyDescent="0.2">
      <c r="G10853" s="45"/>
      <c r="L10853" s="8"/>
    </row>
    <row r="10854" spans="7:12" x14ac:dyDescent="0.2">
      <c r="G10854" s="45"/>
      <c r="L10854" s="8"/>
    </row>
    <row r="10855" spans="7:12" x14ac:dyDescent="0.2">
      <c r="G10855" s="45"/>
      <c r="L10855" s="8"/>
    </row>
    <row r="10856" spans="7:12" x14ac:dyDescent="0.2">
      <c r="G10856" s="45"/>
      <c r="L10856" s="8"/>
    </row>
    <row r="10857" spans="7:12" x14ac:dyDescent="0.2">
      <c r="G10857" s="45"/>
      <c r="L10857" s="8"/>
    </row>
    <row r="10858" spans="7:12" x14ac:dyDescent="0.2">
      <c r="G10858" s="45"/>
      <c r="L10858" s="8"/>
    </row>
    <row r="10859" spans="7:12" x14ac:dyDescent="0.2">
      <c r="G10859" s="45"/>
      <c r="L10859" s="8"/>
    </row>
    <row r="10860" spans="7:12" x14ac:dyDescent="0.2">
      <c r="G10860" s="45"/>
      <c r="L10860" s="8"/>
    </row>
    <row r="10861" spans="7:12" x14ac:dyDescent="0.2">
      <c r="G10861" s="45"/>
      <c r="L10861" s="8"/>
    </row>
    <row r="10862" spans="7:12" x14ac:dyDescent="0.2">
      <c r="G10862" s="45"/>
      <c r="L10862" s="8"/>
    </row>
    <row r="10863" spans="7:12" x14ac:dyDescent="0.2">
      <c r="G10863" s="45"/>
      <c r="L10863" s="8"/>
    </row>
    <row r="10864" spans="7:12" x14ac:dyDescent="0.2">
      <c r="G10864" s="45"/>
      <c r="L10864" s="8"/>
    </row>
    <row r="10865" spans="7:12" x14ac:dyDescent="0.2">
      <c r="G10865" s="45"/>
      <c r="L10865" s="8"/>
    </row>
    <row r="10866" spans="7:12" x14ac:dyDescent="0.2">
      <c r="G10866" s="45"/>
      <c r="L10866" s="8"/>
    </row>
    <row r="10867" spans="7:12" x14ac:dyDescent="0.2">
      <c r="G10867" s="45"/>
      <c r="L10867" s="8"/>
    </row>
    <row r="10868" spans="7:12" x14ac:dyDescent="0.2">
      <c r="G10868" s="45"/>
      <c r="L10868" s="8"/>
    </row>
    <row r="10869" spans="7:12" x14ac:dyDescent="0.2">
      <c r="G10869" s="45"/>
      <c r="L10869" s="8"/>
    </row>
    <row r="10870" spans="7:12" x14ac:dyDescent="0.2">
      <c r="G10870" s="45"/>
      <c r="L10870" s="8"/>
    </row>
    <row r="10871" spans="7:12" x14ac:dyDescent="0.2">
      <c r="G10871" s="45"/>
      <c r="L10871" s="8"/>
    </row>
    <row r="10872" spans="7:12" x14ac:dyDescent="0.2">
      <c r="G10872" s="45"/>
      <c r="L10872" s="8"/>
    </row>
    <row r="10873" spans="7:12" x14ac:dyDescent="0.2">
      <c r="G10873" s="45"/>
      <c r="L10873" s="8"/>
    </row>
    <row r="10874" spans="7:12" x14ac:dyDescent="0.2">
      <c r="G10874" s="45"/>
      <c r="L10874" s="8"/>
    </row>
    <row r="10875" spans="7:12" x14ac:dyDescent="0.2">
      <c r="G10875" s="45"/>
      <c r="L10875" s="8"/>
    </row>
    <row r="10876" spans="7:12" x14ac:dyDescent="0.2">
      <c r="G10876" s="45"/>
      <c r="L10876" s="8"/>
    </row>
    <row r="10877" spans="7:12" x14ac:dyDescent="0.2">
      <c r="G10877" s="45"/>
      <c r="L10877" s="8"/>
    </row>
    <row r="10878" spans="7:12" x14ac:dyDescent="0.2">
      <c r="G10878" s="45"/>
      <c r="L10878" s="8"/>
    </row>
    <row r="10879" spans="7:12" x14ac:dyDescent="0.2">
      <c r="G10879" s="45"/>
      <c r="L10879" s="8"/>
    </row>
    <row r="10880" spans="7:12" x14ac:dyDescent="0.2">
      <c r="G10880" s="45"/>
      <c r="L10880" s="8"/>
    </row>
    <row r="10881" spans="7:12" x14ac:dyDescent="0.2">
      <c r="G10881" s="45"/>
      <c r="L10881" s="8"/>
    </row>
    <row r="10882" spans="7:12" x14ac:dyDescent="0.2">
      <c r="G10882" s="45"/>
      <c r="L10882" s="8"/>
    </row>
    <row r="10883" spans="7:12" x14ac:dyDescent="0.2">
      <c r="G10883" s="45"/>
      <c r="L10883" s="8"/>
    </row>
    <row r="10884" spans="7:12" x14ac:dyDescent="0.2">
      <c r="G10884" s="45"/>
      <c r="L10884" s="8"/>
    </row>
    <row r="10885" spans="7:12" x14ac:dyDescent="0.2">
      <c r="G10885" s="45"/>
      <c r="L10885" s="8"/>
    </row>
    <row r="10886" spans="7:12" x14ac:dyDescent="0.2">
      <c r="G10886" s="45"/>
      <c r="L10886" s="8"/>
    </row>
    <row r="10887" spans="7:12" x14ac:dyDescent="0.2">
      <c r="G10887" s="45"/>
      <c r="L10887" s="8"/>
    </row>
    <row r="10888" spans="7:12" x14ac:dyDescent="0.2">
      <c r="G10888" s="45"/>
      <c r="L10888" s="8"/>
    </row>
    <row r="10889" spans="7:12" x14ac:dyDescent="0.2">
      <c r="G10889" s="45"/>
      <c r="L10889" s="8"/>
    </row>
    <row r="10890" spans="7:12" x14ac:dyDescent="0.2">
      <c r="G10890" s="45"/>
      <c r="L10890" s="8"/>
    </row>
    <row r="10891" spans="7:12" x14ac:dyDescent="0.2">
      <c r="G10891" s="45"/>
      <c r="L10891" s="8"/>
    </row>
    <row r="10892" spans="7:12" x14ac:dyDescent="0.2">
      <c r="G10892" s="45"/>
      <c r="L10892" s="8"/>
    </row>
    <row r="10893" spans="7:12" x14ac:dyDescent="0.2">
      <c r="G10893" s="45"/>
      <c r="L10893" s="8"/>
    </row>
    <row r="10894" spans="7:12" x14ac:dyDescent="0.2">
      <c r="G10894" s="45"/>
      <c r="L10894" s="8"/>
    </row>
    <row r="10895" spans="7:12" x14ac:dyDescent="0.2">
      <c r="G10895" s="45"/>
      <c r="L10895" s="8"/>
    </row>
    <row r="10896" spans="7:12" x14ac:dyDescent="0.2">
      <c r="G10896" s="45"/>
      <c r="L10896" s="8"/>
    </row>
    <row r="10897" spans="7:12" x14ac:dyDescent="0.2">
      <c r="G10897" s="45"/>
      <c r="L10897" s="8"/>
    </row>
    <row r="10898" spans="7:12" x14ac:dyDescent="0.2">
      <c r="G10898" s="45"/>
      <c r="L10898" s="8"/>
    </row>
    <row r="10899" spans="7:12" x14ac:dyDescent="0.2">
      <c r="G10899" s="45"/>
      <c r="L10899" s="8"/>
    </row>
    <row r="10900" spans="7:12" x14ac:dyDescent="0.2">
      <c r="G10900" s="45"/>
      <c r="L10900" s="8"/>
    </row>
    <row r="10901" spans="7:12" x14ac:dyDescent="0.2">
      <c r="G10901" s="45"/>
      <c r="L10901" s="8"/>
    </row>
    <row r="10902" spans="7:12" x14ac:dyDescent="0.2">
      <c r="G10902" s="45"/>
      <c r="L10902" s="8"/>
    </row>
    <row r="10903" spans="7:12" x14ac:dyDescent="0.2">
      <c r="G10903" s="45"/>
      <c r="L10903" s="8"/>
    </row>
    <row r="10904" spans="7:12" x14ac:dyDescent="0.2">
      <c r="G10904" s="45"/>
      <c r="L10904" s="8"/>
    </row>
    <row r="10905" spans="7:12" x14ac:dyDescent="0.2">
      <c r="G10905" s="45"/>
      <c r="L10905" s="8"/>
    </row>
    <row r="10906" spans="7:12" x14ac:dyDescent="0.2">
      <c r="G10906" s="45"/>
      <c r="L10906" s="8"/>
    </row>
    <row r="10907" spans="7:12" x14ac:dyDescent="0.2">
      <c r="G10907" s="45"/>
      <c r="L10907" s="8"/>
    </row>
    <row r="10908" spans="7:12" x14ac:dyDescent="0.2">
      <c r="G10908" s="45"/>
      <c r="L10908" s="8"/>
    </row>
    <row r="10909" spans="7:12" x14ac:dyDescent="0.2">
      <c r="G10909" s="45"/>
      <c r="L10909" s="8"/>
    </row>
    <row r="10910" spans="7:12" x14ac:dyDescent="0.2">
      <c r="G10910" s="45"/>
      <c r="L10910" s="8"/>
    </row>
    <row r="10911" spans="7:12" x14ac:dyDescent="0.2">
      <c r="G10911" s="45"/>
      <c r="L10911" s="8"/>
    </row>
    <row r="10912" spans="7:12" x14ac:dyDescent="0.2">
      <c r="G10912" s="45"/>
      <c r="L10912" s="8"/>
    </row>
    <row r="10913" spans="7:12" x14ac:dyDescent="0.2">
      <c r="G10913" s="45"/>
      <c r="L10913" s="8"/>
    </row>
    <row r="10914" spans="7:12" x14ac:dyDescent="0.2">
      <c r="G10914" s="45"/>
      <c r="L10914" s="8"/>
    </row>
    <row r="10915" spans="7:12" x14ac:dyDescent="0.2">
      <c r="G10915" s="45"/>
      <c r="L10915" s="8"/>
    </row>
    <row r="10916" spans="7:12" x14ac:dyDescent="0.2">
      <c r="G10916" s="45"/>
      <c r="L10916" s="8"/>
    </row>
    <row r="10917" spans="7:12" x14ac:dyDescent="0.2">
      <c r="G10917" s="45"/>
      <c r="L10917" s="8"/>
    </row>
    <row r="10918" spans="7:12" x14ac:dyDescent="0.2">
      <c r="G10918" s="45"/>
      <c r="L10918" s="8"/>
    </row>
    <row r="10919" spans="7:12" x14ac:dyDescent="0.2">
      <c r="G10919" s="45"/>
      <c r="L10919" s="8"/>
    </row>
    <row r="10920" spans="7:12" x14ac:dyDescent="0.2">
      <c r="G10920" s="45"/>
      <c r="L10920" s="8"/>
    </row>
    <row r="10921" spans="7:12" x14ac:dyDescent="0.2">
      <c r="G10921" s="45"/>
      <c r="L10921" s="8"/>
    </row>
    <row r="10922" spans="7:12" x14ac:dyDescent="0.2">
      <c r="G10922" s="45"/>
      <c r="L10922" s="8"/>
    </row>
    <row r="10923" spans="7:12" x14ac:dyDescent="0.2">
      <c r="G10923" s="45"/>
      <c r="L10923" s="8"/>
    </row>
    <row r="10924" spans="7:12" x14ac:dyDescent="0.2">
      <c r="G10924" s="45"/>
      <c r="L10924" s="8"/>
    </row>
    <row r="10925" spans="7:12" x14ac:dyDescent="0.2">
      <c r="G10925" s="45"/>
      <c r="L10925" s="8"/>
    </row>
    <row r="10926" spans="7:12" x14ac:dyDescent="0.2">
      <c r="G10926" s="45"/>
      <c r="L10926" s="8"/>
    </row>
    <row r="10927" spans="7:12" x14ac:dyDescent="0.2">
      <c r="G10927" s="45"/>
      <c r="L10927" s="8"/>
    </row>
    <row r="10928" spans="7:12" x14ac:dyDescent="0.2">
      <c r="G10928" s="45"/>
      <c r="L10928" s="8"/>
    </row>
    <row r="10929" spans="7:12" x14ac:dyDescent="0.2">
      <c r="G10929" s="45"/>
      <c r="L10929" s="8"/>
    </row>
    <row r="10930" spans="7:12" x14ac:dyDescent="0.2">
      <c r="G10930" s="45"/>
      <c r="L10930" s="8"/>
    </row>
    <row r="10931" spans="7:12" x14ac:dyDescent="0.2">
      <c r="G10931" s="45"/>
      <c r="L10931" s="8"/>
    </row>
    <row r="10932" spans="7:12" x14ac:dyDescent="0.2">
      <c r="G10932" s="45"/>
      <c r="L10932" s="8"/>
    </row>
    <row r="10933" spans="7:12" x14ac:dyDescent="0.2">
      <c r="G10933" s="45"/>
      <c r="L10933" s="8"/>
    </row>
    <row r="10934" spans="7:12" x14ac:dyDescent="0.2">
      <c r="G10934" s="45"/>
      <c r="L10934" s="8"/>
    </row>
    <row r="10935" spans="7:12" x14ac:dyDescent="0.2">
      <c r="G10935" s="45"/>
      <c r="L10935" s="8"/>
    </row>
    <row r="10936" spans="7:12" x14ac:dyDescent="0.2">
      <c r="G10936" s="45"/>
      <c r="L10936" s="8"/>
    </row>
    <row r="10937" spans="7:12" x14ac:dyDescent="0.2">
      <c r="G10937" s="45"/>
      <c r="L10937" s="8"/>
    </row>
    <row r="10938" spans="7:12" x14ac:dyDescent="0.2">
      <c r="G10938" s="45"/>
      <c r="L10938" s="8"/>
    </row>
    <row r="10939" spans="7:12" x14ac:dyDescent="0.2">
      <c r="G10939" s="45"/>
      <c r="L10939" s="8"/>
    </row>
    <row r="10940" spans="7:12" x14ac:dyDescent="0.2">
      <c r="G10940" s="45"/>
      <c r="L10940" s="8"/>
    </row>
    <row r="10941" spans="7:12" x14ac:dyDescent="0.2">
      <c r="G10941" s="45"/>
      <c r="L10941" s="8"/>
    </row>
    <row r="10942" spans="7:12" x14ac:dyDescent="0.2">
      <c r="G10942" s="45"/>
      <c r="L10942" s="8"/>
    </row>
    <row r="10943" spans="7:12" x14ac:dyDescent="0.2">
      <c r="G10943" s="45"/>
      <c r="L10943" s="8"/>
    </row>
    <row r="10944" spans="7:12" x14ac:dyDescent="0.2">
      <c r="G10944" s="45"/>
      <c r="L10944" s="8"/>
    </row>
    <row r="10945" spans="7:12" x14ac:dyDescent="0.2">
      <c r="G10945" s="45"/>
      <c r="L10945" s="8"/>
    </row>
    <row r="10946" spans="7:12" x14ac:dyDescent="0.2">
      <c r="G10946" s="45"/>
      <c r="L10946" s="8"/>
    </row>
    <row r="10947" spans="7:12" x14ac:dyDescent="0.2">
      <c r="G10947" s="45"/>
      <c r="L10947" s="8"/>
    </row>
    <row r="10948" spans="7:12" x14ac:dyDescent="0.2">
      <c r="G10948" s="45"/>
      <c r="L10948" s="8"/>
    </row>
    <row r="10949" spans="7:12" x14ac:dyDescent="0.2">
      <c r="G10949" s="45"/>
      <c r="L10949" s="8"/>
    </row>
    <row r="10950" spans="7:12" x14ac:dyDescent="0.2">
      <c r="G10950" s="45"/>
      <c r="L10950" s="8"/>
    </row>
    <row r="10951" spans="7:12" x14ac:dyDescent="0.2">
      <c r="G10951" s="45"/>
      <c r="L10951" s="8"/>
    </row>
    <row r="10952" spans="7:12" x14ac:dyDescent="0.2">
      <c r="G10952" s="45"/>
      <c r="L10952" s="8"/>
    </row>
    <row r="10953" spans="7:12" x14ac:dyDescent="0.2">
      <c r="G10953" s="45"/>
      <c r="L10953" s="8"/>
    </row>
    <row r="10954" spans="7:12" x14ac:dyDescent="0.2">
      <c r="G10954" s="45"/>
      <c r="L10954" s="8"/>
    </row>
    <row r="10955" spans="7:12" x14ac:dyDescent="0.2">
      <c r="G10955" s="45"/>
      <c r="L10955" s="8"/>
    </row>
    <row r="10956" spans="7:12" x14ac:dyDescent="0.2">
      <c r="G10956" s="45"/>
      <c r="L10956" s="8"/>
    </row>
    <row r="10957" spans="7:12" x14ac:dyDescent="0.2">
      <c r="G10957" s="45"/>
      <c r="L10957" s="8"/>
    </row>
    <row r="10958" spans="7:12" x14ac:dyDescent="0.2">
      <c r="G10958" s="45"/>
      <c r="L10958" s="8"/>
    </row>
    <row r="10959" spans="7:12" x14ac:dyDescent="0.2">
      <c r="G10959" s="45"/>
      <c r="L10959" s="8"/>
    </row>
    <row r="10960" spans="7:12" x14ac:dyDescent="0.2">
      <c r="G10960" s="45"/>
      <c r="L10960" s="8"/>
    </row>
    <row r="10961" spans="7:12" x14ac:dyDescent="0.2">
      <c r="G10961" s="45"/>
      <c r="L10961" s="8"/>
    </row>
    <row r="10962" spans="7:12" x14ac:dyDescent="0.2">
      <c r="G10962" s="45"/>
      <c r="L10962" s="8"/>
    </row>
    <row r="10963" spans="7:12" x14ac:dyDescent="0.2">
      <c r="G10963" s="45"/>
      <c r="L10963" s="8"/>
    </row>
    <row r="10964" spans="7:12" x14ac:dyDescent="0.2">
      <c r="G10964" s="45"/>
      <c r="L10964" s="8"/>
    </row>
    <row r="10965" spans="7:12" x14ac:dyDescent="0.2">
      <c r="G10965" s="45"/>
      <c r="L10965" s="8"/>
    </row>
    <row r="10966" spans="7:12" x14ac:dyDescent="0.2">
      <c r="G10966" s="45"/>
      <c r="L10966" s="8"/>
    </row>
    <row r="10967" spans="7:12" x14ac:dyDescent="0.2">
      <c r="G10967" s="45"/>
      <c r="L10967" s="8"/>
    </row>
    <row r="10968" spans="7:12" x14ac:dyDescent="0.2">
      <c r="G10968" s="45"/>
      <c r="L10968" s="8"/>
    </row>
    <row r="10969" spans="7:12" x14ac:dyDescent="0.2">
      <c r="G10969" s="45"/>
      <c r="L10969" s="8"/>
    </row>
    <row r="10970" spans="7:12" x14ac:dyDescent="0.2">
      <c r="G10970" s="45"/>
      <c r="L10970" s="8"/>
    </row>
    <row r="10971" spans="7:12" x14ac:dyDescent="0.2">
      <c r="G10971" s="45"/>
      <c r="L10971" s="8"/>
    </row>
    <row r="10972" spans="7:12" x14ac:dyDescent="0.2">
      <c r="G10972" s="45"/>
      <c r="L10972" s="8"/>
    </row>
    <row r="10973" spans="7:12" x14ac:dyDescent="0.2">
      <c r="G10973" s="45"/>
      <c r="L10973" s="8"/>
    </row>
    <row r="10974" spans="7:12" x14ac:dyDescent="0.2">
      <c r="G10974" s="45"/>
      <c r="L10974" s="8"/>
    </row>
    <row r="10975" spans="7:12" x14ac:dyDescent="0.2">
      <c r="G10975" s="45"/>
      <c r="L10975" s="8"/>
    </row>
    <row r="10976" spans="7:12" x14ac:dyDescent="0.2">
      <c r="G10976" s="45"/>
      <c r="L10976" s="8"/>
    </row>
    <row r="10977" spans="7:12" x14ac:dyDescent="0.2">
      <c r="G10977" s="45"/>
      <c r="L10977" s="8"/>
    </row>
    <row r="10978" spans="7:12" x14ac:dyDescent="0.2">
      <c r="G10978" s="45"/>
      <c r="L10978" s="8"/>
    </row>
    <row r="10979" spans="7:12" x14ac:dyDescent="0.2">
      <c r="G10979" s="45"/>
      <c r="L10979" s="8"/>
    </row>
    <row r="10980" spans="7:12" x14ac:dyDescent="0.2">
      <c r="G10980" s="45"/>
      <c r="L10980" s="8"/>
    </row>
    <row r="10981" spans="7:12" x14ac:dyDescent="0.2">
      <c r="G10981" s="45"/>
      <c r="L10981" s="8"/>
    </row>
    <row r="10982" spans="7:12" x14ac:dyDescent="0.2">
      <c r="G10982" s="45"/>
      <c r="L10982" s="8"/>
    </row>
    <row r="10983" spans="7:12" x14ac:dyDescent="0.2">
      <c r="G10983" s="45"/>
      <c r="L10983" s="8"/>
    </row>
    <row r="10984" spans="7:12" x14ac:dyDescent="0.2">
      <c r="G10984" s="45"/>
      <c r="L10984" s="8"/>
    </row>
    <row r="10985" spans="7:12" x14ac:dyDescent="0.2">
      <c r="G10985" s="45"/>
      <c r="L10985" s="8"/>
    </row>
    <row r="10986" spans="7:12" x14ac:dyDescent="0.2">
      <c r="G10986" s="45"/>
      <c r="L10986" s="8"/>
    </row>
    <row r="10987" spans="7:12" x14ac:dyDescent="0.2">
      <c r="G10987" s="45"/>
      <c r="L10987" s="8"/>
    </row>
    <row r="10988" spans="7:12" x14ac:dyDescent="0.2">
      <c r="G10988" s="45"/>
      <c r="L10988" s="8"/>
    </row>
    <row r="10989" spans="7:12" x14ac:dyDescent="0.2">
      <c r="G10989" s="45"/>
      <c r="L10989" s="8"/>
    </row>
    <row r="10990" spans="7:12" x14ac:dyDescent="0.2">
      <c r="G10990" s="45"/>
      <c r="L10990" s="8"/>
    </row>
    <row r="10991" spans="7:12" x14ac:dyDescent="0.2">
      <c r="G10991" s="45"/>
      <c r="L10991" s="8"/>
    </row>
    <row r="10992" spans="7:12" x14ac:dyDescent="0.2">
      <c r="G10992" s="45"/>
      <c r="L10992" s="8"/>
    </row>
    <row r="10993" spans="7:12" x14ac:dyDescent="0.2">
      <c r="G10993" s="45"/>
      <c r="L10993" s="8"/>
    </row>
    <row r="10994" spans="7:12" x14ac:dyDescent="0.2">
      <c r="G10994" s="45"/>
      <c r="L10994" s="8"/>
    </row>
    <row r="10995" spans="7:12" x14ac:dyDescent="0.2">
      <c r="G10995" s="45"/>
      <c r="L10995" s="8"/>
    </row>
    <row r="10996" spans="7:12" x14ac:dyDescent="0.2">
      <c r="G10996" s="45"/>
      <c r="L10996" s="8"/>
    </row>
    <row r="10997" spans="7:12" x14ac:dyDescent="0.2">
      <c r="G10997" s="45"/>
      <c r="L10997" s="8"/>
    </row>
    <row r="10998" spans="7:12" x14ac:dyDescent="0.2">
      <c r="G10998" s="45"/>
      <c r="L10998" s="8"/>
    </row>
    <row r="10999" spans="7:12" x14ac:dyDescent="0.2">
      <c r="G10999" s="45"/>
      <c r="L10999" s="8"/>
    </row>
    <row r="11000" spans="7:12" x14ac:dyDescent="0.2">
      <c r="G11000" s="45"/>
      <c r="L11000" s="8"/>
    </row>
    <row r="11001" spans="7:12" x14ac:dyDescent="0.2">
      <c r="G11001" s="45"/>
      <c r="L11001" s="8"/>
    </row>
    <row r="11002" spans="7:12" x14ac:dyDescent="0.2">
      <c r="G11002" s="45"/>
      <c r="L11002" s="8"/>
    </row>
    <row r="11003" spans="7:12" x14ac:dyDescent="0.2">
      <c r="G11003" s="45"/>
      <c r="L11003" s="8"/>
    </row>
    <row r="11004" spans="7:12" x14ac:dyDescent="0.2">
      <c r="G11004" s="45"/>
      <c r="L11004" s="8"/>
    </row>
    <row r="11005" spans="7:12" x14ac:dyDescent="0.2">
      <c r="G11005" s="45"/>
      <c r="L11005" s="8"/>
    </row>
    <row r="11006" spans="7:12" x14ac:dyDescent="0.2">
      <c r="G11006" s="45"/>
      <c r="L11006" s="8"/>
    </row>
    <row r="11007" spans="7:12" x14ac:dyDescent="0.2">
      <c r="G11007" s="45"/>
      <c r="L11007" s="8"/>
    </row>
    <row r="11008" spans="7:12" x14ac:dyDescent="0.2">
      <c r="G11008" s="45"/>
      <c r="L11008" s="8"/>
    </row>
    <row r="11009" spans="7:12" x14ac:dyDescent="0.2">
      <c r="G11009" s="45"/>
      <c r="L11009" s="8"/>
    </row>
    <row r="11010" spans="7:12" x14ac:dyDescent="0.2">
      <c r="G11010" s="45"/>
      <c r="L11010" s="8"/>
    </row>
    <row r="11011" spans="7:12" x14ac:dyDescent="0.2">
      <c r="G11011" s="45"/>
      <c r="L11011" s="8"/>
    </row>
    <row r="11012" spans="7:12" x14ac:dyDescent="0.2">
      <c r="G11012" s="45"/>
      <c r="L11012" s="8"/>
    </row>
    <row r="11013" spans="7:12" x14ac:dyDescent="0.2">
      <c r="G11013" s="45"/>
      <c r="L11013" s="8"/>
    </row>
    <row r="11014" spans="7:12" x14ac:dyDescent="0.2">
      <c r="G11014" s="45"/>
      <c r="L11014" s="8"/>
    </row>
    <row r="11015" spans="7:12" x14ac:dyDescent="0.2">
      <c r="G11015" s="45"/>
      <c r="L11015" s="8"/>
    </row>
    <row r="11016" spans="7:12" x14ac:dyDescent="0.2">
      <c r="G11016" s="45"/>
      <c r="L11016" s="8"/>
    </row>
    <row r="11017" spans="7:12" x14ac:dyDescent="0.2">
      <c r="G11017" s="45"/>
      <c r="L11017" s="8"/>
    </row>
    <row r="11018" spans="7:12" x14ac:dyDescent="0.2">
      <c r="G11018" s="45"/>
      <c r="L11018" s="8"/>
    </row>
    <row r="11019" spans="7:12" x14ac:dyDescent="0.2">
      <c r="G11019" s="45"/>
      <c r="L11019" s="8"/>
    </row>
    <row r="11020" spans="7:12" x14ac:dyDescent="0.2">
      <c r="G11020" s="45"/>
      <c r="L11020" s="8"/>
    </row>
    <row r="11021" spans="7:12" x14ac:dyDescent="0.2">
      <c r="G11021" s="45"/>
      <c r="L11021" s="8"/>
    </row>
    <row r="11022" spans="7:12" x14ac:dyDescent="0.2">
      <c r="G11022" s="45"/>
      <c r="L11022" s="8"/>
    </row>
    <row r="11023" spans="7:12" x14ac:dyDescent="0.2">
      <c r="G11023" s="45"/>
      <c r="L11023" s="8"/>
    </row>
    <row r="11024" spans="7:12" x14ac:dyDescent="0.2">
      <c r="G11024" s="45"/>
      <c r="L11024" s="8"/>
    </row>
    <row r="11025" spans="7:12" x14ac:dyDescent="0.2">
      <c r="G11025" s="45"/>
      <c r="L11025" s="8"/>
    </row>
    <row r="11026" spans="7:12" x14ac:dyDescent="0.2">
      <c r="G11026" s="45"/>
      <c r="L11026" s="8"/>
    </row>
    <row r="11027" spans="7:12" x14ac:dyDescent="0.2">
      <c r="G11027" s="45"/>
      <c r="L11027" s="8"/>
    </row>
    <row r="11028" spans="7:12" x14ac:dyDescent="0.2">
      <c r="G11028" s="45"/>
      <c r="L11028" s="8"/>
    </row>
    <row r="11029" spans="7:12" x14ac:dyDescent="0.2">
      <c r="G11029" s="45"/>
      <c r="L11029" s="8"/>
    </row>
    <row r="11030" spans="7:12" x14ac:dyDescent="0.2">
      <c r="G11030" s="45"/>
      <c r="L11030" s="8"/>
    </row>
    <row r="11031" spans="7:12" x14ac:dyDescent="0.2">
      <c r="G11031" s="45"/>
      <c r="L11031" s="8"/>
    </row>
    <row r="11032" spans="7:12" x14ac:dyDescent="0.2">
      <c r="G11032" s="45"/>
      <c r="L11032" s="8"/>
    </row>
    <row r="11033" spans="7:12" x14ac:dyDescent="0.2">
      <c r="G11033" s="45"/>
      <c r="L11033" s="8"/>
    </row>
    <row r="11034" spans="7:12" x14ac:dyDescent="0.2">
      <c r="G11034" s="45"/>
      <c r="L11034" s="8"/>
    </row>
    <row r="11035" spans="7:12" x14ac:dyDescent="0.2">
      <c r="G11035" s="45"/>
      <c r="L11035" s="8"/>
    </row>
    <row r="11036" spans="7:12" x14ac:dyDescent="0.2">
      <c r="G11036" s="45"/>
      <c r="L11036" s="8"/>
    </row>
    <row r="11037" spans="7:12" x14ac:dyDescent="0.2">
      <c r="G11037" s="45"/>
      <c r="L11037" s="8"/>
    </row>
    <row r="11038" spans="7:12" x14ac:dyDescent="0.2">
      <c r="G11038" s="45"/>
      <c r="L11038" s="8"/>
    </row>
    <row r="11039" spans="7:12" x14ac:dyDescent="0.2">
      <c r="G11039" s="45"/>
      <c r="L11039" s="8"/>
    </row>
    <row r="11040" spans="7:12" x14ac:dyDescent="0.2">
      <c r="G11040" s="45"/>
      <c r="L11040" s="8"/>
    </row>
    <row r="11041" spans="7:12" x14ac:dyDescent="0.2">
      <c r="G11041" s="45"/>
      <c r="L11041" s="8"/>
    </row>
    <row r="11042" spans="7:12" x14ac:dyDescent="0.2">
      <c r="G11042" s="45"/>
      <c r="L11042" s="8"/>
    </row>
    <row r="11043" spans="7:12" x14ac:dyDescent="0.2">
      <c r="G11043" s="45"/>
      <c r="L11043" s="8"/>
    </row>
    <row r="11044" spans="7:12" x14ac:dyDescent="0.2">
      <c r="G11044" s="45"/>
      <c r="L11044" s="8"/>
    </row>
    <row r="11045" spans="7:12" x14ac:dyDescent="0.2">
      <c r="G11045" s="45"/>
      <c r="L11045" s="8"/>
    </row>
    <row r="11046" spans="7:12" x14ac:dyDescent="0.2">
      <c r="G11046" s="45"/>
      <c r="L11046" s="8"/>
    </row>
    <row r="11047" spans="7:12" x14ac:dyDescent="0.2">
      <c r="G11047" s="45"/>
      <c r="L11047" s="8"/>
    </row>
    <row r="11048" spans="7:12" x14ac:dyDescent="0.2">
      <c r="G11048" s="45"/>
      <c r="L11048" s="8"/>
    </row>
    <row r="11049" spans="7:12" x14ac:dyDescent="0.2">
      <c r="G11049" s="45"/>
      <c r="L11049" s="8"/>
    </row>
    <row r="11050" spans="7:12" x14ac:dyDescent="0.2">
      <c r="G11050" s="45"/>
      <c r="L11050" s="8"/>
    </row>
    <row r="11051" spans="7:12" x14ac:dyDescent="0.2">
      <c r="G11051" s="45"/>
      <c r="L11051" s="8"/>
    </row>
    <row r="11052" spans="7:12" x14ac:dyDescent="0.2">
      <c r="G11052" s="45"/>
      <c r="L11052" s="8"/>
    </row>
    <row r="11053" spans="7:12" x14ac:dyDescent="0.2">
      <c r="G11053" s="45"/>
      <c r="L11053" s="8"/>
    </row>
    <row r="11054" spans="7:12" x14ac:dyDescent="0.2">
      <c r="G11054" s="45"/>
      <c r="L11054" s="8"/>
    </row>
    <row r="11055" spans="7:12" x14ac:dyDescent="0.2">
      <c r="G11055" s="45"/>
      <c r="L11055" s="8"/>
    </row>
    <row r="11056" spans="7:12" x14ac:dyDescent="0.2">
      <c r="G11056" s="45"/>
      <c r="L11056" s="8"/>
    </row>
    <row r="11057" spans="7:12" x14ac:dyDescent="0.2">
      <c r="G11057" s="45"/>
      <c r="L11057" s="8"/>
    </row>
    <row r="11058" spans="7:12" x14ac:dyDescent="0.2">
      <c r="G11058" s="45"/>
      <c r="L11058" s="8"/>
    </row>
    <row r="11059" spans="7:12" x14ac:dyDescent="0.2">
      <c r="G11059" s="45"/>
      <c r="L11059" s="8"/>
    </row>
    <row r="11060" spans="7:12" x14ac:dyDescent="0.2">
      <c r="G11060" s="45"/>
      <c r="L11060" s="8"/>
    </row>
    <row r="11061" spans="7:12" x14ac:dyDescent="0.2">
      <c r="G11061" s="45"/>
      <c r="L11061" s="8"/>
    </row>
    <row r="11062" spans="7:12" x14ac:dyDescent="0.2">
      <c r="G11062" s="45"/>
      <c r="L11062" s="8"/>
    </row>
    <row r="11063" spans="7:12" x14ac:dyDescent="0.2">
      <c r="G11063" s="45"/>
      <c r="L11063" s="8"/>
    </row>
    <row r="11064" spans="7:12" x14ac:dyDescent="0.2">
      <c r="G11064" s="45"/>
      <c r="L11064" s="8"/>
    </row>
    <row r="11065" spans="7:12" x14ac:dyDescent="0.2">
      <c r="G11065" s="45"/>
      <c r="L11065" s="8"/>
    </row>
    <row r="11066" spans="7:12" x14ac:dyDescent="0.2">
      <c r="G11066" s="45"/>
      <c r="L11066" s="8"/>
    </row>
    <row r="11067" spans="7:12" x14ac:dyDescent="0.2">
      <c r="G11067" s="45"/>
      <c r="L11067" s="8"/>
    </row>
    <row r="11068" spans="7:12" x14ac:dyDescent="0.2">
      <c r="G11068" s="45"/>
      <c r="L11068" s="8"/>
    </row>
    <row r="11069" spans="7:12" x14ac:dyDescent="0.2">
      <c r="G11069" s="45"/>
      <c r="L11069" s="8"/>
    </row>
    <row r="11070" spans="7:12" x14ac:dyDescent="0.2">
      <c r="G11070" s="45"/>
      <c r="L11070" s="8"/>
    </row>
    <row r="11071" spans="7:12" x14ac:dyDescent="0.2">
      <c r="G11071" s="45"/>
      <c r="L11071" s="8"/>
    </row>
    <row r="11072" spans="7:12" x14ac:dyDescent="0.2">
      <c r="G11072" s="45"/>
      <c r="L11072" s="8"/>
    </row>
    <row r="11073" spans="7:12" x14ac:dyDescent="0.2">
      <c r="G11073" s="45"/>
      <c r="L11073" s="8"/>
    </row>
    <row r="11074" spans="7:12" x14ac:dyDescent="0.2">
      <c r="G11074" s="45"/>
      <c r="L11074" s="8"/>
    </row>
    <row r="11075" spans="7:12" x14ac:dyDescent="0.2">
      <c r="G11075" s="45"/>
      <c r="L11075" s="8"/>
    </row>
    <row r="11076" spans="7:12" x14ac:dyDescent="0.2">
      <c r="G11076" s="45"/>
      <c r="L11076" s="8"/>
    </row>
    <row r="11077" spans="7:12" x14ac:dyDescent="0.2">
      <c r="G11077" s="45"/>
      <c r="L11077" s="8"/>
    </row>
    <row r="11078" spans="7:12" x14ac:dyDescent="0.2">
      <c r="G11078" s="45"/>
      <c r="L11078" s="8"/>
    </row>
    <row r="11079" spans="7:12" x14ac:dyDescent="0.2">
      <c r="G11079" s="45"/>
      <c r="L11079" s="8"/>
    </row>
    <row r="11080" spans="7:12" x14ac:dyDescent="0.2">
      <c r="G11080" s="45"/>
      <c r="L11080" s="8"/>
    </row>
    <row r="11081" spans="7:12" x14ac:dyDescent="0.2">
      <c r="G11081" s="45"/>
      <c r="L11081" s="8"/>
    </row>
    <row r="11082" spans="7:12" x14ac:dyDescent="0.2">
      <c r="G11082" s="45"/>
      <c r="L11082" s="8"/>
    </row>
    <row r="11083" spans="7:12" x14ac:dyDescent="0.2">
      <c r="G11083" s="45"/>
      <c r="L11083" s="8"/>
    </row>
    <row r="11084" spans="7:12" x14ac:dyDescent="0.2">
      <c r="G11084" s="45"/>
      <c r="L11084" s="8"/>
    </row>
    <row r="11085" spans="7:12" x14ac:dyDescent="0.2">
      <c r="G11085" s="45"/>
      <c r="L11085" s="8"/>
    </row>
    <row r="11086" spans="7:12" x14ac:dyDescent="0.2">
      <c r="G11086" s="45"/>
      <c r="L11086" s="8"/>
    </row>
    <row r="11087" spans="7:12" x14ac:dyDescent="0.2">
      <c r="G11087" s="45"/>
      <c r="L11087" s="8"/>
    </row>
    <row r="11088" spans="7:12" x14ac:dyDescent="0.2">
      <c r="G11088" s="45"/>
      <c r="L11088" s="8"/>
    </row>
    <row r="11089" spans="7:12" x14ac:dyDescent="0.2">
      <c r="G11089" s="45"/>
      <c r="L11089" s="8"/>
    </row>
    <row r="11090" spans="7:12" x14ac:dyDescent="0.2">
      <c r="G11090" s="45"/>
      <c r="L11090" s="8"/>
    </row>
    <row r="11091" spans="7:12" x14ac:dyDescent="0.2">
      <c r="G11091" s="45"/>
      <c r="L11091" s="8"/>
    </row>
    <row r="11092" spans="7:12" x14ac:dyDescent="0.2">
      <c r="G11092" s="45"/>
      <c r="L11092" s="8"/>
    </row>
    <row r="11093" spans="7:12" x14ac:dyDescent="0.2">
      <c r="G11093" s="45"/>
      <c r="L11093" s="8"/>
    </row>
    <row r="11094" spans="7:12" x14ac:dyDescent="0.2">
      <c r="G11094" s="45"/>
      <c r="L11094" s="8"/>
    </row>
    <row r="11095" spans="7:12" x14ac:dyDescent="0.2">
      <c r="G11095" s="45"/>
      <c r="L11095" s="8"/>
    </row>
    <row r="11096" spans="7:12" x14ac:dyDescent="0.2">
      <c r="G11096" s="45"/>
      <c r="L11096" s="8"/>
    </row>
    <row r="11097" spans="7:12" x14ac:dyDescent="0.2">
      <c r="G11097" s="45"/>
      <c r="L11097" s="8"/>
    </row>
    <row r="11098" spans="7:12" x14ac:dyDescent="0.2">
      <c r="G11098" s="45"/>
      <c r="L11098" s="8"/>
    </row>
    <row r="11099" spans="7:12" x14ac:dyDescent="0.2">
      <c r="G11099" s="45"/>
      <c r="L11099" s="8"/>
    </row>
    <row r="11100" spans="7:12" x14ac:dyDescent="0.2">
      <c r="G11100" s="45"/>
      <c r="L11100" s="8"/>
    </row>
    <row r="11101" spans="7:12" x14ac:dyDescent="0.2">
      <c r="G11101" s="45"/>
      <c r="L11101" s="8"/>
    </row>
    <row r="11102" spans="7:12" x14ac:dyDescent="0.2">
      <c r="G11102" s="45"/>
      <c r="L11102" s="8"/>
    </row>
    <row r="11103" spans="7:12" x14ac:dyDescent="0.2">
      <c r="G11103" s="45"/>
      <c r="L11103" s="8"/>
    </row>
    <row r="11104" spans="7:12" x14ac:dyDescent="0.2">
      <c r="G11104" s="45"/>
      <c r="L11104" s="8"/>
    </row>
    <row r="11105" spans="7:12" x14ac:dyDescent="0.2">
      <c r="G11105" s="45"/>
      <c r="L11105" s="8"/>
    </row>
    <row r="11106" spans="7:12" x14ac:dyDescent="0.2">
      <c r="G11106" s="45"/>
      <c r="L11106" s="8"/>
    </row>
    <row r="11107" spans="7:12" x14ac:dyDescent="0.2">
      <c r="G11107" s="45"/>
      <c r="L11107" s="8"/>
    </row>
    <row r="11108" spans="7:12" x14ac:dyDescent="0.2">
      <c r="G11108" s="45"/>
      <c r="L11108" s="8"/>
    </row>
    <row r="11109" spans="7:12" x14ac:dyDescent="0.2">
      <c r="G11109" s="45"/>
      <c r="L11109" s="8"/>
    </row>
    <row r="11110" spans="7:12" x14ac:dyDescent="0.2">
      <c r="G11110" s="45"/>
      <c r="L11110" s="8"/>
    </row>
    <row r="11111" spans="7:12" x14ac:dyDescent="0.2">
      <c r="G11111" s="45"/>
      <c r="L11111" s="8"/>
    </row>
    <row r="11112" spans="7:12" x14ac:dyDescent="0.2">
      <c r="G11112" s="45"/>
      <c r="L11112" s="8"/>
    </row>
    <row r="11113" spans="7:12" x14ac:dyDescent="0.2">
      <c r="G11113" s="45"/>
      <c r="L11113" s="8"/>
    </row>
    <row r="11114" spans="7:12" x14ac:dyDescent="0.2">
      <c r="G11114" s="45"/>
      <c r="L11114" s="8"/>
    </row>
    <row r="11115" spans="7:12" x14ac:dyDescent="0.2">
      <c r="G11115" s="45"/>
      <c r="L11115" s="8"/>
    </row>
    <row r="11116" spans="7:12" x14ac:dyDescent="0.2">
      <c r="G11116" s="45"/>
      <c r="L11116" s="8"/>
    </row>
    <row r="11117" spans="7:12" x14ac:dyDescent="0.2">
      <c r="G11117" s="45"/>
      <c r="L11117" s="8"/>
    </row>
    <row r="11118" spans="7:12" x14ac:dyDescent="0.2">
      <c r="G11118" s="45"/>
      <c r="L11118" s="8"/>
    </row>
    <row r="11119" spans="7:12" x14ac:dyDescent="0.2">
      <c r="G11119" s="45"/>
      <c r="L11119" s="8"/>
    </row>
    <row r="11120" spans="7:12" x14ac:dyDescent="0.2">
      <c r="G11120" s="45"/>
      <c r="L11120" s="8"/>
    </row>
    <row r="11121" spans="7:12" x14ac:dyDescent="0.2">
      <c r="G11121" s="45"/>
      <c r="L11121" s="8"/>
    </row>
    <row r="11122" spans="7:12" x14ac:dyDescent="0.2">
      <c r="G11122" s="45"/>
      <c r="L11122" s="8"/>
    </row>
    <row r="11123" spans="7:12" x14ac:dyDescent="0.2">
      <c r="G11123" s="45"/>
      <c r="L11123" s="8"/>
    </row>
    <row r="11124" spans="7:12" x14ac:dyDescent="0.2">
      <c r="G11124" s="45"/>
      <c r="L11124" s="8"/>
    </row>
    <row r="11125" spans="7:12" x14ac:dyDescent="0.2">
      <c r="G11125" s="45"/>
      <c r="L11125" s="8"/>
    </row>
    <row r="11126" spans="7:12" x14ac:dyDescent="0.2">
      <c r="G11126" s="45"/>
      <c r="L11126" s="8"/>
    </row>
    <row r="11127" spans="7:12" x14ac:dyDescent="0.2">
      <c r="G11127" s="45"/>
      <c r="L11127" s="8"/>
    </row>
    <row r="11128" spans="7:12" x14ac:dyDescent="0.2">
      <c r="G11128" s="45"/>
      <c r="L11128" s="8"/>
    </row>
    <row r="11129" spans="7:12" x14ac:dyDescent="0.2">
      <c r="G11129" s="45"/>
      <c r="L11129" s="8"/>
    </row>
    <row r="11130" spans="7:12" x14ac:dyDescent="0.2">
      <c r="G11130" s="45"/>
      <c r="L11130" s="8"/>
    </row>
    <row r="11131" spans="7:12" x14ac:dyDescent="0.2">
      <c r="G11131" s="45"/>
      <c r="L11131" s="8"/>
    </row>
    <row r="11132" spans="7:12" x14ac:dyDescent="0.2">
      <c r="G11132" s="45"/>
      <c r="L11132" s="8"/>
    </row>
    <row r="11133" spans="7:12" x14ac:dyDescent="0.2">
      <c r="G11133" s="45"/>
      <c r="L11133" s="8"/>
    </row>
    <row r="11134" spans="7:12" x14ac:dyDescent="0.2">
      <c r="G11134" s="45"/>
      <c r="L11134" s="8"/>
    </row>
    <row r="11135" spans="7:12" x14ac:dyDescent="0.2">
      <c r="G11135" s="45"/>
      <c r="L11135" s="8"/>
    </row>
    <row r="11136" spans="7:12" x14ac:dyDescent="0.2">
      <c r="G11136" s="45"/>
      <c r="L11136" s="8"/>
    </row>
    <row r="11137" spans="7:12" x14ac:dyDescent="0.2">
      <c r="G11137" s="45"/>
      <c r="L11137" s="8"/>
    </row>
    <row r="11138" spans="7:12" x14ac:dyDescent="0.2">
      <c r="G11138" s="45"/>
      <c r="L11138" s="8"/>
    </row>
    <row r="11139" spans="7:12" x14ac:dyDescent="0.2">
      <c r="G11139" s="45"/>
      <c r="L11139" s="8"/>
    </row>
    <row r="11140" spans="7:12" x14ac:dyDescent="0.2">
      <c r="G11140" s="45"/>
      <c r="L11140" s="8"/>
    </row>
    <row r="11141" spans="7:12" x14ac:dyDescent="0.2">
      <c r="G11141" s="45"/>
      <c r="L11141" s="8"/>
    </row>
    <row r="11142" spans="7:12" x14ac:dyDescent="0.2">
      <c r="G11142" s="45"/>
      <c r="L11142" s="8"/>
    </row>
    <row r="11143" spans="7:12" x14ac:dyDescent="0.2">
      <c r="G11143" s="45"/>
      <c r="L11143" s="8"/>
    </row>
    <row r="11144" spans="7:12" x14ac:dyDescent="0.2">
      <c r="G11144" s="45"/>
      <c r="L11144" s="8"/>
    </row>
    <row r="11145" spans="7:12" x14ac:dyDescent="0.2">
      <c r="G11145" s="45"/>
      <c r="L11145" s="8"/>
    </row>
    <row r="11146" spans="7:12" x14ac:dyDescent="0.2">
      <c r="G11146" s="45"/>
      <c r="L11146" s="8"/>
    </row>
    <row r="11147" spans="7:12" x14ac:dyDescent="0.2">
      <c r="G11147" s="45"/>
      <c r="L11147" s="8"/>
    </row>
    <row r="11148" spans="7:12" x14ac:dyDescent="0.2">
      <c r="G11148" s="45"/>
      <c r="L11148" s="8"/>
    </row>
    <row r="11149" spans="7:12" x14ac:dyDescent="0.2">
      <c r="G11149" s="45"/>
      <c r="L11149" s="8"/>
    </row>
    <row r="11150" spans="7:12" x14ac:dyDescent="0.2">
      <c r="G11150" s="45"/>
      <c r="L11150" s="8"/>
    </row>
    <row r="11151" spans="7:12" x14ac:dyDescent="0.2">
      <c r="G11151" s="45"/>
      <c r="L11151" s="8"/>
    </row>
    <row r="11152" spans="7:12" x14ac:dyDescent="0.2">
      <c r="G11152" s="45"/>
      <c r="L11152" s="8"/>
    </row>
    <row r="11153" spans="7:12" x14ac:dyDescent="0.2">
      <c r="G11153" s="45"/>
      <c r="L11153" s="8"/>
    </row>
    <row r="11154" spans="7:12" x14ac:dyDescent="0.2">
      <c r="G11154" s="45"/>
      <c r="L11154" s="8"/>
    </row>
    <row r="11155" spans="7:12" x14ac:dyDescent="0.2">
      <c r="G11155" s="45"/>
      <c r="L11155" s="8"/>
    </row>
    <row r="11156" spans="7:12" x14ac:dyDescent="0.2">
      <c r="G11156" s="45"/>
      <c r="L11156" s="8"/>
    </row>
    <row r="11157" spans="7:12" x14ac:dyDescent="0.2">
      <c r="G11157" s="45"/>
      <c r="L11157" s="8"/>
    </row>
    <row r="11158" spans="7:12" x14ac:dyDescent="0.2">
      <c r="G11158" s="45"/>
      <c r="L11158" s="8"/>
    </row>
    <row r="11159" spans="7:12" x14ac:dyDescent="0.2">
      <c r="G11159" s="45"/>
      <c r="L11159" s="8"/>
    </row>
    <row r="11160" spans="7:12" x14ac:dyDescent="0.2">
      <c r="G11160" s="45"/>
      <c r="L11160" s="8"/>
    </row>
    <row r="11161" spans="7:12" x14ac:dyDescent="0.2">
      <c r="G11161" s="45"/>
      <c r="L11161" s="8"/>
    </row>
    <row r="11162" spans="7:12" x14ac:dyDescent="0.2">
      <c r="G11162" s="45"/>
      <c r="L11162" s="8"/>
    </row>
    <row r="11163" spans="7:12" x14ac:dyDescent="0.2">
      <c r="G11163" s="45"/>
      <c r="L11163" s="8"/>
    </row>
    <row r="11164" spans="7:12" x14ac:dyDescent="0.2">
      <c r="G11164" s="45"/>
      <c r="L11164" s="8"/>
    </row>
    <row r="11165" spans="7:12" x14ac:dyDescent="0.2">
      <c r="G11165" s="45"/>
      <c r="L11165" s="8"/>
    </row>
    <row r="11166" spans="7:12" x14ac:dyDescent="0.2">
      <c r="G11166" s="45"/>
      <c r="L11166" s="8"/>
    </row>
    <row r="11167" spans="7:12" x14ac:dyDescent="0.2">
      <c r="G11167" s="45"/>
      <c r="L11167" s="8"/>
    </row>
    <row r="11168" spans="7:12" x14ac:dyDescent="0.2">
      <c r="G11168" s="45"/>
      <c r="L11168" s="8"/>
    </row>
    <row r="11169" spans="7:12" x14ac:dyDescent="0.2">
      <c r="G11169" s="45"/>
      <c r="L11169" s="8"/>
    </row>
    <row r="11170" spans="7:12" x14ac:dyDescent="0.2">
      <c r="G11170" s="45"/>
      <c r="L11170" s="8"/>
    </row>
    <row r="11171" spans="7:12" x14ac:dyDescent="0.2">
      <c r="G11171" s="45"/>
      <c r="L11171" s="8"/>
    </row>
    <row r="11172" spans="7:12" x14ac:dyDescent="0.2">
      <c r="G11172" s="45"/>
      <c r="L11172" s="8"/>
    </row>
    <row r="11173" spans="7:12" x14ac:dyDescent="0.2">
      <c r="G11173" s="45"/>
      <c r="L11173" s="8"/>
    </row>
    <row r="11174" spans="7:12" x14ac:dyDescent="0.2">
      <c r="G11174" s="45"/>
      <c r="L11174" s="8"/>
    </row>
    <row r="11175" spans="7:12" x14ac:dyDescent="0.2">
      <c r="G11175" s="45"/>
      <c r="L11175" s="8"/>
    </row>
    <row r="11176" spans="7:12" x14ac:dyDescent="0.2">
      <c r="G11176" s="45"/>
      <c r="L11176" s="8"/>
    </row>
    <row r="11177" spans="7:12" x14ac:dyDescent="0.2">
      <c r="G11177" s="45"/>
      <c r="L11177" s="8"/>
    </row>
    <row r="11178" spans="7:12" x14ac:dyDescent="0.2">
      <c r="G11178" s="45"/>
      <c r="L11178" s="8"/>
    </row>
    <row r="11179" spans="7:12" x14ac:dyDescent="0.2">
      <c r="G11179" s="45"/>
      <c r="L11179" s="8"/>
    </row>
    <row r="11180" spans="7:12" x14ac:dyDescent="0.2">
      <c r="G11180" s="45"/>
      <c r="L11180" s="8"/>
    </row>
    <row r="11181" spans="7:12" x14ac:dyDescent="0.2">
      <c r="G11181" s="45"/>
      <c r="L11181" s="8"/>
    </row>
    <row r="11182" spans="7:12" x14ac:dyDescent="0.2">
      <c r="G11182" s="45"/>
      <c r="L11182" s="8"/>
    </row>
    <row r="11183" spans="7:12" x14ac:dyDescent="0.2">
      <c r="G11183" s="45"/>
      <c r="L11183" s="8"/>
    </row>
    <row r="11184" spans="7:12" x14ac:dyDescent="0.2">
      <c r="G11184" s="45"/>
      <c r="L11184" s="8"/>
    </row>
    <row r="11185" spans="7:12" x14ac:dyDescent="0.2">
      <c r="G11185" s="45"/>
      <c r="L11185" s="8"/>
    </row>
    <row r="11186" spans="7:12" x14ac:dyDescent="0.2">
      <c r="G11186" s="45"/>
      <c r="L11186" s="8"/>
    </row>
    <row r="11187" spans="7:12" x14ac:dyDescent="0.2">
      <c r="G11187" s="45"/>
      <c r="L11187" s="8"/>
    </row>
    <row r="11188" spans="7:12" x14ac:dyDescent="0.2">
      <c r="G11188" s="45"/>
      <c r="L11188" s="8"/>
    </row>
    <row r="11189" spans="7:12" x14ac:dyDescent="0.2">
      <c r="G11189" s="45"/>
      <c r="L11189" s="8"/>
    </row>
    <row r="11190" spans="7:12" x14ac:dyDescent="0.2">
      <c r="G11190" s="45"/>
      <c r="L11190" s="8"/>
    </row>
    <row r="11191" spans="7:12" x14ac:dyDescent="0.2">
      <c r="G11191" s="45"/>
      <c r="L11191" s="8"/>
    </row>
    <row r="11192" spans="7:12" x14ac:dyDescent="0.2">
      <c r="G11192" s="45"/>
      <c r="L11192" s="8"/>
    </row>
    <row r="11193" spans="7:12" x14ac:dyDescent="0.2">
      <c r="G11193" s="45"/>
      <c r="L11193" s="8"/>
    </row>
    <row r="11194" spans="7:12" x14ac:dyDescent="0.2">
      <c r="G11194" s="45"/>
      <c r="L11194" s="8"/>
    </row>
    <row r="11195" spans="7:12" x14ac:dyDescent="0.2">
      <c r="G11195" s="45"/>
      <c r="L11195" s="8"/>
    </row>
    <row r="11196" spans="7:12" x14ac:dyDescent="0.2">
      <c r="G11196" s="45"/>
      <c r="L11196" s="8"/>
    </row>
    <row r="11197" spans="7:12" x14ac:dyDescent="0.2">
      <c r="G11197" s="45"/>
      <c r="L11197" s="8"/>
    </row>
    <row r="11198" spans="7:12" x14ac:dyDescent="0.2">
      <c r="G11198" s="45"/>
      <c r="L11198" s="8"/>
    </row>
    <row r="11199" spans="7:12" x14ac:dyDescent="0.2">
      <c r="G11199" s="45"/>
      <c r="L11199" s="8"/>
    </row>
    <row r="11200" spans="7:12" x14ac:dyDescent="0.2">
      <c r="G11200" s="45"/>
      <c r="L11200" s="8"/>
    </row>
    <row r="11201" spans="7:12" x14ac:dyDescent="0.2">
      <c r="G11201" s="45"/>
      <c r="L11201" s="8"/>
    </row>
    <row r="11202" spans="7:12" x14ac:dyDescent="0.2">
      <c r="G11202" s="45"/>
      <c r="L11202" s="8"/>
    </row>
    <row r="11203" spans="7:12" x14ac:dyDescent="0.2">
      <c r="G11203" s="45"/>
      <c r="L11203" s="8"/>
    </row>
    <row r="11204" spans="7:12" x14ac:dyDescent="0.2">
      <c r="G11204" s="45"/>
      <c r="L11204" s="8"/>
    </row>
    <row r="11205" spans="7:12" x14ac:dyDescent="0.2">
      <c r="G11205" s="45"/>
      <c r="L11205" s="8"/>
    </row>
    <row r="11206" spans="7:12" x14ac:dyDescent="0.2">
      <c r="G11206" s="45"/>
      <c r="L11206" s="8"/>
    </row>
    <row r="11207" spans="7:12" x14ac:dyDescent="0.2">
      <c r="G11207" s="45"/>
      <c r="L11207" s="8"/>
    </row>
    <row r="11208" spans="7:12" x14ac:dyDescent="0.2">
      <c r="G11208" s="45"/>
      <c r="L11208" s="8"/>
    </row>
    <row r="11209" spans="7:12" x14ac:dyDescent="0.2">
      <c r="G11209" s="45"/>
      <c r="L11209" s="8"/>
    </row>
    <row r="11210" spans="7:12" x14ac:dyDescent="0.2">
      <c r="G11210" s="45"/>
      <c r="L11210" s="8"/>
    </row>
    <row r="11211" spans="7:12" x14ac:dyDescent="0.2">
      <c r="G11211" s="45"/>
      <c r="L11211" s="8"/>
    </row>
    <row r="11212" spans="7:12" x14ac:dyDescent="0.2">
      <c r="G11212" s="45"/>
      <c r="L11212" s="8"/>
    </row>
    <row r="11213" spans="7:12" x14ac:dyDescent="0.2">
      <c r="G11213" s="45"/>
      <c r="L11213" s="8"/>
    </row>
    <row r="11214" spans="7:12" x14ac:dyDescent="0.2">
      <c r="G11214" s="45"/>
      <c r="L11214" s="8"/>
    </row>
    <row r="11215" spans="7:12" x14ac:dyDescent="0.2">
      <c r="G11215" s="45"/>
      <c r="L11215" s="8"/>
    </row>
    <row r="11216" spans="7:12" x14ac:dyDescent="0.2">
      <c r="G11216" s="45"/>
      <c r="L11216" s="8"/>
    </row>
    <row r="11217" spans="7:12" x14ac:dyDescent="0.2">
      <c r="G11217" s="45"/>
      <c r="L11217" s="8"/>
    </row>
    <row r="11218" spans="7:12" x14ac:dyDescent="0.2">
      <c r="G11218" s="45"/>
      <c r="L11218" s="8"/>
    </row>
    <row r="11219" spans="7:12" x14ac:dyDescent="0.2">
      <c r="G11219" s="45"/>
      <c r="L11219" s="8"/>
    </row>
    <row r="11220" spans="7:12" x14ac:dyDescent="0.2">
      <c r="G11220" s="45"/>
      <c r="L11220" s="8"/>
    </row>
    <row r="11221" spans="7:12" x14ac:dyDescent="0.2">
      <c r="G11221" s="45"/>
      <c r="L11221" s="8"/>
    </row>
    <row r="11222" spans="7:12" x14ac:dyDescent="0.2">
      <c r="G11222" s="45"/>
      <c r="L11222" s="8"/>
    </row>
    <row r="11223" spans="7:12" x14ac:dyDescent="0.2">
      <c r="G11223" s="45"/>
      <c r="L11223" s="8"/>
    </row>
    <row r="11224" spans="7:12" x14ac:dyDescent="0.2">
      <c r="G11224" s="45"/>
      <c r="L11224" s="8"/>
    </row>
    <row r="11225" spans="7:12" x14ac:dyDescent="0.2">
      <c r="G11225" s="45"/>
      <c r="L11225" s="8"/>
    </row>
    <row r="11226" spans="7:12" x14ac:dyDescent="0.2">
      <c r="G11226" s="45"/>
      <c r="L11226" s="8"/>
    </row>
    <row r="11227" spans="7:12" x14ac:dyDescent="0.2">
      <c r="G11227" s="45"/>
      <c r="L11227" s="8"/>
    </row>
    <row r="11228" spans="7:12" x14ac:dyDescent="0.2">
      <c r="G11228" s="45"/>
      <c r="L11228" s="8"/>
    </row>
    <row r="11229" spans="7:12" x14ac:dyDescent="0.2">
      <c r="G11229" s="45"/>
      <c r="L11229" s="8"/>
    </row>
    <row r="11230" spans="7:12" x14ac:dyDescent="0.2">
      <c r="G11230" s="45"/>
      <c r="L11230" s="8"/>
    </row>
    <row r="11231" spans="7:12" x14ac:dyDescent="0.2">
      <c r="G11231" s="45"/>
      <c r="L11231" s="8"/>
    </row>
    <row r="11232" spans="7:12" x14ac:dyDescent="0.2">
      <c r="G11232" s="45"/>
      <c r="L11232" s="8"/>
    </row>
    <row r="11233" spans="7:12" x14ac:dyDescent="0.2">
      <c r="G11233" s="45"/>
      <c r="L11233" s="8"/>
    </row>
    <row r="11234" spans="7:12" x14ac:dyDescent="0.2">
      <c r="G11234" s="45"/>
      <c r="L11234" s="8"/>
    </row>
    <row r="11235" spans="7:12" x14ac:dyDescent="0.2">
      <c r="G11235" s="45"/>
      <c r="L11235" s="8"/>
    </row>
    <row r="11236" spans="7:12" x14ac:dyDescent="0.2">
      <c r="G11236" s="45"/>
      <c r="L11236" s="8"/>
    </row>
    <row r="11237" spans="7:12" x14ac:dyDescent="0.2">
      <c r="G11237" s="45"/>
      <c r="L11237" s="8"/>
    </row>
    <row r="11238" spans="7:12" x14ac:dyDescent="0.2">
      <c r="G11238" s="45"/>
      <c r="L11238" s="8"/>
    </row>
    <row r="11239" spans="7:12" x14ac:dyDescent="0.2">
      <c r="G11239" s="45"/>
      <c r="L11239" s="8"/>
    </row>
    <row r="11240" spans="7:12" x14ac:dyDescent="0.2">
      <c r="G11240" s="45"/>
      <c r="L11240" s="8"/>
    </row>
    <row r="11241" spans="7:12" x14ac:dyDescent="0.2">
      <c r="G11241" s="45"/>
      <c r="L11241" s="8"/>
    </row>
    <row r="11242" spans="7:12" x14ac:dyDescent="0.2">
      <c r="G11242" s="45"/>
      <c r="L11242" s="8"/>
    </row>
    <row r="11243" spans="7:12" x14ac:dyDescent="0.2">
      <c r="G11243" s="45"/>
      <c r="L11243" s="8"/>
    </row>
    <row r="11244" spans="7:12" x14ac:dyDescent="0.2">
      <c r="G11244" s="45"/>
      <c r="L11244" s="8"/>
    </row>
    <row r="11245" spans="7:12" x14ac:dyDescent="0.2">
      <c r="G11245" s="45"/>
      <c r="L11245" s="8"/>
    </row>
    <row r="11246" spans="7:12" x14ac:dyDescent="0.2">
      <c r="G11246" s="45"/>
      <c r="L11246" s="8"/>
    </row>
    <row r="11247" spans="7:12" x14ac:dyDescent="0.2">
      <c r="G11247" s="45"/>
      <c r="L11247" s="8"/>
    </row>
    <row r="11248" spans="7:12" x14ac:dyDescent="0.2">
      <c r="G11248" s="45"/>
      <c r="L11248" s="8"/>
    </row>
    <row r="11249" spans="7:12" x14ac:dyDescent="0.2">
      <c r="G11249" s="45"/>
      <c r="L11249" s="8"/>
    </row>
    <row r="11250" spans="7:12" x14ac:dyDescent="0.2">
      <c r="G11250" s="45"/>
      <c r="L11250" s="8"/>
    </row>
    <row r="11251" spans="7:12" x14ac:dyDescent="0.2">
      <c r="G11251" s="45"/>
      <c r="L11251" s="8"/>
    </row>
    <row r="11252" spans="7:12" x14ac:dyDescent="0.2">
      <c r="G11252" s="45"/>
      <c r="L11252" s="8"/>
    </row>
    <row r="11253" spans="7:12" x14ac:dyDescent="0.2">
      <c r="G11253" s="45"/>
      <c r="L11253" s="8"/>
    </row>
    <row r="11254" spans="7:12" x14ac:dyDescent="0.2">
      <c r="G11254" s="45"/>
      <c r="L11254" s="8"/>
    </row>
    <row r="11255" spans="7:12" x14ac:dyDescent="0.2">
      <c r="G11255" s="45"/>
      <c r="L11255" s="8"/>
    </row>
    <row r="11256" spans="7:12" x14ac:dyDescent="0.2">
      <c r="G11256" s="45"/>
      <c r="L11256" s="8"/>
    </row>
    <row r="11257" spans="7:12" x14ac:dyDescent="0.2">
      <c r="G11257" s="45"/>
      <c r="L11257" s="8"/>
    </row>
    <row r="11258" spans="7:12" x14ac:dyDescent="0.2">
      <c r="G11258" s="45"/>
      <c r="L11258" s="8"/>
    </row>
    <row r="11259" spans="7:12" x14ac:dyDescent="0.2">
      <c r="G11259" s="45"/>
      <c r="L11259" s="8"/>
    </row>
    <row r="11260" spans="7:12" x14ac:dyDescent="0.2">
      <c r="G11260" s="45"/>
      <c r="L11260" s="8"/>
    </row>
    <row r="11261" spans="7:12" x14ac:dyDescent="0.2">
      <c r="G11261" s="45"/>
      <c r="L11261" s="8"/>
    </row>
    <row r="11262" spans="7:12" x14ac:dyDescent="0.2">
      <c r="G11262" s="45"/>
      <c r="L11262" s="8"/>
    </row>
    <row r="11263" spans="7:12" x14ac:dyDescent="0.2">
      <c r="G11263" s="45"/>
      <c r="L11263" s="8"/>
    </row>
    <row r="11264" spans="7:12" x14ac:dyDescent="0.2">
      <c r="G11264" s="45"/>
      <c r="L11264" s="8"/>
    </row>
    <row r="11265" spans="7:12" x14ac:dyDescent="0.2">
      <c r="G11265" s="45"/>
      <c r="L11265" s="8"/>
    </row>
    <row r="11266" spans="7:12" x14ac:dyDescent="0.2">
      <c r="G11266" s="45"/>
      <c r="L11266" s="8"/>
    </row>
    <row r="11267" spans="7:12" x14ac:dyDescent="0.2">
      <c r="G11267" s="45"/>
      <c r="L11267" s="8"/>
    </row>
    <row r="11268" spans="7:12" x14ac:dyDescent="0.2">
      <c r="G11268" s="45"/>
      <c r="L11268" s="8"/>
    </row>
    <row r="11269" spans="7:12" x14ac:dyDescent="0.2">
      <c r="G11269" s="45"/>
      <c r="L11269" s="8"/>
    </row>
    <row r="11270" spans="7:12" x14ac:dyDescent="0.2">
      <c r="G11270" s="45"/>
      <c r="L11270" s="8"/>
    </row>
    <row r="11271" spans="7:12" x14ac:dyDescent="0.2">
      <c r="G11271" s="45"/>
      <c r="L11271" s="8"/>
    </row>
    <row r="11272" spans="7:12" x14ac:dyDescent="0.2">
      <c r="G11272" s="45"/>
      <c r="L11272" s="8"/>
    </row>
    <row r="11273" spans="7:12" x14ac:dyDescent="0.2">
      <c r="G11273" s="45"/>
      <c r="L11273" s="8"/>
    </row>
    <row r="11274" spans="7:12" x14ac:dyDescent="0.2">
      <c r="G11274" s="45"/>
      <c r="L11274" s="8"/>
    </row>
    <row r="11275" spans="7:12" x14ac:dyDescent="0.2">
      <c r="G11275" s="45"/>
      <c r="L11275" s="8"/>
    </row>
    <row r="11276" spans="7:12" x14ac:dyDescent="0.2">
      <c r="G11276" s="45"/>
      <c r="L11276" s="8"/>
    </row>
    <row r="11277" spans="7:12" x14ac:dyDescent="0.2">
      <c r="G11277" s="45"/>
      <c r="L11277" s="8"/>
    </row>
    <row r="11278" spans="7:12" x14ac:dyDescent="0.2">
      <c r="G11278" s="45"/>
      <c r="L11278" s="8"/>
    </row>
    <row r="11279" spans="7:12" x14ac:dyDescent="0.2">
      <c r="G11279" s="45"/>
      <c r="L11279" s="8"/>
    </row>
    <row r="11280" spans="7:12" x14ac:dyDescent="0.2">
      <c r="G11280" s="45"/>
      <c r="L11280" s="8"/>
    </row>
    <row r="11281" spans="7:12" x14ac:dyDescent="0.2">
      <c r="G11281" s="45"/>
      <c r="L11281" s="8"/>
    </row>
    <row r="11282" spans="7:12" x14ac:dyDescent="0.2">
      <c r="G11282" s="45"/>
      <c r="L11282" s="8"/>
    </row>
    <row r="11283" spans="7:12" x14ac:dyDescent="0.2">
      <c r="G11283" s="45"/>
      <c r="L11283" s="8"/>
    </row>
    <row r="11284" spans="7:12" x14ac:dyDescent="0.2">
      <c r="G11284" s="45"/>
      <c r="L11284" s="8"/>
    </row>
    <row r="11285" spans="7:12" x14ac:dyDescent="0.2">
      <c r="G11285" s="45"/>
      <c r="L11285" s="8"/>
    </row>
    <row r="11286" spans="7:12" x14ac:dyDescent="0.2">
      <c r="G11286" s="45"/>
      <c r="L11286" s="8"/>
    </row>
    <row r="11287" spans="7:12" x14ac:dyDescent="0.2">
      <c r="G11287" s="45"/>
      <c r="L11287" s="8"/>
    </row>
    <row r="11288" spans="7:12" x14ac:dyDescent="0.2">
      <c r="G11288" s="45"/>
      <c r="L11288" s="8"/>
    </row>
    <row r="11289" spans="7:12" x14ac:dyDescent="0.2">
      <c r="G11289" s="45"/>
      <c r="L11289" s="8"/>
    </row>
    <row r="11290" spans="7:12" x14ac:dyDescent="0.2">
      <c r="G11290" s="45"/>
      <c r="L11290" s="8"/>
    </row>
    <row r="11291" spans="7:12" x14ac:dyDescent="0.2">
      <c r="G11291" s="45"/>
      <c r="L11291" s="8"/>
    </row>
    <row r="11292" spans="7:12" x14ac:dyDescent="0.2">
      <c r="G11292" s="45"/>
      <c r="L11292" s="8"/>
    </row>
    <row r="11293" spans="7:12" x14ac:dyDescent="0.2">
      <c r="G11293" s="45"/>
      <c r="L11293" s="8"/>
    </row>
    <row r="11294" spans="7:12" x14ac:dyDescent="0.2">
      <c r="G11294" s="45"/>
      <c r="L11294" s="8"/>
    </row>
    <row r="11295" spans="7:12" x14ac:dyDescent="0.2">
      <c r="G11295" s="45"/>
      <c r="L11295" s="8"/>
    </row>
    <row r="11296" spans="7:12" x14ac:dyDescent="0.2">
      <c r="G11296" s="45"/>
      <c r="L11296" s="8"/>
    </row>
    <row r="11297" spans="7:12" x14ac:dyDescent="0.2">
      <c r="G11297" s="45"/>
      <c r="L11297" s="8"/>
    </row>
    <row r="11298" spans="7:12" x14ac:dyDescent="0.2">
      <c r="G11298" s="45"/>
      <c r="L11298" s="8"/>
    </row>
    <row r="11299" spans="7:12" x14ac:dyDescent="0.2">
      <c r="G11299" s="45"/>
      <c r="L11299" s="8"/>
    </row>
    <row r="11300" spans="7:12" x14ac:dyDescent="0.2">
      <c r="G11300" s="45"/>
      <c r="L11300" s="8"/>
    </row>
    <row r="11301" spans="7:12" x14ac:dyDescent="0.2">
      <c r="G11301" s="45"/>
      <c r="L11301" s="8"/>
    </row>
    <row r="11302" spans="7:12" x14ac:dyDescent="0.2">
      <c r="G11302" s="45"/>
      <c r="L11302" s="8"/>
    </row>
    <row r="11303" spans="7:12" x14ac:dyDescent="0.2">
      <c r="G11303" s="45"/>
      <c r="L11303" s="8"/>
    </row>
    <row r="11304" spans="7:12" x14ac:dyDescent="0.2">
      <c r="G11304" s="45"/>
      <c r="L11304" s="8"/>
    </row>
    <row r="11305" spans="7:12" x14ac:dyDescent="0.2">
      <c r="G11305" s="45"/>
      <c r="L11305" s="8"/>
    </row>
    <row r="11306" spans="7:12" x14ac:dyDescent="0.2">
      <c r="G11306" s="45"/>
      <c r="L11306" s="8"/>
    </row>
    <row r="11307" spans="7:12" x14ac:dyDescent="0.2">
      <c r="G11307" s="45"/>
      <c r="L11307" s="8"/>
    </row>
    <row r="11308" spans="7:12" x14ac:dyDescent="0.2">
      <c r="G11308" s="45"/>
      <c r="L11308" s="8"/>
    </row>
    <row r="11309" spans="7:12" x14ac:dyDescent="0.2">
      <c r="G11309" s="45"/>
      <c r="L11309" s="8"/>
    </row>
    <row r="11310" spans="7:12" x14ac:dyDescent="0.2">
      <c r="G11310" s="45"/>
      <c r="L11310" s="8"/>
    </row>
    <row r="11311" spans="7:12" x14ac:dyDescent="0.2">
      <c r="G11311" s="45"/>
      <c r="L11311" s="8"/>
    </row>
    <row r="11312" spans="7:12" x14ac:dyDescent="0.2">
      <c r="G11312" s="45"/>
      <c r="L11312" s="8"/>
    </row>
    <row r="11313" spans="7:12" x14ac:dyDescent="0.2">
      <c r="G11313" s="45"/>
      <c r="L11313" s="8"/>
    </row>
    <row r="11314" spans="7:12" x14ac:dyDescent="0.2">
      <c r="G11314" s="45"/>
      <c r="L11314" s="8"/>
    </row>
    <row r="11315" spans="7:12" x14ac:dyDescent="0.2">
      <c r="G11315" s="45"/>
      <c r="L11315" s="8"/>
    </row>
    <row r="11316" spans="7:12" x14ac:dyDescent="0.2">
      <c r="G11316" s="45"/>
      <c r="L11316" s="8"/>
    </row>
    <row r="11317" spans="7:12" x14ac:dyDescent="0.2">
      <c r="G11317" s="45"/>
      <c r="L11317" s="8"/>
    </row>
    <row r="11318" spans="7:12" x14ac:dyDescent="0.2">
      <c r="G11318" s="45"/>
      <c r="L11318" s="8"/>
    </row>
    <row r="11319" spans="7:12" x14ac:dyDescent="0.2">
      <c r="G11319" s="45"/>
      <c r="L11319" s="8"/>
    </row>
    <row r="11320" spans="7:12" x14ac:dyDescent="0.2">
      <c r="G11320" s="45"/>
      <c r="L11320" s="8"/>
    </row>
    <row r="11321" spans="7:12" x14ac:dyDescent="0.2">
      <c r="G11321" s="45"/>
      <c r="L11321" s="8"/>
    </row>
    <row r="11322" spans="7:12" x14ac:dyDescent="0.2">
      <c r="G11322" s="45"/>
      <c r="L11322" s="8"/>
    </row>
    <row r="11323" spans="7:12" x14ac:dyDescent="0.2">
      <c r="G11323" s="45"/>
      <c r="L11323" s="8"/>
    </row>
    <row r="11324" spans="7:12" x14ac:dyDescent="0.2">
      <c r="G11324" s="45"/>
      <c r="L11324" s="8"/>
    </row>
    <row r="11325" spans="7:12" x14ac:dyDescent="0.2">
      <c r="G11325" s="45"/>
      <c r="L11325" s="8"/>
    </row>
    <row r="11326" spans="7:12" x14ac:dyDescent="0.2">
      <c r="G11326" s="45"/>
      <c r="L11326" s="8"/>
    </row>
    <row r="11327" spans="7:12" x14ac:dyDescent="0.2">
      <c r="G11327" s="45"/>
      <c r="L11327" s="8"/>
    </row>
    <row r="11328" spans="7:12" x14ac:dyDescent="0.2">
      <c r="G11328" s="45"/>
      <c r="L11328" s="8"/>
    </row>
    <row r="11329" spans="7:12" x14ac:dyDescent="0.2">
      <c r="G11329" s="45"/>
      <c r="L11329" s="8"/>
    </row>
    <row r="11330" spans="7:12" x14ac:dyDescent="0.2">
      <c r="G11330" s="45"/>
      <c r="L11330" s="8"/>
    </row>
    <row r="11331" spans="7:12" x14ac:dyDescent="0.2">
      <c r="G11331" s="45"/>
      <c r="L11331" s="8"/>
    </row>
    <row r="11332" spans="7:12" x14ac:dyDescent="0.2">
      <c r="G11332" s="45"/>
      <c r="L11332" s="8"/>
    </row>
    <row r="11333" spans="7:12" x14ac:dyDescent="0.2">
      <c r="G11333" s="45"/>
      <c r="L11333" s="8"/>
    </row>
    <row r="11334" spans="7:12" x14ac:dyDescent="0.2">
      <c r="G11334" s="45"/>
      <c r="L11334" s="8"/>
    </row>
    <row r="11335" spans="7:12" x14ac:dyDescent="0.2">
      <c r="G11335" s="45"/>
      <c r="L11335" s="8"/>
    </row>
    <row r="11336" spans="7:12" x14ac:dyDescent="0.2">
      <c r="G11336" s="45"/>
      <c r="L11336" s="8"/>
    </row>
    <row r="11337" spans="7:12" x14ac:dyDescent="0.2">
      <c r="G11337" s="45"/>
      <c r="L11337" s="8"/>
    </row>
    <row r="11338" spans="7:12" x14ac:dyDescent="0.2">
      <c r="G11338" s="45"/>
      <c r="L11338" s="8"/>
    </row>
    <row r="11339" spans="7:12" x14ac:dyDescent="0.2">
      <c r="G11339" s="45"/>
      <c r="L11339" s="8"/>
    </row>
    <row r="11340" spans="7:12" x14ac:dyDescent="0.2">
      <c r="G11340" s="45"/>
      <c r="L11340" s="8"/>
    </row>
    <row r="11341" spans="7:12" x14ac:dyDescent="0.2">
      <c r="G11341" s="45"/>
      <c r="L11341" s="8"/>
    </row>
    <row r="11342" spans="7:12" x14ac:dyDescent="0.2">
      <c r="G11342" s="45"/>
    </row>
  </sheetData>
  <autoFilter ref="E2:L117"/>
  <hyperlinks>
    <hyperlink ref="A11" display="+ Informações sobre Seguradora"/>
    <hyperlink ref="A12" display="+ Informações sobre Filiais"/>
    <hyperlink ref="A21" display="+ Informações sobre Seguradora"/>
    <hyperlink ref="A30" display="+ Informações sobre Seguradora"/>
    <hyperlink ref="A31" display="+ Informações sobre Filiais"/>
    <hyperlink ref="A40" display="+ Informações sobre Seguradora"/>
    <hyperlink ref="A41" display="+ Informações sobre Filiais"/>
    <hyperlink ref="A50" display="+ Informações sobre Seguradora"/>
    <hyperlink ref="A51" display="+ Informações sobre Filiais"/>
    <hyperlink ref="A60" display="+ Informações sobre Seguradora"/>
    <hyperlink ref="A69" display="+ Informações sobre Seguradora"/>
    <hyperlink ref="A70" display="+ Informações sobre Filiais"/>
    <hyperlink ref="A79" display="+ Informações sobre Seguradora"/>
    <hyperlink ref="A80" display="+ Informações sobre Filiais"/>
    <hyperlink ref="A89" display="+ Informações sobre Seguradora"/>
    <hyperlink ref="A90" display="+ Informações sobre Filiais"/>
    <hyperlink ref="A99" display="+ Informações sobre Seguradora"/>
    <hyperlink ref="A108" display="+ Informações sobre Seguradora"/>
    <hyperlink ref="A117" display="+ Informações sobre Seguradora"/>
    <hyperlink ref="A126" display="+ Informações sobre Seguradora"/>
    <hyperlink ref="A135" display="+ Informações sobre Seguradora"/>
    <hyperlink ref="A136" display="+ Informações sobre Filiais"/>
    <hyperlink ref="A145" display="+ Informações sobre Seguradora"/>
    <hyperlink ref="A146" display="+ Informações sobre Filiais"/>
    <hyperlink ref="A155" display="+ Informações sobre Seguradora"/>
    <hyperlink ref="A164" display="+ Informações sobre Seguradora"/>
    <hyperlink ref="A165" display="+ Informações sobre Filiais"/>
    <hyperlink ref="A174" display="+ Informações sobre Seguradora"/>
    <hyperlink ref="A183" display="+ Informações sobre Seguradora"/>
    <hyperlink ref="A192" display="+ Informações sobre Seguradora"/>
    <hyperlink ref="A193" display="+ Informações sobre Filiais"/>
    <hyperlink ref="A202" display="+ Informações sobre Seguradora"/>
    <hyperlink ref="A203" display="+ Informações sobre Filiais"/>
    <hyperlink ref="A212" display="+ Informações sobre Seguradora"/>
    <hyperlink ref="A213" display="+ Informações sobre Filiais"/>
    <hyperlink ref="A222" display="+ Informações sobre Seguradora"/>
    <hyperlink ref="A223" display="+ Informações sobre Filiais"/>
    <hyperlink ref="A232" display="+ Informações sobre Seguradora"/>
    <hyperlink ref="A241" display="+ Informações sobre Seguradora"/>
    <hyperlink ref="A250" display="+ Informações sobre Seguradora"/>
    <hyperlink ref="A251" display="+ Informações sobre Filiais"/>
    <hyperlink ref="A260" display="+ Informações sobre Seguradora"/>
    <hyperlink ref="A261" display="+ Informações sobre Filiais"/>
    <hyperlink ref="A270" display="+ Informações sobre Seguradora"/>
    <hyperlink ref="A279" display="+ Informações sobre Seguradora"/>
    <hyperlink ref="A288" display="+ Informações sobre Seguradora"/>
    <hyperlink ref="A289" display="+ Informações sobre Filiais"/>
    <hyperlink ref="A298" display="+ Informações sobre Seguradora"/>
    <hyperlink ref="A307" display="+ Informações sobre Seguradora"/>
    <hyperlink ref="A316" display="+ Informações sobre Seguradora"/>
    <hyperlink ref="A325" display="+ Informações sobre Seguradora"/>
    <hyperlink ref="A334" display="+ Informações sobre Seguradora"/>
    <hyperlink ref="A343" display="+ Informações sobre Seguradora"/>
    <hyperlink ref="A352" display="+ Informações sobre Seguradora"/>
    <hyperlink ref="A353" display="+ Informações sobre Filiais"/>
    <hyperlink ref="A362" display="+ Informações sobre Seguradora"/>
    <hyperlink ref="A363" display="+ Informações sobre Filiais"/>
    <hyperlink ref="A372" display="+ Informações sobre Seguradora"/>
    <hyperlink ref="A381" display="+ Informações sobre Seguradora"/>
    <hyperlink ref="A382" display="+ Informações sobre Filiais"/>
    <hyperlink ref="A391" display="+ Informações sobre Seguradora"/>
    <hyperlink ref="A400" display="+ Informações sobre Seguradora"/>
    <hyperlink ref="A409" display="+ Informações sobre Seguradora"/>
    <hyperlink ref="A418" display="+ Informações sobre Seguradora"/>
    <hyperlink ref="A427" display="+ Informações sobre Seguradora"/>
    <hyperlink ref="A428" display="+ Informações sobre Filiais"/>
    <hyperlink ref="A437" display="+ Informações sobre Seguradora"/>
    <hyperlink ref="A438" display="+ Informações sobre Filiais"/>
    <hyperlink ref="A447" display="+ Informações sobre Seguradora"/>
    <hyperlink ref="A456" display="+ Informações sobre Seguradora"/>
    <hyperlink ref="A457" display="+ Informações sobre Filiais"/>
    <hyperlink ref="A466" display="+ Informações sobre Seguradora"/>
    <hyperlink ref="A467" display="+ Informações sobre Filiais"/>
    <hyperlink ref="A476" display="+ Informações sobre Seguradora"/>
    <hyperlink ref="A477" display="+ Informações sobre Filiais"/>
    <hyperlink ref="A486" display="+ Informações sobre Seguradora"/>
    <hyperlink ref="A495" display="+ Informações sobre Seguradora"/>
    <hyperlink ref="A504" display="+ Informações sobre Seguradora"/>
    <hyperlink ref="A513" display="+ Informações sobre Seguradora"/>
    <hyperlink ref="A522" display="+ Informações sobre Seguradora"/>
    <hyperlink ref="A523" display="+ Informações sobre Filiais"/>
    <hyperlink ref="A532" display="+ Informações sobre Seguradora"/>
    <hyperlink ref="A541" display="+ Informações sobre Seguradora"/>
    <hyperlink ref="A542" display="+ Informações sobre Filiais"/>
    <hyperlink ref="A551" display="+ Informações sobre Seguradora"/>
    <hyperlink ref="A560" display="+ Informações sobre Seguradora"/>
    <hyperlink ref="A561" display="+ Informações sobre Filiais"/>
    <hyperlink ref="A570" display="+ Informações sobre Seguradora"/>
    <hyperlink ref="A579" display="+ Informações sobre Seguradora"/>
    <hyperlink ref="A580" display="+ Informações sobre Filiais"/>
    <hyperlink ref="A589" display="+ Informações sobre Seguradora"/>
    <hyperlink ref="A590" display="+ Informações sobre Filiais"/>
    <hyperlink ref="A599" display="+ Informações sobre Seguradora"/>
    <hyperlink ref="A600" display="+ Informações sobre Filiais"/>
    <hyperlink ref="A609" display="+ Informações sobre Seguradora"/>
    <hyperlink ref="A610" display="+ Informações sobre Filiais"/>
    <hyperlink ref="A619" display="+ Informações sobre Seguradora"/>
    <hyperlink ref="A620" display="+ Informações sobre Filiais"/>
    <hyperlink ref="A629" display="+ Informações sobre Seguradora"/>
    <hyperlink ref="A630" display="+ Informações sobre Filiais"/>
    <hyperlink ref="A639" display="+ Informações sobre Seguradora"/>
    <hyperlink ref="A640" display="+ Informações sobre Filiais"/>
    <hyperlink ref="A649" display="+ Informações sobre Seguradora"/>
    <hyperlink ref="A650" display="+ Informações sobre Filiais"/>
    <hyperlink ref="A659" display="+ Informações sobre Seguradora"/>
    <hyperlink ref="A660" display="+ Informações sobre Filiais"/>
    <hyperlink ref="A669" display="+ Informações sobre Seguradora"/>
    <hyperlink ref="A670" display="+ Informações sobre Filiais"/>
    <hyperlink ref="A679" display="+ Informações sobre Seguradora"/>
    <hyperlink ref="A688" display="+ Informações sobre Seguradora"/>
    <hyperlink ref="A689" display="+ Informações sobre Filiais"/>
    <hyperlink ref="A698" display="+ Informações sobre Seguradora"/>
    <hyperlink ref="A707" display="+ Informações sobre Seguradora"/>
    <hyperlink ref="A716" display="+ Informações sobre Seguradora"/>
    <hyperlink ref="A717" display="+ Informações sobre Filiais"/>
    <hyperlink ref="A726" display="+ Informações sobre Seguradora"/>
    <hyperlink ref="A735" display="+ Informações sobre Seguradora"/>
    <hyperlink ref="A744" display="+ Informações sobre Seguradora"/>
    <hyperlink ref="A753" display="+ Informações sobre Seguradora"/>
    <hyperlink ref="A762" display="+ Informações sobre Seguradora"/>
    <hyperlink ref="A763" display="+ Informações sobre Filiais"/>
    <hyperlink ref="A772" display="+ Informações sobre Seguradora"/>
    <hyperlink ref="A773" display="+ Informações sobre Filiais"/>
    <hyperlink ref="A782" display="+ Informações sobre Seguradora"/>
    <hyperlink ref="A783" display="+ Informações sobre Filiais"/>
    <hyperlink ref="A792" display="+ Informações sobre Seguradora"/>
    <hyperlink ref="A801" display="+ Informações sobre Seguradora"/>
    <hyperlink ref="A802" display="+ Informações sobre Filiais"/>
    <hyperlink ref="A811" display="+ Informações sobre Seguradora"/>
    <hyperlink ref="A812" display="+ Informações sobre Filiais"/>
    <hyperlink ref="A821" display="+ Informações sobre Seguradora"/>
    <hyperlink ref="A822" display="+ Informações sobre Filiais"/>
    <hyperlink ref="A831" display="+ Informações sobre Seguradora"/>
    <hyperlink ref="A840" display="+ Informações sobre Seguradora"/>
    <hyperlink ref="A849" display="+ Informações sobre Seguradora"/>
    <hyperlink ref="A850" display="+ Informações sobre Filiais"/>
    <hyperlink ref="A859" display="+ Informações sobre Seguradora"/>
    <hyperlink ref="A860" display="+ Informações sobre Filiais"/>
    <hyperlink ref="A869" display="+ Informações sobre Seguradora"/>
    <hyperlink ref="A878" display="+ Informações sobre Seguradora"/>
    <hyperlink ref="A879" display="+ Informações sobre Filiais"/>
    <hyperlink ref="A888" display="+ Informações sobre Seguradora"/>
    <hyperlink ref="A897" display="+ Informações sobre Seguradora"/>
    <hyperlink ref="A898" display="+ Informações sobre Filiais"/>
    <hyperlink ref="A907" display="+ Informações sobre Seguradora"/>
    <hyperlink ref="A908" display="+ Informações sobre Filiais"/>
    <hyperlink ref="A917" display="+ Informações sobre Seguradora"/>
    <hyperlink ref="A926" display="+ Informações sobre Seguradora"/>
    <hyperlink ref="A935" display="+ Informações sobre Seguradora"/>
    <hyperlink ref="A944" display="+ Informações sobre Seguradora"/>
    <hyperlink ref="A945" display="+ Informações sobre Filiais"/>
    <hyperlink ref="A954" display="+ Informações sobre Seguradora"/>
    <hyperlink ref="A963" display="+ Informações sobre Seguradora"/>
    <hyperlink ref="A964" display="+ Informações sobre Filiais"/>
    <hyperlink ref="A973" display="+ Informações sobre Seguradora"/>
    <hyperlink ref="A974" display="+ Informações sobre Filiais"/>
    <hyperlink ref="A983" display="+ Informações sobre Seguradora"/>
    <hyperlink ref="A992" display="+ Informações sobre Seguradora"/>
    <hyperlink ref="A1001" display="+ Informações sobre Seguradora"/>
    <hyperlink ref="A1010" display="+ Informações sobre Seguradora"/>
    <hyperlink ref="A1011" display="+ Informações sobre Filiais"/>
    <hyperlink ref="A1020" display="+ Informações sobre Seguradora"/>
    <hyperlink ref="A1021" display="+ Informações sobre Filiais"/>
    <hyperlink ref="A1030" display="+ Informações sobre Seguradora"/>
    <hyperlink ref="A1031" display="+ Informações sobre Filiais"/>
    <hyperlink ref="A1040" display="+ Informações sobre Seguradora"/>
    <hyperlink ref="A1041" display="+ Informações sobre Filiais"/>
    <hyperlink ref="A1050" display="+ Informações sobre Seguradora"/>
    <hyperlink ref="A1059" display="+ Informações sobre Seguradora"/>
    <hyperlink ref="A1068" display="+ Informações sobre Seguradora"/>
    <hyperlink ref="A1069" display="+ Informações sobre Filiais"/>
    <hyperlink ref="A1078" display="+ Informações sobre Seguradora"/>
    <hyperlink ref="A1079" display="+ Informações sobre Filiais"/>
    <hyperlink ref="A1088" display="+ Informações sobre Seguradora"/>
    <hyperlink ref="A1097" display="+ Informações sobre Seguradora"/>
    <hyperlink ref="A1106" display="+ Informações sobre Seguradora"/>
    <hyperlink ref="A1107" display="+ Informações sobre Filiais"/>
    <hyperlink ref="A1116" display="+ Informações sobre Seguradora"/>
    <hyperlink ref="A1125" display="+ Informações sobre Seguradora"/>
    <hyperlink ref="A1134" display="+ Informações sobre Seguradora"/>
    <hyperlink ref="A1135" display="+ Informações sobre Filiais"/>
    <hyperlink ref="A1144" display="+ Informações sobre Seguradora"/>
    <hyperlink ref="A1145" display="+ Informações sobre Filiais"/>
    <hyperlink ref="A1154" display="+ Informações sobre Seguradora"/>
    <hyperlink ref="A1163" display="+ Informações sobre Seguradora"/>
    <hyperlink ref="A1172" display="+ Informações sobre Seguradora"/>
  </hyperlink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39997558519241921"/>
  </sheetPr>
  <dimension ref="A1:L149"/>
  <sheetViews>
    <sheetView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22.140625" style="7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3724</v>
      </c>
      <c r="E1" s="43" t="s">
        <v>1613</v>
      </c>
      <c r="F1" s="7">
        <f>COUNTIF(F3:F65536,"&lt;&gt;")</f>
        <v>16</v>
      </c>
      <c r="H1" s="7" t="s">
        <v>3747</v>
      </c>
    </row>
    <row r="2" spans="1:12" ht="15" x14ac:dyDescent="0.2">
      <c r="A2" s="82"/>
      <c r="E2" s="43" t="s">
        <v>1614</v>
      </c>
      <c r="F2" s="43" t="s">
        <v>1615</v>
      </c>
      <c r="G2" s="43" t="s">
        <v>1616</v>
      </c>
      <c r="H2" s="43" t="s">
        <v>1617</v>
      </c>
      <c r="I2" s="43" t="s">
        <v>1618</v>
      </c>
      <c r="J2" s="43" t="s">
        <v>1619</v>
      </c>
      <c r="K2" s="43" t="s">
        <v>1620</v>
      </c>
      <c r="L2" s="43" t="s">
        <v>1621</v>
      </c>
    </row>
    <row r="3" spans="1:12" ht="15" x14ac:dyDescent="0.2">
      <c r="A3" s="82"/>
      <c r="D3" s="7" t="str">
        <f>VLOOKUP(G3,'Resseguradoras no Vida'!$C:$C,1,0)</f>
        <v>38253</v>
      </c>
      <c r="E3" s="7" t="s">
        <v>3069</v>
      </c>
      <c r="F3" s="7" t="s">
        <v>1622</v>
      </c>
      <c r="G3" s="52" t="s">
        <v>1623</v>
      </c>
      <c r="H3" s="7" t="s">
        <v>1624</v>
      </c>
      <c r="I3" s="7" t="s">
        <v>57</v>
      </c>
      <c r="J3" s="7" t="s">
        <v>793</v>
      </c>
      <c r="K3" s="7" t="s">
        <v>3638</v>
      </c>
      <c r="L3" s="8">
        <v>40142</v>
      </c>
    </row>
    <row r="4" spans="1:12" x14ac:dyDescent="0.2">
      <c r="A4" s="83" t="s">
        <v>3069</v>
      </c>
      <c r="D4" s="7" t="str">
        <f>VLOOKUP(G4,'Resseguradoras no Vida'!$C:$C,1,0)</f>
        <v>38741</v>
      </c>
      <c r="E4" s="7" t="s">
        <v>3725</v>
      </c>
      <c r="F4" s="7" t="s">
        <v>1626</v>
      </c>
      <c r="G4" s="52" t="s">
        <v>1627</v>
      </c>
      <c r="H4" s="7" t="s">
        <v>3738</v>
      </c>
      <c r="I4" s="7" t="s">
        <v>57</v>
      </c>
      <c r="J4" s="7" t="s">
        <v>3739</v>
      </c>
      <c r="K4" s="7" t="s">
        <v>797</v>
      </c>
      <c r="L4" s="8">
        <v>40637</v>
      </c>
    </row>
    <row r="5" spans="1:12" x14ac:dyDescent="0.2">
      <c r="A5" s="84" t="s">
        <v>1628</v>
      </c>
      <c r="D5" s="7" t="str">
        <f>VLOOKUP(G5,'Resseguradoras no Vida'!$C:$C,1,0)</f>
        <v>30074</v>
      </c>
      <c r="E5" s="7" t="s">
        <v>1629</v>
      </c>
      <c r="F5" s="7" t="s">
        <v>1630</v>
      </c>
      <c r="G5" s="52" t="s">
        <v>1631</v>
      </c>
      <c r="H5" s="7" t="s">
        <v>1632</v>
      </c>
      <c r="I5" s="7" t="s">
        <v>111</v>
      </c>
      <c r="J5" s="7" t="s">
        <v>1633</v>
      </c>
      <c r="K5" s="7" t="s">
        <v>1634</v>
      </c>
      <c r="L5" s="8">
        <v>41263</v>
      </c>
    </row>
    <row r="6" spans="1:12" x14ac:dyDescent="0.2">
      <c r="A6" s="84" t="s">
        <v>1635</v>
      </c>
      <c r="D6" s="7" t="str">
        <f>VLOOKUP(G6,'Resseguradoras no Vida'!$C:$C,1,0)</f>
        <v>34819</v>
      </c>
      <c r="E6" s="7" t="s">
        <v>1636</v>
      </c>
      <c r="F6" s="7" t="s">
        <v>1637</v>
      </c>
      <c r="G6" s="52" t="s">
        <v>1638</v>
      </c>
      <c r="H6" s="7" t="s">
        <v>1639</v>
      </c>
      <c r="I6" s="7" t="s">
        <v>111</v>
      </c>
      <c r="J6" s="7" t="s">
        <v>827</v>
      </c>
      <c r="K6" s="7" t="s">
        <v>1640</v>
      </c>
      <c r="L6" s="8">
        <v>40574</v>
      </c>
    </row>
    <row r="7" spans="1:12" x14ac:dyDescent="0.2">
      <c r="A7" s="84" t="s">
        <v>1641</v>
      </c>
      <c r="D7" s="7" t="str">
        <f>VLOOKUP(G7,'Resseguradoras no Vida'!$C:$C,1,0)</f>
        <v>36099</v>
      </c>
      <c r="E7" s="7" t="s">
        <v>3728</v>
      </c>
      <c r="F7" s="7" t="s">
        <v>3740</v>
      </c>
      <c r="G7" s="52" t="s">
        <v>3741</v>
      </c>
      <c r="H7" s="7" t="s">
        <v>3742</v>
      </c>
      <c r="I7" s="7" t="s">
        <v>57</v>
      </c>
      <c r="J7" s="7" t="s">
        <v>1803</v>
      </c>
      <c r="K7" s="7" t="s">
        <v>858</v>
      </c>
      <c r="L7" s="8">
        <v>41876</v>
      </c>
    </row>
    <row r="8" spans="1:12" x14ac:dyDescent="0.2">
      <c r="A8" s="84" t="s">
        <v>801</v>
      </c>
      <c r="D8" s="7" t="str">
        <f>VLOOKUP(G8,'Resseguradoras no Vida'!$C:$C,1,0)</f>
        <v>37052</v>
      </c>
      <c r="E8" s="7" t="s">
        <v>1642</v>
      </c>
      <c r="F8" s="7" t="s">
        <v>1643</v>
      </c>
      <c r="G8" s="52" t="s">
        <v>1644</v>
      </c>
      <c r="H8" s="7" t="s">
        <v>1645</v>
      </c>
      <c r="I8" s="7" t="s">
        <v>57</v>
      </c>
      <c r="J8" s="7" t="s">
        <v>852</v>
      </c>
      <c r="K8" s="7" t="s">
        <v>858</v>
      </c>
      <c r="L8" s="8">
        <v>41326</v>
      </c>
    </row>
    <row r="9" spans="1:12" x14ac:dyDescent="0.2">
      <c r="A9" s="84" t="s">
        <v>3591</v>
      </c>
      <c r="D9" s="7" t="str">
        <f>VLOOKUP(G9,'Resseguradoras no Vida'!$C:$C,1,0)</f>
        <v>31623</v>
      </c>
      <c r="E9" s="7" t="s">
        <v>1646</v>
      </c>
      <c r="F9" s="7" t="s">
        <v>1647</v>
      </c>
      <c r="G9" s="52" t="s">
        <v>1648</v>
      </c>
      <c r="H9" s="7" t="s">
        <v>1649</v>
      </c>
      <c r="I9" s="7" t="s">
        <v>111</v>
      </c>
      <c r="J9" s="7" t="s">
        <v>1650</v>
      </c>
      <c r="K9" s="7" t="s">
        <v>1651</v>
      </c>
      <c r="L9" s="8" t="s">
        <v>38</v>
      </c>
    </row>
    <row r="10" spans="1:12" x14ac:dyDescent="0.2">
      <c r="A10" s="84" t="s">
        <v>1655</v>
      </c>
      <c r="D10" s="7" t="str">
        <f>VLOOKUP(G10,'Resseguradoras no Vida'!$C:$C,1,0)</f>
        <v>38873</v>
      </c>
      <c r="E10" s="7" t="s">
        <v>1652</v>
      </c>
      <c r="F10" s="7" t="s">
        <v>1653</v>
      </c>
      <c r="G10" s="52" t="s">
        <v>1654</v>
      </c>
      <c r="H10" s="7" t="s">
        <v>946</v>
      </c>
      <c r="I10" s="7" t="s">
        <v>94</v>
      </c>
      <c r="J10" s="7" t="s">
        <v>947</v>
      </c>
      <c r="K10" s="7" t="s">
        <v>948</v>
      </c>
      <c r="L10" s="8">
        <v>39591</v>
      </c>
    </row>
    <row r="11" spans="1:12" x14ac:dyDescent="0.2">
      <c r="A11" s="51" t="s">
        <v>1661</v>
      </c>
      <c r="D11" s="7" t="str">
        <f>VLOOKUP(G11,'Resseguradoras no Vida'!$C:$C,1,0)</f>
        <v>33294</v>
      </c>
      <c r="E11" s="7" t="s">
        <v>1656</v>
      </c>
      <c r="F11" s="7" t="s">
        <v>1657</v>
      </c>
      <c r="G11" s="52" t="s">
        <v>1658</v>
      </c>
      <c r="H11" s="7" t="s">
        <v>1659</v>
      </c>
      <c r="I11" s="7" t="s">
        <v>88</v>
      </c>
      <c r="J11" s="7" t="s">
        <v>837</v>
      </c>
      <c r="K11" s="7" t="s">
        <v>1660</v>
      </c>
      <c r="L11" s="8">
        <v>39766</v>
      </c>
    </row>
    <row r="12" spans="1:12" ht="15" x14ac:dyDescent="0.2">
      <c r="A12" s="82"/>
      <c r="D12" s="7" t="str">
        <f>VLOOKUP(G12,'Resseguradoras no Vida'!$C:$C,1,0)</f>
        <v>39764</v>
      </c>
      <c r="E12" s="7" t="s">
        <v>3592</v>
      </c>
      <c r="F12" s="7" t="s">
        <v>1662</v>
      </c>
      <c r="G12" s="52" t="s">
        <v>1663</v>
      </c>
      <c r="H12" s="7" t="s">
        <v>3639</v>
      </c>
      <c r="I12" s="7" t="s">
        <v>111</v>
      </c>
      <c r="J12" s="7" t="s">
        <v>1664</v>
      </c>
      <c r="K12" s="7" t="s">
        <v>3640</v>
      </c>
      <c r="L12" s="8">
        <v>40925</v>
      </c>
    </row>
    <row r="13" spans="1:12" x14ac:dyDescent="0.2">
      <c r="A13" s="83" t="s">
        <v>3725</v>
      </c>
      <c r="D13" s="7" t="str">
        <f>VLOOKUP(G13,'Resseguradoras no Vida'!$C:$C,1,0)</f>
        <v>37729</v>
      </c>
      <c r="E13" s="7" t="s">
        <v>1665</v>
      </c>
      <c r="F13" s="7" t="s">
        <v>1666</v>
      </c>
      <c r="G13" s="52" t="s">
        <v>1667</v>
      </c>
      <c r="H13" s="7" t="s">
        <v>1668</v>
      </c>
      <c r="I13" s="7" t="s">
        <v>57</v>
      </c>
      <c r="J13" s="7" t="s">
        <v>1669</v>
      </c>
      <c r="K13" s="7" t="s">
        <v>1670</v>
      </c>
      <c r="L13" s="8">
        <v>39591</v>
      </c>
    </row>
    <row r="14" spans="1:12" x14ac:dyDescent="0.2">
      <c r="A14" s="84" t="s">
        <v>1675</v>
      </c>
      <c r="D14" s="7" t="str">
        <f>VLOOKUP(G14,'Resseguradoras no Vida'!$C:$C,1,0)</f>
        <v>31551</v>
      </c>
      <c r="E14" s="7" t="s">
        <v>3732</v>
      </c>
      <c r="F14" s="7" t="s">
        <v>3743</v>
      </c>
      <c r="G14" s="52" t="s">
        <v>3744</v>
      </c>
      <c r="H14" s="7" t="s">
        <v>3745</v>
      </c>
      <c r="I14" s="7" t="s">
        <v>111</v>
      </c>
      <c r="J14" s="7" t="s">
        <v>1882</v>
      </c>
      <c r="K14" s="7" t="s">
        <v>858</v>
      </c>
      <c r="L14" s="8">
        <v>41798</v>
      </c>
    </row>
    <row r="15" spans="1:12" x14ac:dyDescent="0.2">
      <c r="A15" s="84" t="s">
        <v>1681</v>
      </c>
      <c r="D15" s="7" t="str">
        <f>VLOOKUP(G15,'Resseguradoras no Vida'!$C:$C,1,0)</f>
        <v>38270</v>
      </c>
      <c r="E15" s="7" t="s">
        <v>1671</v>
      </c>
      <c r="F15" s="7" t="s">
        <v>1672</v>
      </c>
      <c r="G15" s="52" t="s">
        <v>1673</v>
      </c>
      <c r="H15" s="7" t="s">
        <v>1674</v>
      </c>
      <c r="I15" s="7" t="s">
        <v>57</v>
      </c>
      <c r="J15" s="7" t="s">
        <v>1031</v>
      </c>
      <c r="K15" s="7" t="s">
        <v>858</v>
      </c>
      <c r="L15" s="8">
        <v>41074</v>
      </c>
    </row>
    <row r="16" spans="1:12" x14ac:dyDescent="0.2">
      <c r="A16" s="84" t="s">
        <v>3726</v>
      </c>
      <c r="D16" s="7" t="str">
        <f>VLOOKUP(G16,'Resseguradoras no Vida'!$C:$C,1,0)</f>
        <v>30201</v>
      </c>
      <c r="E16" s="7" t="s">
        <v>3595</v>
      </c>
      <c r="F16" s="7" t="s">
        <v>1676</v>
      </c>
      <c r="G16" s="52" t="s">
        <v>1677</v>
      </c>
      <c r="H16" s="7" t="s">
        <v>1678</v>
      </c>
      <c r="I16" s="7" t="s">
        <v>57</v>
      </c>
      <c r="J16" s="7" t="s">
        <v>1679</v>
      </c>
      <c r="K16" s="7" t="s">
        <v>1680</v>
      </c>
      <c r="L16" s="8">
        <v>40949</v>
      </c>
    </row>
    <row r="17" spans="1:12" x14ac:dyDescent="0.2">
      <c r="A17" s="84" t="s">
        <v>3727</v>
      </c>
      <c r="D17" s="7" t="str">
        <f>VLOOKUP(G17,'Resseguradoras no Vida'!$C:$C,1,0)</f>
        <v>34665</v>
      </c>
      <c r="E17" s="7" t="s">
        <v>1682</v>
      </c>
      <c r="F17" s="7" t="s">
        <v>1683</v>
      </c>
      <c r="G17" s="45" t="s">
        <v>1684</v>
      </c>
      <c r="H17" s="7" t="s">
        <v>1685</v>
      </c>
      <c r="I17" s="7" t="s">
        <v>57</v>
      </c>
      <c r="J17" s="7" t="s">
        <v>1052</v>
      </c>
      <c r="K17" s="7" t="s">
        <v>1686</v>
      </c>
      <c r="L17" s="8">
        <v>39580</v>
      </c>
    </row>
    <row r="18" spans="1:12" x14ac:dyDescent="0.2">
      <c r="A18" s="84" t="s">
        <v>848</v>
      </c>
      <c r="D18" s="7" t="str">
        <f>VLOOKUP(G18,'Resseguradoras no Vida'!$C:$C,1,0)</f>
        <v>32875</v>
      </c>
      <c r="E18" s="7" t="s">
        <v>3596</v>
      </c>
      <c r="F18" s="7" t="s">
        <v>1687</v>
      </c>
      <c r="G18" s="45" t="s">
        <v>1688</v>
      </c>
      <c r="H18" s="7" t="s">
        <v>3746</v>
      </c>
      <c r="I18" s="7" t="s">
        <v>57</v>
      </c>
      <c r="J18" s="7" t="s">
        <v>931</v>
      </c>
      <c r="K18" s="7" t="s">
        <v>1689</v>
      </c>
      <c r="L18" s="8">
        <v>41030</v>
      </c>
    </row>
    <row r="19" spans="1:12" x14ac:dyDescent="0.2">
      <c r="A19" s="84" t="s">
        <v>1690</v>
      </c>
    </row>
    <row r="20" spans="1:12" x14ac:dyDescent="0.2">
      <c r="A20" s="51" t="s">
        <v>1661</v>
      </c>
    </row>
    <row r="21" spans="1:12" ht="15" x14ac:dyDescent="0.2">
      <c r="A21" s="82"/>
    </row>
    <row r="22" spans="1:12" x14ac:dyDescent="0.2">
      <c r="A22" s="83" t="s">
        <v>1629</v>
      </c>
    </row>
    <row r="23" spans="1:12" x14ac:dyDescent="0.2">
      <c r="A23" s="84" t="s">
        <v>1691</v>
      </c>
    </row>
    <row r="24" spans="1:12" x14ac:dyDescent="0.2">
      <c r="A24" s="84" t="s">
        <v>1692</v>
      </c>
    </row>
    <row r="25" spans="1:12" x14ac:dyDescent="0.2">
      <c r="A25" s="84" t="s">
        <v>1693</v>
      </c>
    </row>
    <row r="26" spans="1:12" x14ac:dyDescent="0.2">
      <c r="A26" s="84" t="s">
        <v>1694</v>
      </c>
    </row>
    <row r="27" spans="1:12" x14ac:dyDescent="0.2">
      <c r="A27" s="84" t="s">
        <v>1695</v>
      </c>
    </row>
    <row r="28" spans="1:12" x14ac:dyDescent="0.2">
      <c r="A28" s="84" t="s">
        <v>1140</v>
      </c>
    </row>
    <row r="29" spans="1:12" x14ac:dyDescent="0.2">
      <c r="A29" s="51" t="s">
        <v>1661</v>
      </c>
    </row>
    <row r="30" spans="1:12" x14ac:dyDescent="0.2">
      <c r="A30" s="51" t="s">
        <v>815</v>
      </c>
    </row>
    <row r="31" spans="1:12" ht="15" x14ac:dyDescent="0.2">
      <c r="A31" s="82"/>
    </row>
    <row r="32" spans="1:12" x14ac:dyDescent="0.2">
      <c r="A32" s="83" t="s">
        <v>1636</v>
      </c>
    </row>
    <row r="33" spans="1:1" x14ac:dyDescent="0.2">
      <c r="A33" s="84" t="s">
        <v>1696</v>
      </c>
    </row>
    <row r="34" spans="1:1" x14ac:dyDescent="0.2">
      <c r="A34" s="84" t="s">
        <v>1697</v>
      </c>
    </row>
    <row r="35" spans="1:1" x14ac:dyDescent="0.2">
      <c r="A35" s="84" t="s">
        <v>1698</v>
      </c>
    </row>
    <row r="36" spans="1:1" x14ac:dyDescent="0.2">
      <c r="A36" s="84" t="s">
        <v>1079</v>
      </c>
    </row>
    <row r="37" spans="1:1" x14ac:dyDescent="0.2">
      <c r="A37" s="84" t="s">
        <v>1699</v>
      </c>
    </row>
    <row r="38" spans="1:1" x14ac:dyDescent="0.2">
      <c r="A38" s="84" t="s">
        <v>1700</v>
      </c>
    </row>
    <row r="39" spans="1:1" x14ac:dyDescent="0.2">
      <c r="A39" s="51" t="s">
        <v>1661</v>
      </c>
    </row>
    <row r="40" spans="1:1" ht="15" x14ac:dyDescent="0.2">
      <c r="A40" s="82"/>
    </row>
    <row r="41" spans="1:1" x14ac:dyDescent="0.2">
      <c r="A41" s="83" t="s">
        <v>3728</v>
      </c>
    </row>
    <row r="42" spans="1:1" x14ac:dyDescent="0.2">
      <c r="A42" s="84" t="s">
        <v>3729</v>
      </c>
    </row>
    <row r="43" spans="1:1" x14ac:dyDescent="0.2">
      <c r="A43" s="84" t="s">
        <v>3730</v>
      </c>
    </row>
    <row r="44" spans="1:1" x14ac:dyDescent="0.2">
      <c r="A44" s="84" t="s">
        <v>3731</v>
      </c>
    </row>
    <row r="45" spans="1:1" x14ac:dyDescent="0.2">
      <c r="A45" s="84" t="s">
        <v>1961</v>
      </c>
    </row>
    <row r="46" spans="1:1" x14ac:dyDescent="0.2">
      <c r="A46" s="84" t="s">
        <v>1154</v>
      </c>
    </row>
    <row r="47" spans="1:1" x14ac:dyDescent="0.2">
      <c r="A47" s="84" t="s">
        <v>3670</v>
      </c>
    </row>
    <row r="48" spans="1:1" x14ac:dyDescent="0.2">
      <c r="A48" s="51" t="s">
        <v>1661</v>
      </c>
    </row>
    <row r="49" spans="1:1" ht="15" x14ac:dyDescent="0.2">
      <c r="A49" s="82"/>
    </row>
    <row r="50" spans="1:1" x14ac:dyDescent="0.2">
      <c r="A50" s="83" t="s">
        <v>1642</v>
      </c>
    </row>
    <row r="51" spans="1:1" x14ac:dyDescent="0.2">
      <c r="A51" s="84" t="s">
        <v>1701</v>
      </c>
    </row>
    <row r="52" spans="1:1" x14ac:dyDescent="0.2">
      <c r="A52" s="84" t="s">
        <v>1702</v>
      </c>
    </row>
    <row r="53" spans="1:1" x14ac:dyDescent="0.2">
      <c r="A53" s="84" t="s">
        <v>1703</v>
      </c>
    </row>
    <row r="54" spans="1:1" x14ac:dyDescent="0.2">
      <c r="A54" s="84" t="s">
        <v>1138</v>
      </c>
    </row>
    <row r="55" spans="1:1" x14ac:dyDescent="0.2">
      <c r="A55" s="84" t="s">
        <v>1154</v>
      </c>
    </row>
    <row r="56" spans="1:1" x14ac:dyDescent="0.2">
      <c r="A56" s="84" t="s">
        <v>1704</v>
      </c>
    </row>
    <row r="57" spans="1:1" x14ac:dyDescent="0.2">
      <c r="A57" s="51" t="s">
        <v>1661</v>
      </c>
    </row>
    <row r="58" spans="1:1" ht="15" x14ac:dyDescent="0.2">
      <c r="A58" s="82"/>
    </row>
    <row r="59" spans="1:1" x14ac:dyDescent="0.2">
      <c r="A59" s="83" t="s">
        <v>1646</v>
      </c>
    </row>
    <row r="60" spans="1:1" x14ac:dyDescent="0.2">
      <c r="A60" s="84" t="s">
        <v>1705</v>
      </c>
    </row>
    <row r="61" spans="1:1" x14ac:dyDescent="0.2">
      <c r="A61" s="84" t="s">
        <v>1706</v>
      </c>
    </row>
    <row r="62" spans="1:1" x14ac:dyDescent="0.2">
      <c r="A62" s="84" t="s">
        <v>1707</v>
      </c>
    </row>
    <row r="63" spans="1:1" x14ac:dyDescent="0.2">
      <c r="A63" s="84" t="s">
        <v>1708</v>
      </c>
    </row>
    <row r="64" spans="1:1" x14ac:dyDescent="0.2">
      <c r="A64" s="84" t="s">
        <v>1709</v>
      </c>
    </row>
    <row r="65" spans="1:1" x14ac:dyDescent="0.2">
      <c r="A65" s="84" t="s">
        <v>834</v>
      </c>
    </row>
    <row r="66" spans="1:1" x14ac:dyDescent="0.2">
      <c r="A66" s="51" t="s">
        <v>1661</v>
      </c>
    </row>
    <row r="67" spans="1:1" ht="15" x14ac:dyDescent="0.2">
      <c r="A67" s="82"/>
    </row>
    <row r="68" spans="1:1" x14ac:dyDescent="0.2">
      <c r="A68" s="83" t="s">
        <v>1652</v>
      </c>
    </row>
    <row r="69" spans="1:1" x14ac:dyDescent="0.2">
      <c r="A69" s="84" t="s">
        <v>1710</v>
      </c>
    </row>
    <row r="70" spans="1:1" x14ac:dyDescent="0.2">
      <c r="A70" s="84" t="s">
        <v>1711</v>
      </c>
    </row>
    <row r="71" spans="1:1" x14ac:dyDescent="0.2">
      <c r="A71" s="84" t="s">
        <v>1348</v>
      </c>
    </row>
    <row r="72" spans="1:1" x14ac:dyDescent="0.2">
      <c r="A72" s="84" t="s">
        <v>1349</v>
      </c>
    </row>
    <row r="73" spans="1:1" x14ac:dyDescent="0.2">
      <c r="A73" s="84" t="s">
        <v>1350</v>
      </c>
    </row>
    <row r="74" spans="1:1" x14ac:dyDescent="0.2">
      <c r="A74" s="84" t="s">
        <v>1712</v>
      </c>
    </row>
    <row r="75" spans="1:1" x14ac:dyDescent="0.2">
      <c r="A75" s="51" t="s">
        <v>1661</v>
      </c>
    </row>
    <row r="76" spans="1:1" x14ac:dyDescent="0.2">
      <c r="A76" s="51" t="s">
        <v>815</v>
      </c>
    </row>
    <row r="77" spans="1:1" ht="15" x14ac:dyDescent="0.2">
      <c r="A77" s="82"/>
    </row>
    <row r="78" spans="1:1" x14ac:dyDescent="0.2">
      <c r="A78" s="83" t="s">
        <v>1656</v>
      </c>
    </row>
    <row r="79" spans="1:1" x14ac:dyDescent="0.2">
      <c r="A79" s="84" t="s">
        <v>1713</v>
      </c>
    </row>
    <row r="80" spans="1:1" x14ac:dyDescent="0.2">
      <c r="A80" s="84" t="s">
        <v>1714</v>
      </c>
    </row>
    <row r="81" spans="1:1" x14ac:dyDescent="0.2">
      <c r="A81" s="84" t="s">
        <v>1715</v>
      </c>
    </row>
    <row r="82" spans="1:1" x14ac:dyDescent="0.2">
      <c r="A82" s="84" t="s">
        <v>1716</v>
      </c>
    </row>
    <row r="83" spans="1:1" x14ac:dyDescent="0.2">
      <c r="A83" s="84" t="s">
        <v>1717</v>
      </c>
    </row>
    <row r="84" spans="1:1" x14ac:dyDescent="0.2">
      <c r="A84" s="84" t="s">
        <v>1718</v>
      </c>
    </row>
    <row r="85" spans="1:1" x14ac:dyDescent="0.2">
      <c r="A85" s="51" t="s">
        <v>1661</v>
      </c>
    </row>
    <row r="86" spans="1:1" ht="15" x14ac:dyDescent="0.2">
      <c r="A86" s="82"/>
    </row>
    <row r="87" spans="1:1" x14ac:dyDescent="0.2">
      <c r="A87" s="83" t="s">
        <v>3592</v>
      </c>
    </row>
    <row r="88" spans="1:1" x14ac:dyDescent="0.2">
      <c r="A88" s="84" t="s">
        <v>1719</v>
      </c>
    </row>
    <row r="89" spans="1:1" x14ac:dyDescent="0.2">
      <c r="A89" s="84" t="s">
        <v>1720</v>
      </c>
    </row>
    <row r="90" spans="1:1" x14ac:dyDescent="0.2">
      <c r="A90" s="84" t="s">
        <v>3593</v>
      </c>
    </row>
    <row r="91" spans="1:1" x14ac:dyDescent="0.2">
      <c r="A91" s="84" t="s">
        <v>1721</v>
      </c>
    </row>
    <row r="92" spans="1:1" x14ac:dyDescent="0.2">
      <c r="A92" s="84" t="s">
        <v>3594</v>
      </c>
    </row>
    <row r="93" spans="1:1" x14ac:dyDescent="0.2">
      <c r="A93" s="84" t="s">
        <v>1722</v>
      </c>
    </row>
    <row r="94" spans="1:1" x14ac:dyDescent="0.2">
      <c r="A94" s="51" t="s">
        <v>1661</v>
      </c>
    </row>
    <row r="95" spans="1:1" ht="15" x14ac:dyDescent="0.2">
      <c r="A95" s="82"/>
    </row>
    <row r="96" spans="1:1" x14ac:dyDescent="0.2">
      <c r="A96" s="83" t="s">
        <v>1665</v>
      </c>
    </row>
    <row r="97" spans="1:1" x14ac:dyDescent="0.2">
      <c r="A97" s="84" t="s">
        <v>1723</v>
      </c>
    </row>
    <row r="98" spans="1:1" x14ac:dyDescent="0.2">
      <c r="A98" s="84" t="s">
        <v>1724</v>
      </c>
    </row>
    <row r="99" spans="1:1" x14ac:dyDescent="0.2">
      <c r="A99" s="84" t="s">
        <v>1725</v>
      </c>
    </row>
    <row r="100" spans="1:1" x14ac:dyDescent="0.2">
      <c r="A100" s="84" t="s">
        <v>1726</v>
      </c>
    </row>
    <row r="101" spans="1:1" x14ac:dyDescent="0.2">
      <c r="A101" s="84" t="s">
        <v>1727</v>
      </c>
    </row>
    <row r="102" spans="1:1" x14ac:dyDescent="0.2">
      <c r="A102" s="84" t="s">
        <v>1712</v>
      </c>
    </row>
    <row r="103" spans="1:1" x14ac:dyDescent="0.2">
      <c r="A103" s="51" t="s">
        <v>1661</v>
      </c>
    </row>
    <row r="104" spans="1:1" ht="15" x14ac:dyDescent="0.2">
      <c r="A104" s="82"/>
    </row>
    <row r="105" spans="1:1" x14ac:dyDescent="0.2">
      <c r="A105" s="83" t="s">
        <v>3732</v>
      </c>
    </row>
    <row r="106" spans="1:1" x14ac:dyDescent="0.2">
      <c r="A106" s="84" t="s">
        <v>3733</v>
      </c>
    </row>
    <row r="107" spans="1:1" x14ac:dyDescent="0.2">
      <c r="A107" s="84" t="s">
        <v>3734</v>
      </c>
    </row>
    <row r="108" spans="1:1" x14ac:dyDescent="0.2">
      <c r="A108" s="84" t="s">
        <v>3735</v>
      </c>
    </row>
    <row r="109" spans="1:1" x14ac:dyDescent="0.2">
      <c r="A109" s="84" t="s">
        <v>2033</v>
      </c>
    </row>
    <row r="110" spans="1:1" x14ac:dyDescent="0.2">
      <c r="A110" s="84" t="s">
        <v>1154</v>
      </c>
    </row>
    <row r="111" spans="1:1" x14ac:dyDescent="0.2">
      <c r="A111" s="84" t="s">
        <v>3736</v>
      </c>
    </row>
    <row r="112" spans="1:1" x14ac:dyDescent="0.2">
      <c r="A112" s="51" t="s">
        <v>1661</v>
      </c>
    </row>
    <row r="113" spans="1:1" ht="15" x14ac:dyDescent="0.2">
      <c r="A113" s="82"/>
    </row>
    <row r="114" spans="1:1" x14ac:dyDescent="0.2">
      <c r="A114" s="83" t="s">
        <v>1671</v>
      </c>
    </row>
    <row r="115" spans="1:1" x14ac:dyDescent="0.2">
      <c r="A115" s="84" t="s">
        <v>1728</v>
      </c>
    </row>
    <row r="116" spans="1:1" x14ac:dyDescent="0.2">
      <c r="A116" s="84" t="s">
        <v>1729</v>
      </c>
    </row>
    <row r="117" spans="1:1" x14ac:dyDescent="0.2">
      <c r="A117" s="84" t="s">
        <v>1730</v>
      </c>
    </row>
    <row r="118" spans="1:1" x14ac:dyDescent="0.2">
      <c r="A118" s="84" t="s">
        <v>1537</v>
      </c>
    </row>
    <row r="119" spans="1:1" x14ac:dyDescent="0.2">
      <c r="A119" s="84" t="s">
        <v>1154</v>
      </c>
    </row>
    <row r="120" spans="1:1" x14ac:dyDescent="0.2">
      <c r="A120" s="84" t="s">
        <v>1731</v>
      </c>
    </row>
    <row r="121" spans="1:1" x14ac:dyDescent="0.2">
      <c r="A121" s="51" t="s">
        <v>1661</v>
      </c>
    </row>
    <row r="122" spans="1:1" ht="15" x14ac:dyDescent="0.2">
      <c r="A122" s="82"/>
    </row>
    <row r="123" spans="1:1" x14ac:dyDescent="0.2">
      <c r="A123" s="83" t="s">
        <v>3595</v>
      </c>
    </row>
    <row r="124" spans="1:1" x14ac:dyDescent="0.2">
      <c r="A124" s="84" t="s">
        <v>1732</v>
      </c>
    </row>
    <row r="125" spans="1:1" x14ac:dyDescent="0.2">
      <c r="A125" s="84" t="s">
        <v>1733</v>
      </c>
    </row>
    <row r="126" spans="1:1" x14ac:dyDescent="0.2">
      <c r="A126" s="84" t="s">
        <v>1734</v>
      </c>
    </row>
    <row r="127" spans="1:1" x14ac:dyDescent="0.2">
      <c r="A127" s="84" t="s">
        <v>1735</v>
      </c>
    </row>
    <row r="128" spans="1:1" x14ac:dyDescent="0.2">
      <c r="A128" s="84" t="s">
        <v>1736</v>
      </c>
    </row>
    <row r="129" spans="1:1" x14ac:dyDescent="0.2">
      <c r="A129" s="84" t="s">
        <v>1737</v>
      </c>
    </row>
    <row r="130" spans="1:1" x14ac:dyDescent="0.2">
      <c r="A130" s="51" t="s">
        <v>1661</v>
      </c>
    </row>
    <row r="131" spans="1:1" ht="15" x14ac:dyDescent="0.2">
      <c r="A131" s="82"/>
    </row>
    <row r="132" spans="1:1" x14ac:dyDescent="0.2">
      <c r="A132" s="83" t="s">
        <v>1682</v>
      </c>
    </row>
    <row r="133" spans="1:1" x14ac:dyDescent="0.2">
      <c r="A133" s="84" t="s">
        <v>1738</v>
      </c>
    </row>
    <row r="134" spans="1:1" x14ac:dyDescent="0.2">
      <c r="A134" s="84" t="s">
        <v>1739</v>
      </c>
    </row>
    <row r="135" spans="1:1" x14ac:dyDescent="0.2">
      <c r="A135" s="84" t="s">
        <v>1740</v>
      </c>
    </row>
    <row r="136" spans="1:1" x14ac:dyDescent="0.2">
      <c r="A136" s="84" t="s">
        <v>1584</v>
      </c>
    </row>
    <row r="137" spans="1:1" x14ac:dyDescent="0.2">
      <c r="A137" s="84" t="s">
        <v>1741</v>
      </c>
    </row>
    <row r="138" spans="1:1" x14ac:dyDescent="0.2">
      <c r="A138" s="84" t="s">
        <v>1742</v>
      </c>
    </row>
    <row r="139" spans="1:1" x14ac:dyDescent="0.2">
      <c r="A139" s="51" t="s">
        <v>1661</v>
      </c>
    </row>
    <row r="140" spans="1:1" x14ac:dyDescent="0.2">
      <c r="A140" s="51" t="s">
        <v>815</v>
      </c>
    </row>
    <row r="141" spans="1:1" ht="15" x14ac:dyDescent="0.2">
      <c r="A141" s="82"/>
    </row>
    <row r="142" spans="1:1" x14ac:dyDescent="0.2">
      <c r="A142" s="83" t="s">
        <v>3596</v>
      </c>
    </row>
    <row r="143" spans="1:1" x14ac:dyDescent="0.2">
      <c r="A143" s="84" t="s">
        <v>1743</v>
      </c>
    </row>
    <row r="144" spans="1:1" x14ac:dyDescent="0.2">
      <c r="A144" s="84" t="s">
        <v>1744</v>
      </c>
    </row>
    <row r="145" spans="1:1" x14ac:dyDescent="0.2">
      <c r="A145" s="84" t="s">
        <v>3737</v>
      </c>
    </row>
    <row r="146" spans="1:1" x14ac:dyDescent="0.2">
      <c r="A146" s="84" t="s">
        <v>1318</v>
      </c>
    </row>
    <row r="147" spans="1:1" x14ac:dyDescent="0.2">
      <c r="A147" s="84" t="s">
        <v>1745</v>
      </c>
    </row>
    <row r="148" spans="1:1" x14ac:dyDescent="0.2">
      <c r="A148" s="84" t="s">
        <v>1746</v>
      </c>
    </row>
    <row r="149" spans="1:1" x14ac:dyDescent="0.2">
      <c r="A149" s="51" t="s">
        <v>1661</v>
      </c>
    </row>
  </sheetData>
  <hyperlinks>
    <hyperlink ref="A11" display="+ Informações sobre Resseguradora"/>
    <hyperlink ref="A20" display="+ Informações sobre Resseguradora"/>
    <hyperlink ref="A29" display="+ Informações sobre Resseguradora"/>
    <hyperlink ref="A30" display="+ Informações sobre Filiais"/>
    <hyperlink ref="A39" display="+ Informações sobre Resseguradora"/>
    <hyperlink ref="A48" display="+ Informações sobre Resseguradora"/>
    <hyperlink ref="A57" display="+ Informações sobre Resseguradora"/>
    <hyperlink ref="A66" display="+ Informações sobre Resseguradora"/>
    <hyperlink ref="A75" display="+ Informações sobre Resseguradora"/>
    <hyperlink ref="A76" display="+ Informações sobre Filiais"/>
    <hyperlink ref="A85" display="+ Informações sobre Resseguradora"/>
    <hyperlink ref="A94" display="+ Informações sobre Resseguradora"/>
    <hyperlink ref="A103" display="+ Informações sobre Resseguradora"/>
    <hyperlink ref="A112" display="+ Informações sobre Resseguradora"/>
    <hyperlink ref="A121" display="+ Informações sobre Resseguradora"/>
    <hyperlink ref="A130" display="+ Informações sobre Resseguradora"/>
    <hyperlink ref="A139" display="+ Informações sobre Resseguradora"/>
    <hyperlink ref="A140" display="+ Informações sobre Filiais"/>
    <hyperlink ref="A149" display="+ Informações sobre Resseguradora"/>
  </hyperlink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L299"/>
  <sheetViews>
    <sheetView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22.140625" style="7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3748</v>
      </c>
      <c r="E1" s="43" t="s">
        <v>1613</v>
      </c>
      <c r="F1" s="7">
        <f>COUNTIF(F3:F65536,"&lt;&gt;")</f>
        <v>33</v>
      </c>
      <c r="H1" s="7" t="s">
        <v>3761</v>
      </c>
    </row>
    <row r="2" spans="1:12" ht="15" x14ac:dyDescent="0.2">
      <c r="A2" s="82"/>
      <c r="E2" s="43" t="s">
        <v>1614</v>
      </c>
      <c r="F2" s="43" t="s">
        <v>1615</v>
      </c>
      <c r="G2" s="43" t="s">
        <v>1616</v>
      </c>
      <c r="H2" s="43" t="s">
        <v>1617</v>
      </c>
      <c r="I2" s="43" t="s">
        <v>1618</v>
      </c>
      <c r="J2" s="43" t="s">
        <v>1619</v>
      </c>
      <c r="K2" s="43" t="s">
        <v>1620</v>
      </c>
      <c r="L2" s="43" t="s">
        <v>1621</v>
      </c>
    </row>
    <row r="3" spans="1:12" ht="15" x14ac:dyDescent="0.2">
      <c r="A3" s="82"/>
      <c r="D3" s="7" t="str">
        <f>VLOOKUP(G3,'Resseguradoras no Vida'!$C$100:$C$132,1,0)</f>
        <v>40851</v>
      </c>
      <c r="E3" s="7" t="s">
        <v>1747</v>
      </c>
      <c r="F3" s="7" t="s">
        <v>1748</v>
      </c>
      <c r="G3" s="45" t="s">
        <v>1749</v>
      </c>
      <c r="H3" s="7" t="s">
        <v>1750</v>
      </c>
      <c r="I3" s="7" t="s">
        <v>57</v>
      </c>
      <c r="J3" s="7" t="s">
        <v>793</v>
      </c>
      <c r="K3" s="7" t="s">
        <v>1751</v>
      </c>
      <c r="L3" s="8">
        <v>39764</v>
      </c>
    </row>
    <row r="4" spans="1:12" x14ac:dyDescent="0.2">
      <c r="A4" s="83" t="s">
        <v>1747</v>
      </c>
      <c r="D4" s="7" t="str">
        <f>VLOOKUP(G4,'Resseguradoras no Vida'!$C$100:$C$132,1,0)</f>
        <v>40207</v>
      </c>
      <c r="E4" s="7" t="s">
        <v>3749</v>
      </c>
      <c r="F4" s="7" t="s">
        <v>1753</v>
      </c>
      <c r="G4" s="45" t="s">
        <v>1754</v>
      </c>
      <c r="H4" s="7" t="s">
        <v>3756</v>
      </c>
      <c r="I4" s="7" t="s">
        <v>111</v>
      </c>
      <c r="J4" s="7" t="s">
        <v>1755</v>
      </c>
      <c r="K4" s="7" t="s">
        <v>3757</v>
      </c>
      <c r="L4" s="8">
        <v>40025</v>
      </c>
    </row>
    <row r="5" spans="1:12" x14ac:dyDescent="0.2">
      <c r="A5" s="84" t="s">
        <v>1756</v>
      </c>
      <c r="D5" s="7" t="str">
        <f>VLOOKUP(G5,'Resseguradoras no Vida'!$C$100:$C$132,1,0)</f>
        <v>49760</v>
      </c>
      <c r="E5" s="7" t="s">
        <v>1757</v>
      </c>
      <c r="F5" s="7" t="s">
        <v>1758</v>
      </c>
      <c r="G5" s="45" t="s">
        <v>1759</v>
      </c>
      <c r="H5" s="7" t="s">
        <v>1760</v>
      </c>
      <c r="I5" s="7" t="s">
        <v>57</v>
      </c>
      <c r="J5" s="7" t="s">
        <v>796</v>
      </c>
      <c r="K5" s="7" t="s">
        <v>1761</v>
      </c>
      <c r="L5" s="8">
        <v>39744</v>
      </c>
    </row>
    <row r="6" spans="1:12" x14ac:dyDescent="0.2">
      <c r="A6" s="84" t="s">
        <v>1762</v>
      </c>
      <c r="D6" s="7" t="str">
        <f>VLOOKUP(G6,'Resseguradoras no Vida'!$C$100:$C$132,1,0)</f>
        <v>49131</v>
      </c>
      <c r="E6" s="7" t="s">
        <v>1763</v>
      </c>
      <c r="F6" s="7" t="s">
        <v>1764</v>
      </c>
      <c r="G6" s="45" t="s">
        <v>1765</v>
      </c>
      <c r="H6" s="7" t="s">
        <v>1766</v>
      </c>
      <c r="I6" s="7" t="s">
        <v>111</v>
      </c>
      <c r="J6" s="7" t="s">
        <v>1767</v>
      </c>
      <c r="K6" s="7" t="s">
        <v>1768</v>
      </c>
      <c r="L6" s="8">
        <v>41337</v>
      </c>
    </row>
    <row r="7" spans="1:12" x14ac:dyDescent="0.2">
      <c r="A7" s="84" t="s">
        <v>1769</v>
      </c>
      <c r="D7" s="7" t="str">
        <f>VLOOKUP(G7,'Resseguradoras no Vida'!$C$100:$C$132,1,0)</f>
        <v>45926</v>
      </c>
      <c r="E7" s="7" t="s">
        <v>1770</v>
      </c>
      <c r="F7" s="7" t="s">
        <v>1771</v>
      </c>
      <c r="G7" s="45" t="s">
        <v>1772</v>
      </c>
      <c r="H7" s="7" t="s">
        <v>1773</v>
      </c>
      <c r="I7" s="7" t="s">
        <v>111</v>
      </c>
      <c r="J7" s="7" t="s">
        <v>1774</v>
      </c>
      <c r="K7" s="7" t="s">
        <v>1768</v>
      </c>
      <c r="L7" s="8">
        <v>40215</v>
      </c>
    </row>
    <row r="8" spans="1:12" x14ac:dyDescent="0.2">
      <c r="A8" s="84" t="s">
        <v>801</v>
      </c>
      <c r="D8" s="7" t="str">
        <f>VLOOKUP(G8,'Resseguradoras no Vida'!$C$100:$C$132,1,0)</f>
        <v>42684</v>
      </c>
      <c r="E8" s="7" t="s">
        <v>3752</v>
      </c>
      <c r="F8" s="7" t="s">
        <v>3758</v>
      </c>
      <c r="G8" s="45" t="s">
        <v>3759</v>
      </c>
      <c r="H8" s="7" t="s">
        <v>3760</v>
      </c>
      <c r="I8" s="7" t="s">
        <v>57</v>
      </c>
      <c r="J8" s="7" t="s">
        <v>1858</v>
      </c>
      <c r="K8" s="7" t="s">
        <v>3700</v>
      </c>
      <c r="L8" s="8">
        <v>41729</v>
      </c>
    </row>
    <row r="9" spans="1:12" x14ac:dyDescent="0.2">
      <c r="A9" s="84" t="s">
        <v>1780</v>
      </c>
      <c r="D9" s="7" t="str">
        <f>VLOOKUP(G9,'Resseguradoras no Vida'!$C$100:$C$132,1,0)</f>
        <v>46507</v>
      </c>
      <c r="E9" s="7" t="s">
        <v>1775</v>
      </c>
      <c r="F9" s="7" t="s">
        <v>1776</v>
      </c>
      <c r="G9" s="45" t="s">
        <v>1777</v>
      </c>
      <c r="H9" s="7" t="s">
        <v>1778</v>
      </c>
      <c r="I9" s="7" t="s">
        <v>88</v>
      </c>
      <c r="J9" s="7" t="s">
        <v>909</v>
      </c>
      <c r="K9" s="7" t="s">
        <v>1779</v>
      </c>
      <c r="L9" s="8">
        <v>40605</v>
      </c>
    </row>
    <row r="10" spans="1:12" x14ac:dyDescent="0.2">
      <c r="A10" s="84" t="s">
        <v>1787</v>
      </c>
      <c r="D10" s="7" t="str">
        <f>VLOOKUP(G10,'Resseguradoras no Vida'!$C$100:$C$132,1,0)</f>
        <v>47848</v>
      </c>
      <c r="E10" s="7" t="s">
        <v>1781</v>
      </c>
      <c r="F10" s="7" t="s">
        <v>1782</v>
      </c>
      <c r="G10" s="45" t="s">
        <v>1783</v>
      </c>
      <c r="H10" s="7" t="s">
        <v>1784</v>
      </c>
      <c r="I10" s="7" t="s">
        <v>57</v>
      </c>
      <c r="J10" s="7" t="s">
        <v>1785</v>
      </c>
      <c r="K10" s="7" t="s">
        <v>1786</v>
      </c>
      <c r="L10" s="8">
        <v>41474</v>
      </c>
    </row>
    <row r="11" spans="1:12" x14ac:dyDescent="0.2">
      <c r="A11" s="51" t="s">
        <v>1661</v>
      </c>
      <c r="D11" s="7" t="str">
        <f>VLOOKUP(G11,'Resseguradoras no Vida'!$C$100:$C$132,1,0)</f>
        <v>47708</v>
      </c>
      <c r="E11" s="7" t="s">
        <v>1788</v>
      </c>
      <c r="F11" s="7" t="s">
        <v>1789</v>
      </c>
      <c r="G11" s="45" t="s">
        <v>1790</v>
      </c>
      <c r="H11" s="7" t="s">
        <v>1791</v>
      </c>
      <c r="I11" s="7" t="s">
        <v>88</v>
      </c>
      <c r="J11" s="7" t="s">
        <v>1792</v>
      </c>
      <c r="K11" s="7" t="s">
        <v>1793</v>
      </c>
      <c r="L11" s="8">
        <v>40680</v>
      </c>
    </row>
    <row r="12" spans="1:12" ht="15" x14ac:dyDescent="0.2">
      <c r="A12" s="82"/>
      <c r="D12" s="7" t="str">
        <f>VLOOKUP(G12,'Resseguradoras no Vida'!$C$100:$C$132,1,0)</f>
        <v>44920</v>
      </c>
      <c r="E12" s="7" t="s">
        <v>1794</v>
      </c>
      <c r="F12" s="7" t="s">
        <v>1795</v>
      </c>
      <c r="G12" s="45" t="s">
        <v>1796</v>
      </c>
      <c r="H12" s="7" t="s">
        <v>1797</v>
      </c>
      <c r="I12" s="7" t="s">
        <v>57</v>
      </c>
      <c r="J12" s="7" t="s">
        <v>803</v>
      </c>
      <c r="K12" s="7" t="s">
        <v>1798</v>
      </c>
      <c r="L12" s="8">
        <v>39800</v>
      </c>
    </row>
    <row r="13" spans="1:12" x14ac:dyDescent="0.2">
      <c r="A13" s="83" t="s">
        <v>3749</v>
      </c>
      <c r="D13" s="7" t="str">
        <f>VLOOKUP(G13,'Resseguradoras no Vida'!$C$100:$C$132,1,0)</f>
        <v>41416</v>
      </c>
      <c r="E13" s="7" t="s">
        <v>1799</v>
      </c>
      <c r="F13" s="7" t="s">
        <v>1800</v>
      </c>
      <c r="G13" s="45" t="s">
        <v>1801</v>
      </c>
      <c r="H13" s="7" t="s">
        <v>1802</v>
      </c>
      <c r="I13" s="7" t="s">
        <v>57</v>
      </c>
      <c r="J13" s="7" t="s">
        <v>1803</v>
      </c>
      <c r="K13" s="7" t="s">
        <v>1804</v>
      </c>
      <c r="L13" s="8">
        <v>40071</v>
      </c>
    </row>
    <row r="14" spans="1:12" x14ac:dyDescent="0.2">
      <c r="A14" s="84" t="s">
        <v>1811</v>
      </c>
      <c r="D14" s="7" t="str">
        <f>VLOOKUP(G14,'Resseguradoras no Vida'!$C$100:$C$132,1,0)</f>
        <v>46761</v>
      </c>
      <c r="E14" s="7" t="s">
        <v>1805</v>
      </c>
      <c r="F14" s="7" t="s">
        <v>1806</v>
      </c>
      <c r="G14" s="45" t="s">
        <v>1807</v>
      </c>
      <c r="H14" s="7" t="s">
        <v>1808</v>
      </c>
      <c r="I14" s="7" t="s">
        <v>57</v>
      </c>
      <c r="J14" s="7" t="s">
        <v>1809</v>
      </c>
      <c r="K14" s="7" t="s">
        <v>1810</v>
      </c>
      <c r="L14" s="8">
        <v>39811</v>
      </c>
    </row>
    <row r="15" spans="1:12" x14ac:dyDescent="0.2">
      <c r="A15" s="84" t="s">
        <v>1818</v>
      </c>
      <c r="D15" s="7" t="str">
        <f>VLOOKUP(G15,'Resseguradoras no Vida'!$C$100:$C$132,1,0)</f>
        <v>45896</v>
      </c>
      <c r="E15" s="7" t="s">
        <v>3451</v>
      </c>
      <c r="F15" s="7" t="s">
        <v>3473</v>
      </c>
      <c r="G15" s="45" t="s">
        <v>3481</v>
      </c>
      <c r="H15" s="7" t="s">
        <v>3474</v>
      </c>
      <c r="I15" s="7" t="s">
        <v>111</v>
      </c>
      <c r="J15" s="7" t="s">
        <v>3475</v>
      </c>
      <c r="K15" s="7" t="s">
        <v>3476</v>
      </c>
      <c r="L15" s="8">
        <v>41506</v>
      </c>
    </row>
    <row r="16" spans="1:12" x14ac:dyDescent="0.2">
      <c r="A16" s="84" t="s">
        <v>3750</v>
      </c>
      <c r="D16" s="7" t="str">
        <f>VLOOKUP(G16,'Resseguradoras no Vida'!$C$100:$C$132,1,0)</f>
        <v>48879</v>
      </c>
      <c r="E16" s="7" t="s">
        <v>1812</v>
      </c>
      <c r="F16" s="7" t="s">
        <v>1813</v>
      </c>
      <c r="G16" s="45" t="s">
        <v>1814</v>
      </c>
      <c r="H16" s="7" t="s">
        <v>1815</v>
      </c>
      <c r="I16" s="7" t="s">
        <v>88</v>
      </c>
      <c r="J16" s="7" t="s">
        <v>1816</v>
      </c>
      <c r="K16" s="7" t="s">
        <v>1817</v>
      </c>
      <c r="L16" s="8">
        <v>39800</v>
      </c>
    </row>
    <row r="17" spans="1:12" x14ac:dyDescent="0.2">
      <c r="A17" s="84" t="s">
        <v>1831</v>
      </c>
      <c r="D17" s="7" t="str">
        <f>VLOOKUP(G17,'Resseguradoras no Vida'!$C$100:$C$132,1,0)</f>
        <v>41491</v>
      </c>
      <c r="E17" s="7" t="s">
        <v>1819</v>
      </c>
      <c r="F17" s="7" t="s">
        <v>1820</v>
      </c>
      <c r="G17" s="45" t="s">
        <v>1821</v>
      </c>
      <c r="H17" s="7" t="s">
        <v>1822</v>
      </c>
      <c r="I17" s="7" t="s">
        <v>111</v>
      </c>
      <c r="J17" s="7" t="s">
        <v>1823</v>
      </c>
      <c r="K17" s="7" t="s">
        <v>1824</v>
      </c>
      <c r="L17" s="8">
        <v>39645</v>
      </c>
    </row>
    <row r="18" spans="1:12" x14ac:dyDescent="0.2">
      <c r="A18" s="84" t="s">
        <v>3751</v>
      </c>
      <c r="D18" s="7" t="str">
        <f>VLOOKUP(G18,'Resseguradoras no Vida'!$C$100:$C$132,1,0)</f>
        <v>47082</v>
      </c>
      <c r="E18" s="7" t="s">
        <v>1825</v>
      </c>
      <c r="F18" s="7" t="s">
        <v>1826</v>
      </c>
      <c r="G18" s="45" t="s">
        <v>1827</v>
      </c>
      <c r="H18" s="7" t="s">
        <v>1828</v>
      </c>
      <c r="I18" s="7" t="s">
        <v>57</v>
      </c>
      <c r="J18" s="7" t="s">
        <v>1829</v>
      </c>
      <c r="K18" s="7" t="s">
        <v>1830</v>
      </c>
      <c r="L18" s="8">
        <v>40658</v>
      </c>
    </row>
    <row r="19" spans="1:12" x14ac:dyDescent="0.2">
      <c r="A19" s="84" t="s">
        <v>1843</v>
      </c>
      <c r="D19" s="7" t="str">
        <f>VLOOKUP(G19,'Resseguradoras no Vida'!$C$100:$C$132,1,0)</f>
        <v>42871</v>
      </c>
      <c r="E19" s="7" t="s">
        <v>1832</v>
      </c>
      <c r="F19" s="7" t="s">
        <v>1833</v>
      </c>
      <c r="G19" s="45" t="s">
        <v>1834</v>
      </c>
      <c r="H19" s="7" t="s">
        <v>1835</v>
      </c>
      <c r="I19" s="7" t="s">
        <v>57</v>
      </c>
      <c r="J19" s="7" t="s">
        <v>931</v>
      </c>
      <c r="K19" s="7" t="s">
        <v>1836</v>
      </c>
      <c r="L19" s="8">
        <v>39639</v>
      </c>
    </row>
    <row r="20" spans="1:12" x14ac:dyDescent="0.2">
      <c r="A20" s="51" t="s">
        <v>1661</v>
      </c>
      <c r="D20" s="7" t="str">
        <f>VLOOKUP(G20,'Resseguradoras no Vida'!$C$100:$C$132,1,0)</f>
        <v>42463</v>
      </c>
      <c r="E20" s="7" t="s">
        <v>1837</v>
      </c>
      <c r="F20" s="7" t="s">
        <v>1838</v>
      </c>
      <c r="G20" s="45" t="s">
        <v>1839</v>
      </c>
      <c r="H20" s="7" t="s">
        <v>1840</v>
      </c>
      <c r="I20" s="7" t="s">
        <v>111</v>
      </c>
      <c r="J20" s="7" t="s">
        <v>1841</v>
      </c>
      <c r="K20" s="7" t="s">
        <v>1842</v>
      </c>
      <c r="L20" s="8">
        <v>39553</v>
      </c>
    </row>
    <row r="21" spans="1:12" ht="15" x14ac:dyDescent="0.2">
      <c r="A21" s="82"/>
      <c r="D21" s="7" t="str">
        <f>VLOOKUP(G21,'Resseguradoras no Vida'!$C$100:$C$132,1,0)</f>
        <v>40215</v>
      </c>
      <c r="E21" s="7" t="s">
        <v>1844</v>
      </c>
      <c r="F21" s="7" t="s">
        <v>1845</v>
      </c>
      <c r="G21" s="45" t="s">
        <v>1846</v>
      </c>
      <c r="H21" s="7" t="s">
        <v>1847</v>
      </c>
      <c r="I21" s="7" t="s">
        <v>88</v>
      </c>
      <c r="J21" s="7" t="s">
        <v>1785</v>
      </c>
      <c r="K21" s="7" t="s">
        <v>1848</v>
      </c>
      <c r="L21" s="8">
        <v>40282</v>
      </c>
    </row>
    <row r="22" spans="1:12" x14ac:dyDescent="0.2">
      <c r="A22" s="83" t="s">
        <v>1757</v>
      </c>
      <c r="D22" s="7" t="str">
        <f>VLOOKUP(G22,'Resseguradoras no Vida'!$C$100:$C$132,1,0)</f>
        <v>47724</v>
      </c>
      <c r="E22" s="7" t="s">
        <v>1849</v>
      </c>
      <c r="F22" s="7" t="s">
        <v>1850</v>
      </c>
      <c r="G22" s="45" t="s">
        <v>1851</v>
      </c>
      <c r="H22" s="7" t="s">
        <v>3641</v>
      </c>
      <c r="I22" s="7" t="s">
        <v>57</v>
      </c>
      <c r="J22" s="7" t="s">
        <v>1852</v>
      </c>
      <c r="K22" s="7" t="s">
        <v>1853</v>
      </c>
      <c r="L22" s="8">
        <v>39736</v>
      </c>
    </row>
    <row r="23" spans="1:12" x14ac:dyDescent="0.2">
      <c r="A23" s="84" t="s">
        <v>1866</v>
      </c>
      <c r="D23" s="7" t="str">
        <f>VLOOKUP(G23,'Resseguradoras no Vida'!$C$100:$C$132,1,0)</f>
        <v>41432</v>
      </c>
      <c r="E23" s="7" t="s">
        <v>1854</v>
      </c>
      <c r="F23" s="7" t="s">
        <v>1855</v>
      </c>
      <c r="G23" s="45" t="s">
        <v>1856</v>
      </c>
      <c r="H23" s="7" t="s">
        <v>1857</v>
      </c>
      <c r="I23" s="7" t="s">
        <v>57</v>
      </c>
      <c r="J23" s="7" t="s">
        <v>1858</v>
      </c>
      <c r="K23" s="7" t="s">
        <v>1859</v>
      </c>
      <c r="L23" s="8">
        <v>40254</v>
      </c>
    </row>
    <row r="24" spans="1:12" x14ac:dyDescent="0.2">
      <c r="A24" s="84" t="s">
        <v>1872</v>
      </c>
      <c r="D24" s="7" t="str">
        <f>VLOOKUP(G24,'Resseguradoras no Vida'!$C$100:$C$132,1,0)</f>
        <v>44814</v>
      </c>
      <c r="E24" s="7" t="s">
        <v>1860</v>
      </c>
      <c r="F24" s="7" t="s">
        <v>1861</v>
      </c>
      <c r="G24" s="45" t="s">
        <v>1862</v>
      </c>
      <c r="H24" s="7" t="s">
        <v>1863</v>
      </c>
      <c r="I24" s="7" t="s">
        <v>57</v>
      </c>
      <c r="J24" s="7" t="s">
        <v>1864</v>
      </c>
      <c r="K24" s="7" t="s">
        <v>1865</v>
      </c>
      <c r="L24" s="8">
        <v>39728</v>
      </c>
    </row>
    <row r="25" spans="1:12" x14ac:dyDescent="0.2">
      <c r="A25" s="84" t="s">
        <v>1877</v>
      </c>
      <c r="D25" s="7" t="str">
        <f>VLOOKUP(G25,'Resseguradoras no Vida'!$C$100:$C$132,1,0)</f>
        <v>45004</v>
      </c>
      <c r="E25" s="7" t="s">
        <v>1867</v>
      </c>
      <c r="F25" s="7" t="s">
        <v>1868</v>
      </c>
      <c r="G25" s="45" t="s">
        <v>1869</v>
      </c>
      <c r="H25" s="7" t="s">
        <v>1870</v>
      </c>
      <c r="I25" s="7" t="s">
        <v>57</v>
      </c>
      <c r="J25" s="7" t="s">
        <v>803</v>
      </c>
      <c r="K25" s="7" t="s">
        <v>1871</v>
      </c>
      <c r="L25" s="8">
        <v>39797</v>
      </c>
    </row>
    <row r="26" spans="1:12" x14ac:dyDescent="0.2">
      <c r="A26" s="84" t="s">
        <v>847</v>
      </c>
      <c r="D26" s="7" t="str">
        <f>VLOOKUP(G26,'Resseguradoras no Vida'!$C$100:$C$132,1,0)</f>
        <v>44661</v>
      </c>
      <c r="E26" s="7" t="s">
        <v>1873</v>
      </c>
      <c r="F26" s="7" t="s">
        <v>1874</v>
      </c>
      <c r="G26" s="45" t="s">
        <v>1875</v>
      </c>
      <c r="H26" s="7" t="s">
        <v>3642</v>
      </c>
      <c r="I26" s="7" t="s">
        <v>57</v>
      </c>
      <c r="J26" s="7" t="s">
        <v>1876</v>
      </c>
      <c r="K26" s="7" t="s">
        <v>3643</v>
      </c>
      <c r="L26" s="8">
        <v>39618</v>
      </c>
    </row>
    <row r="27" spans="1:12" x14ac:dyDescent="0.2">
      <c r="A27" s="84" t="s">
        <v>1889</v>
      </c>
      <c r="D27" s="7" t="str">
        <f>VLOOKUP(G27,'Resseguradoras no Vida'!$C$100:$C$132,1,0)</f>
        <v>41629</v>
      </c>
      <c r="E27" s="7" t="s">
        <v>1878</v>
      </c>
      <c r="F27" s="7" t="s">
        <v>1879</v>
      </c>
      <c r="G27" s="45" t="s">
        <v>1880</v>
      </c>
      <c r="H27" s="7" t="s">
        <v>1881</v>
      </c>
      <c r="I27" s="7" t="s">
        <v>111</v>
      </c>
      <c r="J27" s="7" t="s">
        <v>1882</v>
      </c>
      <c r="K27" s="7" t="s">
        <v>1883</v>
      </c>
      <c r="L27" s="8">
        <v>39598</v>
      </c>
    </row>
    <row r="28" spans="1:12" x14ac:dyDescent="0.2">
      <c r="A28" s="84" t="s">
        <v>1894</v>
      </c>
      <c r="D28" s="7" t="str">
        <f>VLOOKUP(G28,'Resseguradoras no Vida'!$C$100:$C$132,1,0)</f>
        <v>48747</v>
      </c>
      <c r="E28" s="7" t="s">
        <v>1884</v>
      </c>
      <c r="F28" s="7" t="s">
        <v>1885</v>
      </c>
      <c r="G28" s="45" t="s">
        <v>1886</v>
      </c>
      <c r="H28" s="7" t="s">
        <v>1887</v>
      </c>
      <c r="I28" s="7" t="s">
        <v>57</v>
      </c>
      <c r="J28" s="7" t="s">
        <v>1031</v>
      </c>
      <c r="K28" s="7" t="s">
        <v>1888</v>
      </c>
      <c r="L28" s="8">
        <v>39591</v>
      </c>
    </row>
    <row r="29" spans="1:12" x14ac:dyDescent="0.2">
      <c r="A29" s="51" t="s">
        <v>1661</v>
      </c>
      <c r="D29" s="7" t="str">
        <f>VLOOKUP(G29,'Resseguradoras no Vida'!$C$100:$C$132,1,0)</f>
        <v>42790</v>
      </c>
      <c r="E29" s="7" t="s">
        <v>1890</v>
      </c>
      <c r="F29" s="7" t="s">
        <v>1891</v>
      </c>
      <c r="G29" s="45" t="s">
        <v>1892</v>
      </c>
      <c r="H29" s="7" t="s">
        <v>1893</v>
      </c>
      <c r="I29" s="7" t="s">
        <v>57</v>
      </c>
      <c r="J29" s="7" t="s">
        <v>1031</v>
      </c>
      <c r="K29" s="7" t="s">
        <v>1888</v>
      </c>
      <c r="L29" s="8">
        <v>39591</v>
      </c>
    </row>
    <row r="30" spans="1:12" ht="15" x14ac:dyDescent="0.2">
      <c r="A30" s="82"/>
      <c r="D30" s="7" t="str">
        <f>VLOOKUP(G30,'Resseguradoras no Vida'!$C$100:$C$132,1,0)</f>
        <v>47741</v>
      </c>
      <c r="E30" s="7" t="s">
        <v>1895</v>
      </c>
      <c r="F30" s="7" t="s">
        <v>1896</v>
      </c>
      <c r="G30" s="45" t="s">
        <v>1897</v>
      </c>
      <c r="H30" s="7" t="s">
        <v>1898</v>
      </c>
      <c r="I30" s="7" t="s">
        <v>57</v>
      </c>
      <c r="J30" s="7" t="s">
        <v>1033</v>
      </c>
      <c r="K30" s="7" t="s">
        <v>1899</v>
      </c>
      <c r="L30" s="8">
        <v>40819</v>
      </c>
    </row>
    <row r="31" spans="1:12" x14ac:dyDescent="0.2">
      <c r="A31" s="83" t="s">
        <v>1763</v>
      </c>
      <c r="D31" s="7" t="str">
        <f>VLOOKUP(G31,'Resseguradoras no Vida'!$C$100:$C$132,1,0)</f>
        <v>40096</v>
      </c>
      <c r="E31" s="7" t="s">
        <v>1900</v>
      </c>
      <c r="F31" s="7" t="s">
        <v>1901</v>
      </c>
      <c r="G31" s="45" t="s">
        <v>1902</v>
      </c>
      <c r="H31" s="7" t="s">
        <v>1903</v>
      </c>
      <c r="I31" s="7" t="s">
        <v>88</v>
      </c>
      <c r="J31" s="7" t="s">
        <v>1858</v>
      </c>
      <c r="K31" s="7" t="s">
        <v>1904</v>
      </c>
      <c r="L31" s="8">
        <v>40400</v>
      </c>
    </row>
    <row r="32" spans="1:12" x14ac:dyDescent="0.2">
      <c r="A32" s="84" t="s">
        <v>1915</v>
      </c>
      <c r="D32" s="7" t="str">
        <f>VLOOKUP(G32,'Resseguradoras no Vida'!$C$100:$C$132,1,0)</f>
        <v>42951</v>
      </c>
      <c r="E32" s="7" t="s">
        <v>1905</v>
      </c>
      <c r="F32" s="7" t="s">
        <v>1906</v>
      </c>
      <c r="G32" s="45" t="s">
        <v>1907</v>
      </c>
      <c r="H32" s="7" t="s">
        <v>3644</v>
      </c>
      <c r="I32" s="7" t="s">
        <v>111</v>
      </c>
      <c r="J32" s="7" t="s">
        <v>975</v>
      </c>
      <c r="K32" s="7" t="s">
        <v>1908</v>
      </c>
      <c r="L32" s="8">
        <v>39769</v>
      </c>
    </row>
    <row r="33" spans="1:12" x14ac:dyDescent="0.2">
      <c r="A33" s="84" t="s">
        <v>1922</v>
      </c>
      <c r="D33" s="7" t="str">
        <f>VLOOKUP(G33,'Resseguradoras no Vida'!$C$100:$C$132,1,0)</f>
        <v>48259</v>
      </c>
      <c r="E33" s="7" t="s">
        <v>1909</v>
      </c>
      <c r="F33" s="7" t="s">
        <v>1910</v>
      </c>
      <c r="G33" s="45" t="s">
        <v>1911</v>
      </c>
      <c r="H33" s="7" t="s">
        <v>1912</v>
      </c>
      <c r="I33" s="7" t="s">
        <v>111</v>
      </c>
      <c r="J33" s="7" t="s">
        <v>1913</v>
      </c>
      <c r="K33" s="7" t="s">
        <v>1914</v>
      </c>
      <c r="L33" s="8">
        <v>39566</v>
      </c>
    </row>
    <row r="34" spans="1:12" x14ac:dyDescent="0.2">
      <c r="A34" s="84" t="s">
        <v>1927</v>
      </c>
      <c r="D34" s="7" t="str">
        <f>VLOOKUP(G34,'Resseguradoras no Vida'!$C$100:$C$132,1,0)</f>
        <v>43290</v>
      </c>
      <c r="E34" s="7" t="s">
        <v>1916</v>
      </c>
      <c r="F34" s="7" t="s">
        <v>1917</v>
      </c>
      <c r="G34" s="45" t="s">
        <v>1918</v>
      </c>
      <c r="H34" s="7" t="s">
        <v>1919</v>
      </c>
      <c r="I34" s="7" t="s">
        <v>57</v>
      </c>
      <c r="J34" s="7" t="s">
        <v>1920</v>
      </c>
      <c r="K34" s="7" t="s">
        <v>1921</v>
      </c>
      <c r="L34" s="8">
        <v>39727</v>
      </c>
    </row>
    <row r="35" spans="1:12" x14ac:dyDescent="0.2">
      <c r="A35" s="84" t="s">
        <v>1928</v>
      </c>
      <c r="D35" s="7" t="str">
        <f>VLOOKUP(G35,'Resseguradoras no Vida'!$C$100:$C$132,1,0)</f>
        <v>48275</v>
      </c>
      <c r="E35" s="7" t="s">
        <v>1923</v>
      </c>
      <c r="F35" s="7" t="s">
        <v>1924</v>
      </c>
      <c r="G35" s="45" t="s">
        <v>1925</v>
      </c>
      <c r="H35" s="7" t="s">
        <v>3477</v>
      </c>
      <c r="I35" s="7" t="s">
        <v>88</v>
      </c>
      <c r="J35" s="7" t="s">
        <v>2332</v>
      </c>
      <c r="K35" s="7" t="s">
        <v>1926</v>
      </c>
      <c r="L35" s="8">
        <v>39892</v>
      </c>
    </row>
    <row r="36" spans="1:12" x14ac:dyDescent="0.2">
      <c r="A36" s="84" t="s">
        <v>1929</v>
      </c>
    </row>
    <row r="37" spans="1:12" x14ac:dyDescent="0.2">
      <c r="A37" s="84" t="s">
        <v>1930</v>
      </c>
    </row>
    <row r="38" spans="1:12" x14ac:dyDescent="0.2">
      <c r="A38" s="51" t="s">
        <v>1661</v>
      </c>
    </row>
    <row r="39" spans="1:12" ht="15" x14ac:dyDescent="0.2">
      <c r="A39" s="82"/>
    </row>
    <row r="40" spans="1:12" x14ac:dyDescent="0.2">
      <c r="A40" s="83" t="s">
        <v>1770</v>
      </c>
    </row>
    <row r="41" spans="1:12" x14ac:dyDescent="0.2">
      <c r="A41" s="84" t="s">
        <v>1931</v>
      </c>
    </row>
    <row r="42" spans="1:12" x14ac:dyDescent="0.2">
      <c r="A42" s="84" t="s">
        <v>1932</v>
      </c>
    </row>
    <row r="43" spans="1:12" x14ac:dyDescent="0.2">
      <c r="A43" s="84" t="s">
        <v>1933</v>
      </c>
    </row>
    <row r="44" spans="1:12" x14ac:dyDescent="0.2">
      <c r="A44" s="84" t="s">
        <v>1934</v>
      </c>
    </row>
    <row r="45" spans="1:12" x14ac:dyDescent="0.2">
      <c r="A45" s="84" t="s">
        <v>1929</v>
      </c>
    </row>
    <row r="46" spans="1:12" x14ac:dyDescent="0.2">
      <c r="A46" s="84" t="s">
        <v>1935</v>
      </c>
    </row>
    <row r="47" spans="1:12" x14ac:dyDescent="0.2">
      <c r="A47" s="51" t="s">
        <v>1661</v>
      </c>
    </row>
    <row r="48" spans="1:12" ht="15" x14ac:dyDescent="0.2">
      <c r="A48" s="82"/>
    </row>
    <row r="49" spans="1:1" x14ac:dyDescent="0.2">
      <c r="A49" s="83" t="s">
        <v>3752</v>
      </c>
    </row>
    <row r="50" spans="1:1" x14ac:dyDescent="0.2">
      <c r="A50" s="84" t="s">
        <v>3753</v>
      </c>
    </row>
    <row r="51" spans="1:1" x14ac:dyDescent="0.2">
      <c r="A51" s="84" t="s">
        <v>3754</v>
      </c>
    </row>
    <row r="52" spans="1:1" x14ac:dyDescent="0.2">
      <c r="A52" s="84" t="s">
        <v>3755</v>
      </c>
    </row>
    <row r="53" spans="1:1" x14ac:dyDescent="0.2">
      <c r="A53" s="84" t="s">
        <v>2012</v>
      </c>
    </row>
    <row r="54" spans="1:1" x14ac:dyDescent="0.2">
      <c r="A54" s="84" t="s">
        <v>3665</v>
      </c>
    </row>
    <row r="55" spans="1:1" x14ac:dyDescent="0.2">
      <c r="A55" s="84" t="s">
        <v>3609</v>
      </c>
    </row>
    <row r="56" spans="1:1" x14ac:dyDescent="0.2">
      <c r="A56" s="51" t="s">
        <v>1661</v>
      </c>
    </row>
    <row r="57" spans="1:1" ht="15" x14ac:dyDescent="0.2">
      <c r="A57" s="82"/>
    </row>
    <row r="58" spans="1:1" x14ac:dyDescent="0.2">
      <c r="A58" s="83" t="s">
        <v>1775</v>
      </c>
    </row>
    <row r="59" spans="1:1" x14ac:dyDescent="0.2">
      <c r="A59" s="84" t="s">
        <v>1936</v>
      </c>
    </row>
    <row r="60" spans="1:1" x14ac:dyDescent="0.2">
      <c r="A60" s="84" t="s">
        <v>1937</v>
      </c>
    </row>
    <row r="61" spans="1:1" x14ac:dyDescent="0.2">
      <c r="A61" s="84" t="s">
        <v>1938</v>
      </c>
    </row>
    <row r="62" spans="1:1" x14ac:dyDescent="0.2">
      <c r="A62" s="84" t="s">
        <v>1274</v>
      </c>
    </row>
    <row r="63" spans="1:1" x14ac:dyDescent="0.2">
      <c r="A63" s="84" t="s">
        <v>1939</v>
      </c>
    </row>
    <row r="64" spans="1:1" x14ac:dyDescent="0.2">
      <c r="A64" s="84" t="s">
        <v>1940</v>
      </c>
    </row>
    <row r="65" spans="1:1" x14ac:dyDescent="0.2">
      <c r="A65" s="51" t="s">
        <v>1661</v>
      </c>
    </row>
    <row r="66" spans="1:1" ht="15" x14ac:dyDescent="0.2">
      <c r="A66" s="82"/>
    </row>
    <row r="67" spans="1:1" x14ac:dyDescent="0.2">
      <c r="A67" s="83" t="s">
        <v>1781</v>
      </c>
    </row>
    <row r="68" spans="1:1" x14ac:dyDescent="0.2">
      <c r="A68" s="84" t="s">
        <v>1941</v>
      </c>
    </row>
    <row r="69" spans="1:1" x14ac:dyDescent="0.2">
      <c r="A69" s="84" t="s">
        <v>1942</v>
      </c>
    </row>
    <row r="70" spans="1:1" x14ac:dyDescent="0.2">
      <c r="A70" s="84" t="s">
        <v>1943</v>
      </c>
    </row>
    <row r="71" spans="1:1" x14ac:dyDescent="0.2">
      <c r="A71" s="84" t="s">
        <v>1944</v>
      </c>
    </row>
    <row r="72" spans="1:1" x14ac:dyDescent="0.2">
      <c r="A72" s="84" t="s">
        <v>1945</v>
      </c>
    </row>
    <row r="73" spans="1:1" x14ac:dyDescent="0.2">
      <c r="A73" s="84" t="s">
        <v>1946</v>
      </c>
    </row>
    <row r="74" spans="1:1" x14ac:dyDescent="0.2">
      <c r="A74" s="51" t="s">
        <v>1661</v>
      </c>
    </row>
    <row r="75" spans="1:1" ht="15" x14ac:dyDescent="0.2">
      <c r="A75" s="82"/>
    </row>
    <row r="76" spans="1:1" x14ac:dyDescent="0.2">
      <c r="A76" s="83" t="s">
        <v>1788</v>
      </c>
    </row>
    <row r="77" spans="1:1" x14ac:dyDescent="0.2">
      <c r="A77" s="84" t="s">
        <v>1947</v>
      </c>
    </row>
    <row r="78" spans="1:1" x14ac:dyDescent="0.2">
      <c r="A78" s="84" t="s">
        <v>1948</v>
      </c>
    </row>
    <row r="79" spans="1:1" x14ac:dyDescent="0.2">
      <c r="A79" s="84" t="s">
        <v>1949</v>
      </c>
    </row>
    <row r="80" spans="1:1" x14ac:dyDescent="0.2">
      <c r="A80" s="84" t="s">
        <v>1950</v>
      </c>
    </row>
    <row r="81" spans="1:1" x14ac:dyDescent="0.2">
      <c r="A81" s="84" t="s">
        <v>1951</v>
      </c>
    </row>
    <row r="82" spans="1:1" x14ac:dyDescent="0.2">
      <c r="A82" s="84" t="s">
        <v>1952</v>
      </c>
    </row>
    <row r="83" spans="1:1" x14ac:dyDescent="0.2">
      <c r="A83" s="51" t="s">
        <v>1661</v>
      </c>
    </row>
    <row r="84" spans="1:1" ht="15" x14ac:dyDescent="0.2">
      <c r="A84" s="82"/>
    </row>
    <row r="85" spans="1:1" x14ac:dyDescent="0.2">
      <c r="A85" s="83" t="s">
        <v>1794</v>
      </c>
    </row>
    <row r="86" spans="1:1" x14ac:dyDescent="0.2">
      <c r="A86" s="84" t="s">
        <v>1953</v>
      </c>
    </row>
    <row r="87" spans="1:1" x14ac:dyDescent="0.2">
      <c r="A87" s="84" t="s">
        <v>1954</v>
      </c>
    </row>
    <row r="88" spans="1:1" x14ac:dyDescent="0.2">
      <c r="A88" s="84" t="s">
        <v>1955</v>
      </c>
    </row>
    <row r="89" spans="1:1" x14ac:dyDescent="0.2">
      <c r="A89" s="84" t="s">
        <v>914</v>
      </c>
    </row>
    <row r="90" spans="1:1" x14ac:dyDescent="0.2">
      <c r="A90" s="84" t="s">
        <v>1956</v>
      </c>
    </row>
    <row r="91" spans="1:1" x14ac:dyDescent="0.2">
      <c r="A91" s="84" t="s">
        <v>1957</v>
      </c>
    </row>
    <row r="92" spans="1:1" x14ac:dyDescent="0.2">
      <c r="A92" s="51" t="s">
        <v>1661</v>
      </c>
    </row>
    <row r="93" spans="1:1" ht="15" x14ac:dyDescent="0.2">
      <c r="A93" s="82"/>
    </row>
    <row r="94" spans="1:1" x14ac:dyDescent="0.2">
      <c r="A94" s="83" t="s">
        <v>1799</v>
      </c>
    </row>
    <row r="95" spans="1:1" x14ac:dyDescent="0.2">
      <c r="A95" s="84" t="s">
        <v>1958</v>
      </c>
    </row>
    <row r="96" spans="1:1" x14ac:dyDescent="0.2">
      <c r="A96" s="84" t="s">
        <v>1959</v>
      </c>
    </row>
    <row r="97" spans="1:1" x14ac:dyDescent="0.2">
      <c r="A97" s="84" t="s">
        <v>1960</v>
      </c>
    </row>
    <row r="98" spans="1:1" x14ac:dyDescent="0.2">
      <c r="A98" s="84" t="s">
        <v>1961</v>
      </c>
    </row>
    <row r="99" spans="1:1" x14ac:dyDescent="0.2">
      <c r="A99" s="84" t="s">
        <v>1962</v>
      </c>
    </row>
    <row r="100" spans="1:1" x14ac:dyDescent="0.2">
      <c r="A100" s="84" t="s">
        <v>1963</v>
      </c>
    </row>
    <row r="101" spans="1:1" x14ac:dyDescent="0.2">
      <c r="A101" s="51" t="s">
        <v>1661</v>
      </c>
    </row>
    <row r="102" spans="1:1" ht="15" x14ac:dyDescent="0.2">
      <c r="A102" s="82"/>
    </row>
    <row r="103" spans="1:1" x14ac:dyDescent="0.2">
      <c r="A103" s="83" t="s">
        <v>1805</v>
      </c>
    </row>
    <row r="104" spans="1:1" x14ac:dyDescent="0.2">
      <c r="A104" s="84" t="s">
        <v>1964</v>
      </c>
    </row>
    <row r="105" spans="1:1" x14ac:dyDescent="0.2">
      <c r="A105" s="84" t="s">
        <v>1965</v>
      </c>
    </row>
    <row r="106" spans="1:1" x14ac:dyDescent="0.2">
      <c r="A106" s="84" t="s">
        <v>1966</v>
      </c>
    </row>
    <row r="107" spans="1:1" x14ac:dyDescent="0.2">
      <c r="A107" s="84" t="s">
        <v>1967</v>
      </c>
    </row>
    <row r="108" spans="1:1" x14ac:dyDescent="0.2">
      <c r="A108" s="84" t="s">
        <v>1968</v>
      </c>
    </row>
    <row r="109" spans="1:1" x14ac:dyDescent="0.2">
      <c r="A109" s="84" t="s">
        <v>1969</v>
      </c>
    </row>
    <row r="110" spans="1:1" x14ac:dyDescent="0.2">
      <c r="A110" s="51" t="s">
        <v>1661</v>
      </c>
    </row>
    <row r="111" spans="1:1" ht="15" x14ac:dyDescent="0.2">
      <c r="A111" s="82"/>
    </row>
    <row r="112" spans="1:1" x14ac:dyDescent="0.2">
      <c r="A112" s="83" t="s">
        <v>3451</v>
      </c>
    </row>
    <row r="113" spans="1:1" x14ac:dyDescent="0.2">
      <c r="A113" s="84" t="s">
        <v>3452</v>
      </c>
    </row>
    <row r="114" spans="1:1" x14ac:dyDescent="0.2">
      <c r="A114" s="84" t="s">
        <v>3453</v>
      </c>
    </row>
    <row r="115" spans="1:1" x14ac:dyDescent="0.2">
      <c r="A115" s="84" t="s">
        <v>3454</v>
      </c>
    </row>
    <row r="116" spans="1:1" x14ac:dyDescent="0.2">
      <c r="A116" s="84" t="s">
        <v>3455</v>
      </c>
    </row>
    <row r="117" spans="1:1" x14ac:dyDescent="0.2">
      <c r="A117" s="84" t="s">
        <v>3456</v>
      </c>
    </row>
    <row r="118" spans="1:1" x14ac:dyDescent="0.2">
      <c r="A118" s="84" t="s">
        <v>2392</v>
      </c>
    </row>
    <row r="119" spans="1:1" x14ac:dyDescent="0.2">
      <c r="A119" s="51" t="s">
        <v>1661</v>
      </c>
    </row>
    <row r="120" spans="1:1" ht="15" x14ac:dyDescent="0.2">
      <c r="A120" s="82"/>
    </row>
    <row r="121" spans="1:1" x14ac:dyDescent="0.2">
      <c r="A121" s="83" t="s">
        <v>1812</v>
      </c>
    </row>
    <row r="122" spans="1:1" x14ac:dyDescent="0.2">
      <c r="A122" s="84" t="s">
        <v>1970</v>
      </c>
    </row>
    <row r="123" spans="1:1" x14ac:dyDescent="0.2">
      <c r="A123" s="84" t="s">
        <v>1971</v>
      </c>
    </row>
    <row r="124" spans="1:1" x14ac:dyDescent="0.2">
      <c r="A124" s="84" t="s">
        <v>1972</v>
      </c>
    </row>
    <row r="125" spans="1:1" x14ac:dyDescent="0.2">
      <c r="A125" s="84" t="s">
        <v>1973</v>
      </c>
    </row>
    <row r="126" spans="1:1" x14ac:dyDescent="0.2">
      <c r="A126" s="84" t="s">
        <v>1974</v>
      </c>
    </row>
    <row r="127" spans="1:1" x14ac:dyDescent="0.2">
      <c r="A127" s="84" t="s">
        <v>1957</v>
      </c>
    </row>
    <row r="128" spans="1:1" x14ac:dyDescent="0.2">
      <c r="A128" s="51" t="s">
        <v>1661</v>
      </c>
    </row>
    <row r="129" spans="1:1" ht="15" x14ac:dyDescent="0.2">
      <c r="A129" s="82"/>
    </row>
    <row r="130" spans="1:1" x14ac:dyDescent="0.2">
      <c r="A130" s="83" t="s">
        <v>1819</v>
      </c>
    </row>
    <row r="131" spans="1:1" x14ac:dyDescent="0.2">
      <c r="A131" s="84" t="s">
        <v>1975</v>
      </c>
    </row>
    <row r="132" spans="1:1" x14ac:dyDescent="0.2">
      <c r="A132" s="84" t="s">
        <v>1976</v>
      </c>
    </row>
    <row r="133" spans="1:1" x14ac:dyDescent="0.2">
      <c r="A133" s="84" t="s">
        <v>1977</v>
      </c>
    </row>
    <row r="134" spans="1:1" x14ac:dyDescent="0.2">
      <c r="A134" s="84" t="s">
        <v>1978</v>
      </c>
    </row>
    <row r="135" spans="1:1" x14ac:dyDescent="0.2">
      <c r="A135" s="84" t="s">
        <v>1979</v>
      </c>
    </row>
    <row r="136" spans="1:1" x14ac:dyDescent="0.2">
      <c r="A136" s="84" t="s">
        <v>1980</v>
      </c>
    </row>
    <row r="137" spans="1:1" x14ac:dyDescent="0.2">
      <c r="A137" s="51" t="s">
        <v>1661</v>
      </c>
    </row>
    <row r="138" spans="1:1" ht="15" x14ac:dyDescent="0.2">
      <c r="A138" s="82"/>
    </row>
    <row r="139" spans="1:1" x14ac:dyDescent="0.2">
      <c r="A139" s="83" t="s">
        <v>1825</v>
      </c>
    </row>
    <row r="140" spans="1:1" x14ac:dyDescent="0.2">
      <c r="A140" s="84" t="s">
        <v>1981</v>
      </c>
    </row>
    <row r="141" spans="1:1" x14ac:dyDescent="0.2">
      <c r="A141" s="84" t="s">
        <v>1982</v>
      </c>
    </row>
    <row r="142" spans="1:1" x14ac:dyDescent="0.2">
      <c r="A142" s="84" t="s">
        <v>1983</v>
      </c>
    </row>
    <row r="143" spans="1:1" x14ac:dyDescent="0.2">
      <c r="A143" s="84" t="s">
        <v>1984</v>
      </c>
    </row>
    <row r="144" spans="1:1" x14ac:dyDescent="0.2">
      <c r="A144" s="84" t="s">
        <v>1985</v>
      </c>
    </row>
    <row r="145" spans="1:1" x14ac:dyDescent="0.2">
      <c r="A145" s="84" t="s">
        <v>1986</v>
      </c>
    </row>
    <row r="146" spans="1:1" x14ac:dyDescent="0.2">
      <c r="A146" s="51" t="s">
        <v>1661</v>
      </c>
    </row>
    <row r="147" spans="1:1" ht="15" x14ac:dyDescent="0.2">
      <c r="A147" s="82"/>
    </row>
    <row r="148" spans="1:1" x14ac:dyDescent="0.2">
      <c r="A148" s="83" t="s">
        <v>1832</v>
      </c>
    </row>
    <row r="149" spans="1:1" x14ac:dyDescent="0.2">
      <c r="A149" s="84" t="s">
        <v>1987</v>
      </c>
    </row>
    <row r="150" spans="1:1" x14ac:dyDescent="0.2">
      <c r="A150" s="84" t="s">
        <v>1988</v>
      </c>
    </row>
    <row r="151" spans="1:1" x14ac:dyDescent="0.2">
      <c r="A151" s="84" t="s">
        <v>1989</v>
      </c>
    </row>
    <row r="152" spans="1:1" x14ac:dyDescent="0.2">
      <c r="A152" s="84" t="s">
        <v>1318</v>
      </c>
    </row>
    <row r="153" spans="1:1" x14ac:dyDescent="0.2">
      <c r="A153" s="84" t="s">
        <v>1990</v>
      </c>
    </row>
    <row r="154" spans="1:1" x14ac:dyDescent="0.2">
      <c r="A154" s="84" t="s">
        <v>1991</v>
      </c>
    </row>
    <row r="155" spans="1:1" x14ac:dyDescent="0.2">
      <c r="A155" s="51" t="s">
        <v>1661</v>
      </c>
    </row>
    <row r="156" spans="1:1" ht="15" x14ac:dyDescent="0.2">
      <c r="A156" s="82"/>
    </row>
    <row r="157" spans="1:1" x14ac:dyDescent="0.2">
      <c r="A157" s="83" t="s">
        <v>1837</v>
      </c>
    </row>
    <row r="158" spans="1:1" x14ac:dyDescent="0.2">
      <c r="A158" s="84" t="s">
        <v>1992</v>
      </c>
    </row>
    <row r="159" spans="1:1" x14ac:dyDescent="0.2">
      <c r="A159" s="84" t="s">
        <v>1993</v>
      </c>
    </row>
    <row r="160" spans="1:1" x14ac:dyDescent="0.2">
      <c r="A160" s="84" t="s">
        <v>1994</v>
      </c>
    </row>
    <row r="161" spans="1:1" x14ac:dyDescent="0.2">
      <c r="A161" s="84" t="s">
        <v>1995</v>
      </c>
    </row>
    <row r="162" spans="1:1" x14ac:dyDescent="0.2">
      <c r="A162" s="84" t="s">
        <v>1996</v>
      </c>
    </row>
    <row r="163" spans="1:1" x14ac:dyDescent="0.2">
      <c r="A163" s="84" t="s">
        <v>1997</v>
      </c>
    </row>
    <row r="164" spans="1:1" x14ac:dyDescent="0.2">
      <c r="A164" s="51" t="s">
        <v>1661</v>
      </c>
    </row>
    <row r="165" spans="1:1" ht="15" x14ac:dyDescent="0.2">
      <c r="A165" s="82"/>
    </row>
    <row r="166" spans="1:1" x14ac:dyDescent="0.2">
      <c r="A166" s="83" t="s">
        <v>1844</v>
      </c>
    </row>
    <row r="167" spans="1:1" x14ac:dyDescent="0.2">
      <c r="A167" s="84" t="s">
        <v>1998</v>
      </c>
    </row>
    <row r="168" spans="1:1" x14ac:dyDescent="0.2">
      <c r="A168" s="84" t="s">
        <v>1999</v>
      </c>
    </row>
    <row r="169" spans="1:1" x14ac:dyDescent="0.2">
      <c r="A169" s="84" t="s">
        <v>2000</v>
      </c>
    </row>
    <row r="170" spans="1:1" x14ac:dyDescent="0.2">
      <c r="A170" s="84" t="s">
        <v>2001</v>
      </c>
    </row>
    <row r="171" spans="1:1" x14ac:dyDescent="0.2">
      <c r="A171" s="84" t="s">
        <v>2002</v>
      </c>
    </row>
    <row r="172" spans="1:1" x14ac:dyDescent="0.2">
      <c r="A172" s="84" t="s">
        <v>2003</v>
      </c>
    </row>
    <row r="173" spans="1:1" x14ac:dyDescent="0.2">
      <c r="A173" s="51" t="s">
        <v>1661</v>
      </c>
    </row>
    <row r="174" spans="1:1" ht="15" x14ac:dyDescent="0.2">
      <c r="A174" s="82"/>
    </row>
    <row r="175" spans="1:1" x14ac:dyDescent="0.2">
      <c r="A175" s="83" t="s">
        <v>1849</v>
      </c>
    </row>
    <row r="176" spans="1:1" x14ac:dyDescent="0.2">
      <c r="A176" s="84" t="s">
        <v>2004</v>
      </c>
    </row>
    <row r="177" spans="1:1" x14ac:dyDescent="0.2">
      <c r="A177" s="84" t="s">
        <v>2005</v>
      </c>
    </row>
    <row r="178" spans="1:1" x14ac:dyDescent="0.2">
      <c r="A178" s="84" t="s">
        <v>3597</v>
      </c>
    </row>
    <row r="179" spans="1:1" x14ac:dyDescent="0.2">
      <c r="A179" s="84" t="s">
        <v>2006</v>
      </c>
    </row>
    <row r="180" spans="1:1" x14ac:dyDescent="0.2">
      <c r="A180" s="84" t="s">
        <v>2007</v>
      </c>
    </row>
    <row r="181" spans="1:1" x14ac:dyDescent="0.2">
      <c r="A181" s="84" t="s">
        <v>2008</v>
      </c>
    </row>
    <row r="182" spans="1:1" x14ac:dyDescent="0.2">
      <c r="A182" s="51" t="s">
        <v>1661</v>
      </c>
    </row>
    <row r="183" spans="1:1" ht="15" x14ac:dyDescent="0.2">
      <c r="A183" s="82"/>
    </row>
    <row r="184" spans="1:1" x14ac:dyDescent="0.2">
      <c r="A184" s="83" t="s">
        <v>1854</v>
      </c>
    </row>
    <row r="185" spans="1:1" x14ac:dyDescent="0.2">
      <c r="A185" s="84" t="s">
        <v>2009</v>
      </c>
    </row>
    <row r="186" spans="1:1" x14ac:dyDescent="0.2">
      <c r="A186" s="84" t="s">
        <v>2010</v>
      </c>
    </row>
    <row r="187" spans="1:1" x14ac:dyDescent="0.2">
      <c r="A187" s="84" t="s">
        <v>2011</v>
      </c>
    </row>
    <row r="188" spans="1:1" x14ac:dyDescent="0.2">
      <c r="A188" s="84" t="s">
        <v>2012</v>
      </c>
    </row>
    <row r="189" spans="1:1" x14ac:dyDescent="0.2">
      <c r="A189" s="84" t="s">
        <v>2013</v>
      </c>
    </row>
    <row r="190" spans="1:1" x14ac:dyDescent="0.2">
      <c r="A190" s="84" t="s">
        <v>2014</v>
      </c>
    </row>
    <row r="191" spans="1:1" x14ac:dyDescent="0.2">
      <c r="A191" s="51" t="s">
        <v>1661</v>
      </c>
    </row>
    <row r="192" spans="1:1" ht="15" x14ac:dyDescent="0.2">
      <c r="A192" s="82"/>
    </row>
    <row r="193" spans="1:1" x14ac:dyDescent="0.2">
      <c r="A193" s="83" t="s">
        <v>1860</v>
      </c>
    </row>
    <row r="194" spans="1:1" x14ac:dyDescent="0.2">
      <c r="A194" s="84" t="s">
        <v>2015</v>
      </c>
    </row>
    <row r="195" spans="1:1" x14ac:dyDescent="0.2">
      <c r="A195" s="84" t="s">
        <v>2016</v>
      </c>
    </row>
    <row r="196" spans="1:1" x14ac:dyDescent="0.2">
      <c r="A196" s="84" t="s">
        <v>2017</v>
      </c>
    </row>
    <row r="197" spans="1:1" x14ac:dyDescent="0.2">
      <c r="A197" s="84" t="s">
        <v>2018</v>
      </c>
    </row>
    <row r="198" spans="1:1" x14ac:dyDescent="0.2">
      <c r="A198" s="84" t="s">
        <v>2019</v>
      </c>
    </row>
    <row r="199" spans="1:1" x14ac:dyDescent="0.2">
      <c r="A199" s="84" t="s">
        <v>2020</v>
      </c>
    </row>
    <row r="200" spans="1:1" x14ac:dyDescent="0.2">
      <c r="A200" s="51" t="s">
        <v>1661</v>
      </c>
    </row>
    <row r="201" spans="1:1" ht="15" x14ac:dyDescent="0.2">
      <c r="A201" s="82"/>
    </row>
    <row r="202" spans="1:1" x14ac:dyDescent="0.2">
      <c r="A202" s="83" t="s">
        <v>1867</v>
      </c>
    </row>
    <row r="203" spans="1:1" x14ac:dyDescent="0.2">
      <c r="A203" s="84" t="s">
        <v>2021</v>
      </c>
    </row>
    <row r="204" spans="1:1" x14ac:dyDescent="0.2">
      <c r="A204" s="84" t="s">
        <v>2022</v>
      </c>
    </row>
    <row r="205" spans="1:1" x14ac:dyDescent="0.2">
      <c r="A205" s="84" t="s">
        <v>2023</v>
      </c>
    </row>
    <row r="206" spans="1:1" x14ac:dyDescent="0.2">
      <c r="A206" s="84" t="s">
        <v>914</v>
      </c>
    </row>
    <row r="207" spans="1:1" x14ac:dyDescent="0.2">
      <c r="A207" s="84" t="s">
        <v>2024</v>
      </c>
    </row>
    <row r="208" spans="1:1" x14ac:dyDescent="0.2">
      <c r="A208" s="84" t="s">
        <v>2025</v>
      </c>
    </row>
    <row r="209" spans="1:1" x14ac:dyDescent="0.2">
      <c r="A209" s="51" t="s">
        <v>1661</v>
      </c>
    </row>
    <row r="210" spans="1:1" ht="15" x14ac:dyDescent="0.2">
      <c r="A210" s="82"/>
    </row>
    <row r="211" spans="1:1" x14ac:dyDescent="0.2">
      <c r="A211" s="83" t="s">
        <v>1873</v>
      </c>
    </row>
    <row r="212" spans="1:1" x14ac:dyDescent="0.2">
      <c r="A212" s="84" t="s">
        <v>2026</v>
      </c>
    </row>
    <row r="213" spans="1:1" x14ac:dyDescent="0.2">
      <c r="A213" s="84" t="s">
        <v>2027</v>
      </c>
    </row>
    <row r="214" spans="1:1" x14ac:dyDescent="0.2">
      <c r="A214" s="84" t="s">
        <v>3598</v>
      </c>
    </row>
    <row r="215" spans="1:1" x14ac:dyDescent="0.2">
      <c r="A215" s="84" t="s">
        <v>2028</v>
      </c>
    </row>
    <row r="216" spans="1:1" x14ac:dyDescent="0.2">
      <c r="A216" s="84" t="s">
        <v>3599</v>
      </c>
    </row>
    <row r="217" spans="1:1" x14ac:dyDescent="0.2">
      <c r="A217" s="84" t="s">
        <v>2029</v>
      </c>
    </row>
    <row r="218" spans="1:1" x14ac:dyDescent="0.2">
      <c r="A218" s="51" t="s">
        <v>1661</v>
      </c>
    </row>
    <row r="219" spans="1:1" ht="15" x14ac:dyDescent="0.2">
      <c r="A219" s="82"/>
    </row>
    <row r="220" spans="1:1" x14ac:dyDescent="0.2">
      <c r="A220" s="83" t="s">
        <v>1878</v>
      </c>
    </row>
    <row r="221" spans="1:1" x14ac:dyDescent="0.2">
      <c r="A221" s="84" t="s">
        <v>2030</v>
      </c>
    </row>
    <row r="222" spans="1:1" x14ac:dyDescent="0.2">
      <c r="A222" s="84" t="s">
        <v>2031</v>
      </c>
    </row>
    <row r="223" spans="1:1" x14ac:dyDescent="0.2">
      <c r="A223" s="84" t="s">
        <v>2032</v>
      </c>
    </row>
    <row r="224" spans="1:1" x14ac:dyDescent="0.2">
      <c r="A224" s="84" t="s">
        <v>2033</v>
      </c>
    </row>
    <row r="225" spans="1:1" x14ac:dyDescent="0.2">
      <c r="A225" s="84" t="s">
        <v>2034</v>
      </c>
    </row>
    <row r="226" spans="1:1" x14ac:dyDescent="0.2">
      <c r="A226" s="84" t="s">
        <v>2035</v>
      </c>
    </row>
    <row r="227" spans="1:1" x14ac:dyDescent="0.2">
      <c r="A227" s="51" t="s">
        <v>1661</v>
      </c>
    </row>
    <row r="228" spans="1:1" ht="15" x14ac:dyDescent="0.2">
      <c r="A228" s="82"/>
    </row>
    <row r="229" spans="1:1" x14ac:dyDescent="0.2">
      <c r="A229" s="83" t="s">
        <v>1884</v>
      </c>
    </row>
    <row r="230" spans="1:1" x14ac:dyDescent="0.2">
      <c r="A230" s="84" t="s">
        <v>2036</v>
      </c>
    </row>
    <row r="231" spans="1:1" x14ac:dyDescent="0.2">
      <c r="A231" s="84" t="s">
        <v>2037</v>
      </c>
    </row>
    <row r="232" spans="1:1" x14ac:dyDescent="0.2">
      <c r="A232" s="84" t="s">
        <v>2038</v>
      </c>
    </row>
    <row r="233" spans="1:1" x14ac:dyDescent="0.2">
      <c r="A233" s="84" t="s">
        <v>1537</v>
      </c>
    </row>
    <row r="234" spans="1:1" x14ac:dyDescent="0.2">
      <c r="A234" s="84" t="s">
        <v>2039</v>
      </c>
    </row>
    <row r="235" spans="1:1" x14ac:dyDescent="0.2">
      <c r="A235" s="84" t="s">
        <v>1712</v>
      </c>
    </row>
    <row r="236" spans="1:1" x14ac:dyDescent="0.2">
      <c r="A236" s="51" t="s">
        <v>1661</v>
      </c>
    </row>
    <row r="237" spans="1:1" ht="15" x14ac:dyDescent="0.2">
      <c r="A237" s="82"/>
    </row>
    <row r="238" spans="1:1" x14ac:dyDescent="0.2">
      <c r="A238" s="83" t="s">
        <v>1890</v>
      </c>
    </row>
    <row r="239" spans="1:1" x14ac:dyDescent="0.2">
      <c r="A239" s="84" t="s">
        <v>2040</v>
      </c>
    </row>
    <row r="240" spans="1:1" x14ac:dyDescent="0.2">
      <c r="A240" s="84" t="s">
        <v>2041</v>
      </c>
    </row>
    <row r="241" spans="1:1" x14ac:dyDescent="0.2">
      <c r="A241" s="84" t="s">
        <v>2042</v>
      </c>
    </row>
    <row r="242" spans="1:1" x14ac:dyDescent="0.2">
      <c r="A242" s="84" t="s">
        <v>1537</v>
      </c>
    </row>
    <row r="243" spans="1:1" x14ac:dyDescent="0.2">
      <c r="A243" s="84" t="s">
        <v>2039</v>
      </c>
    </row>
    <row r="244" spans="1:1" x14ac:dyDescent="0.2">
      <c r="A244" s="84" t="s">
        <v>1712</v>
      </c>
    </row>
    <row r="245" spans="1:1" x14ac:dyDescent="0.2">
      <c r="A245" s="51" t="s">
        <v>1661</v>
      </c>
    </row>
    <row r="246" spans="1:1" ht="15" x14ac:dyDescent="0.2">
      <c r="A246" s="82"/>
    </row>
    <row r="247" spans="1:1" x14ac:dyDescent="0.2">
      <c r="A247" s="83" t="s">
        <v>1895</v>
      </c>
    </row>
    <row r="248" spans="1:1" x14ac:dyDescent="0.2">
      <c r="A248" s="84" t="s">
        <v>2043</v>
      </c>
    </row>
    <row r="249" spans="1:1" x14ac:dyDescent="0.2">
      <c r="A249" s="84" t="s">
        <v>2044</v>
      </c>
    </row>
    <row r="250" spans="1:1" x14ac:dyDescent="0.2">
      <c r="A250" s="84" t="s">
        <v>2045</v>
      </c>
    </row>
    <row r="251" spans="1:1" x14ac:dyDescent="0.2">
      <c r="A251" s="84" t="s">
        <v>1543</v>
      </c>
    </row>
    <row r="252" spans="1:1" x14ac:dyDescent="0.2">
      <c r="A252" s="84" t="s">
        <v>2046</v>
      </c>
    </row>
    <row r="253" spans="1:1" x14ac:dyDescent="0.2">
      <c r="A253" s="84" t="s">
        <v>2047</v>
      </c>
    </row>
    <row r="254" spans="1:1" x14ac:dyDescent="0.2">
      <c r="A254" s="51" t="s">
        <v>1661</v>
      </c>
    </row>
    <row r="255" spans="1:1" ht="15" x14ac:dyDescent="0.2">
      <c r="A255" s="82"/>
    </row>
    <row r="256" spans="1:1" x14ac:dyDescent="0.2">
      <c r="A256" s="83" t="s">
        <v>1900</v>
      </c>
    </row>
    <row r="257" spans="1:1" x14ac:dyDescent="0.2">
      <c r="A257" s="84" t="s">
        <v>2048</v>
      </c>
    </row>
    <row r="258" spans="1:1" x14ac:dyDescent="0.2">
      <c r="A258" s="84" t="s">
        <v>2049</v>
      </c>
    </row>
    <row r="259" spans="1:1" x14ac:dyDescent="0.2">
      <c r="A259" s="84" t="s">
        <v>2050</v>
      </c>
    </row>
    <row r="260" spans="1:1" x14ac:dyDescent="0.2">
      <c r="A260" s="84" t="s">
        <v>2051</v>
      </c>
    </row>
    <row r="261" spans="1:1" x14ac:dyDescent="0.2">
      <c r="A261" s="84" t="s">
        <v>2052</v>
      </c>
    </row>
    <row r="262" spans="1:1" x14ac:dyDescent="0.2">
      <c r="A262" s="84" t="s">
        <v>2053</v>
      </c>
    </row>
    <row r="263" spans="1:1" x14ac:dyDescent="0.2">
      <c r="A263" s="51" t="s">
        <v>1661</v>
      </c>
    </row>
    <row r="264" spans="1:1" ht="15" x14ac:dyDescent="0.2">
      <c r="A264" s="82"/>
    </row>
    <row r="265" spans="1:1" x14ac:dyDescent="0.2">
      <c r="A265" s="83" t="s">
        <v>1905</v>
      </c>
    </row>
    <row r="266" spans="1:1" x14ac:dyDescent="0.2">
      <c r="A266" s="84" t="s">
        <v>2054</v>
      </c>
    </row>
    <row r="267" spans="1:1" x14ac:dyDescent="0.2">
      <c r="A267" s="84" t="s">
        <v>2055</v>
      </c>
    </row>
    <row r="268" spans="1:1" x14ac:dyDescent="0.2">
      <c r="A268" s="84" t="s">
        <v>3600</v>
      </c>
    </row>
    <row r="269" spans="1:1" x14ac:dyDescent="0.2">
      <c r="A269" s="84" t="s">
        <v>1415</v>
      </c>
    </row>
    <row r="270" spans="1:1" x14ac:dyDescent="0.2">
      <c r="A270" s="84" t="s">
        <v>2056</v>
      </c>
    </row>
    <row r="271" spans="1:1" x14ac:dyDescent="0.2">
      <c r="A271" s="84" t="s">
        <v>2057</v>
      </c>
    </row>
    <row r="272" spans="1:1" x14ac:dyDescent="0.2">
      <c r="A272" s="51" t="s">
        <v>1661</v>
      </c>
    </row>
    <row r="273" spans="1:1" ht="15" x14ac:dyDescent="0.2">
      <c r="A273" s="82"/>
    </row>
    <row r="274" spans="1:1" x14ac:dyDescent="0.2">
      <c r="A274" s="83" t="s">
        <v>1909</v>
      </c>
    </row>
    <row r="275" spans="1:1" x14ac:dyDescent="0.2">
      <c r="A275" s="84" t="s">
        <v>2058</v>
      </c>
    </row>
    <row r="276" spans="1:1" x14ac:dyDescent="0.2">
      <c r="A276" s="84" t="s">
        <v>2059</v>
      </c>
    </row>
    <row r="277" spans="1:1" x14ac:dyDescent="0.2">
      <c r="A277" s="84" t="s">
        <v>2060</v>
      </c>
    </row>
    <row r="278" spans="1:1" x14ac:dyDescent="0.2">
      <c r="A278" s="84" t="s">
        <v>2061</v>
      </c>
    </row>
    <row r="279" spans="1:1" x14ac:dyDescent="0.2">
      <c r="A279" s="84" t="s">
        <v>2062</v>
      </c>
    </row>
    <row r="280" spans="1:1" x14ac:dyDescent="0.2">
      <c r="A280" s="84" t="s">
        <v>2063</v>
      </c>
    </row>
    <row r="281" spans="1:1" x14ac:dyDescent="0.2">
      <c r="A281" s="51" t="s">
        <v>1661</v>
      </c>
    </row>
    <row r="282" spans="1:1" ht="15" x14ac:dyDescent="0.2">
      <c r="A282" s="82"/>
    </row>
    <row r="283" spans="1:1" x14ac:dyDescent="0.2">
      <c r="A283" s="83" t="s">
        <v>1916</v>
      </c>
    </row>
    <row r="284" spans="1:1" x14ac:dyDescent="0.2">
      <c r="A284" s="84" t="s">
        <v>2064</v>
      </c>
    </row>
    <row r="285" spans="1:1" x14ac:dyDescent="0.2">
      <c r="A285" s="84" t="s">
        <v>2065</v>
      </c>
    </row>
    <row r="286" spans="1:1" x14ac:dyDescent="0.2">
      <c r="A286" s="84" t="s">
        <v>2066</v>
      </c>
    </row>
    <row r="287" spans="1:1" x14ac:dyDescent="0.2">
      <c r="A287" s="84" t="s">
        <v>2067</v>
      </c>
    </row>
    <row r="288" spans="1:1" x14ac:dyDescent="0.2">
      <c r="A288" s="84" t="s">
        <v>2068</v>
      </c>
    </row>
    <row r="289" spans="1:1" x14ac:dyDescent="0.2">
      <c r="A289" s="84" t="s">
        <v>2069</v>
      </c>
    </row>
    <row r="290" spans="1:1" x14ac:dyDescent="0.2">
      <c r="A290" s="51" t="s">
        <v>1661</v>
      </c>
    </row>
    <row r="291" spans="1:1" ht="15" x14ac:dyDescent="0.2">
      <c r="A291" s="82"/>
    </row>
    <row r="292" spans="1:1" x14ac:dyDescent="0.2">
      <c r="A292" s="83" t="s">
        <v>1923</v>
      </c>
    </row>
    <row r="293" spans="1:1" x14ac:dyDescent="0.2">
      <c r="A293" s="84" t="s">
        <v>2070</v>
      </c>
    </row>
    <row r="294" spans="1:1" x14ac:dyDescent="0.2">
      <c r="A294" s="84" t="s">
        <v>2071</v>
      </c>
    </row>
    <row r="295" spans="1:1" x14ac:dyDescent="0.2">
      <c r="A295" s="84" t="s">
        <v>3457</v>
      </c>
    </row>
    <row r="296" spans="1:1" x14ac:dyDescent="0.2">
      <c r="A296" s="84" t="s">
        <v>3458</v>
      </c>
    </row>
    <row r="297" spans="1:1" x14ac:dyDescent="0.2">
      <c r="A297" s="84" t="s">
        <v>2072</v>
      </c>
    </row>
    <row r="298" spans="1:1" x14ac:dyDescent="0.2">
      <c r="A298" s="84" t="s">
        <v>2073</v>
      </c>
    </row>
    <row r="299" spans="1:1" x14ac:dyDescent="0.2">
      <c r="A299" s="51" t="s">
        <v>1661</v>
      </c>
    </row>
  </sheetData>
  <hyperlinks>
    <hyperlink ref="A11" display="+ Informações sobre Resseguradora"/>
    <hyperlink ref="A20" display="+ Informações sobre Resseguradora"/>
    <hyperlink ref="A29" display="+ Informações sobre Resseguradora"/>
    <hyperlink ref="A38" display="+ Informações sobre Resseguradora"/>
    <hyperlink ref="A47" display="+ Informações sobre Resseguradora"/>
    <hyperlink ref="A56" display="+ Informações sobre Resseguradora"/>
    <hyperlink ref="A65" display="+ Informações sobre Resseguradora"/>
    <hyperlink ref="A74" display="+ Informações sobre Resseguradora"/>
    <hyperlink ref="A83" display="+ Informações sobre Resseguradora"/>
    <hyperlink ref="A92" display="+ Informações sobre Resseguradora"/>
    <hyperlink ref="A101" display="+ Informações sobre Resseguradora"/>
    <hyperlink ref="A110" display="+ Informações sobre Resseguradora"/>
    <hyperlink ref="A119" display="+ Informações sobre Resseguradora"/>
    <hyperlink ref="A128" display="+ Informações sobre Resseguradora"/>
    <hyperlink ref="A137" display="+ Informações sobre Resseguradora"/>
    <hyperlink ref="A146" display="+ Informações sobre Resseguradora"/>
    <hyperlink ref="A155" display="+ Informações sobre Resseguradora"/>
    <hyperlink ref="A164" display="+ Informações sobre Resseguradora"/>
    <hyperlink ref="A173" display="+ Informações sobre Resseguradora"/>
    <hyperlink ref="A182" display="+ Informações sobre Resseguradora"/>
    <hyperlink ref="A191" display="+ Informações sobre Resseguradora"/>
    <hyperlink ref="A200" display="+ Informações sobre Resseguradora"/>
    <hyperlink ref="A209" display="+ Informações sobre Resseguradora"/>
    <hyperlink ref="A218" display="+ Informações sobre Resseguradora"/>
    <hyperlink ref="A227" display="+ Informações sobre Resseguradora"/>
    <hyperlink ref="A236" display="+ Informações sobre Resseguradora"/>
    <hyperlink ref="A245" display="+ Informações sobre Resseguradora"/>
    <hyperlink ref="A254" display="+ Informações sobre Resseguradora"/>
    <hyperlink ref="A263" display="+ Informações sobre Resseguradora"/>
    <hyperlink ref="A272" display="+ Informações sobre Resseguradora"/>
    <hyperlink ref="A281" display="+ Informações sobre Resseguradora"/>
    <hyperlink ref="A290" display="+ Informações sobre Resseguradora"/>
    <hyperlink ref="A299" display="+ Informações sobre Resseguradora"/>
  </hyperlink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L632"/>
  <sheetViews>
    <sheetView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22.140625" style="7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3762</v>
      </c>
      <c r="E1" s="43" t="s">
        <v>1613</v>
      </c>
      <c r="F1" s="7">
        <f>COUNTIF(G3:G65536,"&lt;&gt;")</f>
        <v>70</v>
      </c>
      <c r="H1" s="7" t="s">
        <v>3773</v>
      </c>
    </row>
    <row r="2" spans="1:12" ht="15" x14ac:dyDescent="0.2">
      <c r="A2" s="82"/>
      <c r="E2" s="43" t="s">
        <v>1614</v>
      </c>
      <c r="F2" s="43" t="s">
        <v>1615</v>
      </c>
      <c r="G2" s="43" t="s">
        <v>1616</v>
      </c>
      <c r="H2" s="43" t="s">
        <v>1617</v>
      </c>
      <c r="I2" s="43" t="s">
        <v>1618</v>
      </c>
      <c r="J2" s="43" t="s">
        <v>1619</v>
      </c>
      <c r="K2" s="43" t="s">
        <v>1620</v>
      </c>
      <c r="L2" s="43" t="s">
        <v>1621</v>
      </c>
    </row>
    <row r="3" spans="1:12" ht="15" x14ac:dyDescent="0.2">
      <c r="A3" s="82"/>
      <c r="D3" s="7" t="str">
        <f>VLOOKUP(G3,'Resseguradoras no Vida'!$C$29:$C$98,1,0)</f>
        <v>54666</v>
      </c>
      <c r="E3" s="7" t="s">
        <v>2074</v>
      </c>
      <c r="F3" s="7" t="s">
        <v>91</v>
      </c>
      <c r="G3" s="45" t="s">
        <v>2075</v>
      </c>
      <c r="H3" s="7" t="s">
        <v>2076</v>
      </c>
      <c r="I3" s="7" t="s">
        <v>57</v>
      </c>
      <c r="J3" s="7" t="s">
        <v>2077</v>
      </c>
      <c r="K3" s="7" t="s">
        <v>2078</v>
      </c>
      <c r="L3" s="8">
        <v>39728</v>
      </c>
    </row>
    <row r="4" spans="1:12" x14ac:dyDescent="0.2">
      <c r="A4" s="83" t="s">
        <v>2074</v>
      </c>
      <c r="D4" s="7" t="str">
        <f>VLOOKUP(G4,'Resseguradoras no Vida'!$C$29:$C$98,1,0)</f>
        <v>50806</v>
      </c>
      <c r="E4" s="7" t="s">
        <v>2079</v>
      </c>
      <c r="F4" s="7" t="s">
        <v>91</v>
      </c>
      <c r="G4" s="45" t="s">
        <v>2080</v>
      </c>
      <c r="H4" s="7" t="s">
        <v>2081</v>
      </c>
      <c r="I4" s="7" t="s">
        <v>111</v>
      </c>
      <c r="J4" s="7" t="s">
        <v>2082</v>
      </c>
      <c r="K4" s="7" t="s">
        <v>2083</v>
      </c>
      <c r="L4" s="8">
        <v>41400</v>
      </c>
    </row>
    <row r="5" spans="1:12" x14ac:dyDescent="0.2">
      <c r="A5" s="84" t="s">
        <v>2084</v>
      </c>
      <c r="D5" s="7" t="str">
        <f>VLOOKUP(G5,'Resseguradoras no Vida'!$C$29:$C$98,1,0)</f>
        <v>50857</v>
      </c>
      <c r="E5" s="7" t="s">
        <v>2085</v>
      </c>
      <c r="F5" s="7" t="s">
        <v>91</v>
      </c>
      <c r="G5" s="45" t="s">
        <v>2086</v>
      </c>
      <c r="H5" s="7" t="s">
        <v>2087</v>
      </c>
      <c r="I5" s="7" t="s">
        <v>57</v>
      </c>
      <c r="K5" s="7" t="s">
        <v>2088</v>
      </c>
      <c r="L5" s="8">
        <v>39839</v>
      </c>
    </row>
    <row r="6" spans="1:12" x14ac:dyDescent="0.2">
      <c r="A6" s="84" t="s">
        <v>2089</v>
      </c>
      <c r="D6" s="7" t="str">
        <f>VLOOKUP(G6,'Resseguradoras no Vida'!$C$29:$C$98,1,0)</f>
        <v>58050</v>
      </c>
      <c r="E6" s="7" t="s">
        <v>3763</v>
      </c>
      <c r="F6" s="7" t="s">
        <v>47</v>
      </c>
      <c r="G6" s="45" t="s">
        <v>3770</v>
      </c>
      <c r="H6" s="7" t="s">
        <v>3771</v>
      </c>
      <c r="I6" s="7" t="s">
        <v>57</v>
      </c>
      <c r="J6" s="7" t="s">
        <v>807</v>
      </c>
      <c r="K6" s="7" t="s">
        <v>3772</v>
      </c>
      <c r="L6" s="8">
        <v>41866</v>
      </c>
    </row>
    <row r="7" spans="1:12" x14ac:dyDescent="0.2">
      <c r="A7" s="84" t="s">
        <v>2093</v>
      </c>
      <c r="D7" s="7" t="str">
        <f>VLOOKUP(G7,'Resseguradoras no Vida'!$C$29:$C$98,1,0)</f>
        <v>56286</v>
      </c>
      <c r="E7" s="7" t="s">
        <v>3459</v>
      </c>
      <c r="F7" s="7" t="s">
        <v>91</v>
      </c>
      <c r="G7" s="45" t="s">
        <v>2090</v>
      </c>
      <c r="H7" s="7" t="s">
        <v>2091</v>
      </c>
      <c r="I7" s="7" t="s">
        <v>111</v>
      </c>
      <c r="K7" s="7" t="s">
        <v>2092</v>
      </c>
      <c r="L7" s="8">
        <v>40240</v>
      </c>
    </row>
    <row r="8" spans="1:12" x14ac:dyDescent="0.2">
      <c r="A8" s="84" t="s">
        <v>2098</v>
      </c>
      <c r="D8" s="7" t="str">
        <f>VLOOKUP(G8,'Resseguradoras no Vida'!$C$29:$C$98,1,0)</f>
        <v>50601</v>
      </c>
      <c r="E8" s="7" t="s">
        <v>2094</v>
      </c>
      <c r="F8" s="7" t="s">
        <v>91</v>
      </c>
      <c r="G8" s="45" t="s">
        <v>2095</v>
      </c>
      <c r="H8" s="7" t="s">
        <v>2096</v>
      </c>
      <c r="I8" s="7" t="s">
        <v>57</v>
      </c>
      <c r="J8" s="7" t="s">
        <v>921</v>
      </c>
      <c r="K8" s="7" t="s">
        <v>2097</v>
      </c>
      <c r="L8" s="8">
        <v>41508</v>
      </c>
    </row>
    <row r="9" spans="1:12" x14ac:dyDescent="0.2">
      <c r="A9" s="84" t="s">
        <v>2101</v>
      </c>
      <c r="D9" s="7" t="str">
        <f>VLOOKUP(G9,'Resseguradoras no Vida'!$C$29:$C$98,1,0)</f>
        <v>52434</v>
      </c>
      <c r="E9" s="7" t="s">
        <v>3601</v>
      </c>
      <c r="F9" s="7" t="s">
        <v>91</v>
      </c>
      <c r="G9" s="45" t="s">
        <v>2099</v>
      </c>
      <c r="H9" s="7" t="s">
        <v>2087</v>
      </c>
      <c r="I9" s="7" t="s">
        <v>57</v>
      </c>
      <c r="K9" s="7" t="s">
        <v>2100</v>
      </c>
      <c r="L9" s="8">
        <v>39923</v>
      </c>
    </row>
    <row r="10" spans="1:12" x14ac:dyDescent="0.2">
      <c r="A10" s="84" t="s">
        <v>2020</v>
      </c>
      <c r="D10" s="7" t="str">
        <f>VLOOKUP(G10,'Resseguradoras no Vida'!$C$29:$C$98,1,0)</f>
        <v>50091</v>
      </c>
      <c r="E10" s="7" t="s">
        <v>2102</v>
      </c>
      <c r="F10" s="7" t="s">
        <v>91</v>
      </c>
      <c r="G10" s="45" t="s">
        <v>2103</v>
      </c>
      <c r="H10" s="7" t="s">
        <v>2104</v>
      </c>
      <c r="I10" s="7" t="s">
        <v>57</v>
      </c>
      <c r="J10" s="7" t="s">
        <v>2105</v>
      </c>
      <c r="K10" s="7" t="s">
        <v>2106</v>
      </c>
      <c r="L10" s="8">
        <v>39550</v>
      </c>
    </row>
    <row r="11" spans="1:12" x14ac:dyDescent="0.2">
      <c r="A11" s="51" t="s">
        <v>1661</v>
      </c>
      <c r="D11" s="7" t="str">
        <f>VLOOKUP(G11,'Resseguradoras no Vida'!$C$29:$C$98,1,0)</f>
        <v>58181</v>
      </c>
      <c r="E11" s="7" t="s">
        <v>2107</v>
      </c>
      <c r="F11" s="7" t="s">
        <v>91</v>
      </c>
      <c r="G11" s="45" t="s">
        <v>2108</v>
      </c>
      <c r="H11" s="7" t="s">
        <v>2109</v>
      </c>
      <c r="I11" s="7" t="s">
        <v>57</v>
      </c>
      <c r="K11" s="7" t="s">
        <v>2110</v>
      </c>
      <c r="L11" s="8">
        <v>41003</v>
      </c>
    </row>
    <row r="12" spans="1:12" ht="15" x14ac:dyDescent="0.2">
      <c r="A12" s="82"/>
      <c r="D12" s="7" t="str">
        <f>VLOOKUP(G12,'Resseguradoras no Vida'!$C$29:$C$98,1,0)</f>
        <v>56766</v>
      </c>
      <c r="E12" s="7" t="s">
        <v>2111</v>
      </c>
      <c r="F12" s="7" t="s">
        <v>91</v>
      </c>
      <c r="G12" s="45" t="s">
        <v>2112</v>
      </c>
      <c r="H12" s="7" t="s">
        <v>2113</v>
      </c>
      <c r="I12" s="7" t="s">
        <v>111</v>
      </c>
      <c r="J12" s="7" t="s">
        <v>2114</v>
      </c>
      <c r="K12" s="7" t="s">
        <v>2115</v>
      </c>
      <c r="L12" s="8">
        <v>39764</v>
      </c>
    </row>
    <row r="13" spans="1:12" x14ac:dyDescent="0.2">
      <c r="A13" s="83" t="s">
        <v>2079</v>
      </c>
      <c r="D13" s="7" t="str">
        <f>VLOOKUP(G13,'Resseguradoras no Vida'!$C$29:$C$98,1,0)</f>
        <v>54950</v>
      </c>
      <c r="E13" s="7" t="s">
        <v>2116</v>
      </c>
      <c r="F13" s="7" t="s">
        <v>91</v>
      </c>
      <c r="G13" s="45" t="s">
        <v>2117</v>
      </c>
      <c r="H13" s="7" t="s">
        <v>2118</v>
      </c>
      <c r="I13" s="7" t="s">
        <v>111</v>
      </c>
      <c r="K13" s="7" t="s">
        <v>2120</v>
      </c>
      <c r="L13" s="8">
        <v>39842</v>
      </c>
    </row>
    <row r="14" spans="1:12" x14ac:dyDescent="0.2">
      <c r="A14" s="84" t="s">
        <v>2084</v>
      </c>
      <c r="D14" s="7" t="str">
        <f>VLOOKUP(G14,'Resseguradoras no Vida'!$C$29:$C$98,1,0)</f>
        <v>52876</v>
      </c>
      <c r="E14" s="7" t="s">
        <v>2121</v>
      </c>
      <c r="F14" s="7" t="s">
        <v>47</v>
      </c>
      <c r="G14" s="45" t="s">
        <v>2122</v>
      </c>
      <c r="H14" s="7" t="s">
        <v>2087</v>
      </c>
      <c r="I14" s="7" t="s">
        <v>57</v>
      </c>
      <c r="J14" s="7" t="s">
        <v>2077</v>
      </c>
      <c r="K14" s="7" t="s">
        <v>2078</v>
      </c>
      <c r="L14" s="8">
        <v>39700</v>
      </c>
    </row>
    <row r="15" spans="1:12" x14ac:dyDescent="0.2">
      <c r="A15" s="84" t="s">
        <v>2127</v>
      </c>
      <c r="D15" s="7" t="str">
        <f>VLOOKUP(G15,'Resseguradoras no Vida'!$C$29:$C$98,1,0)</f>
        <v>57746</v>
      </c>
      <c r="E15" s="7" t="s">
        <v>2123</v>
      </c>
      <c r="F15" s="7" t="s">
        <v>91</v>
      </c>
      <c r="G15" s="45" t="s">
        <v>2124</v>
      </c>
      <c r="H15" s="7" t="s">
        <v>2125</v>
      </c>
      <c r="I15" s="7" t="s">
        <v>57</v>
      </c>
      <c r="J15" s="7" t="s">
        <v>2077</v>
      </c>
      <c r="K15" s="7" t="s">
        <v>2126</v>
      </c>
      <c r="L15" s="8">
        <v>39811</v>
      </c>
    </row>
    <row r="16" spans="1:12" x14ac:dyDescent="0.2">
      <c r="A16" s="84" t="s">
        <v>2131</v>
      </c>
      <c r="D16" s="7" t="str">
        <f>VLOOKUP(G16,'Resseguradoras no Vida'!$C$29:$C$98,1,0)</f>
        <v>56090</v>
      </c>
      <c r="E16" s="7" t="s">
        <v>2128</v>
      </c>
      <c r="F16" s="7" t="s">
        <v>91</v>
      </c>
      <c r="G16" s="45" t="s">
        <v>2129</v>
      </c>
      <c r="H16" s="7" t="s">
        <v>2130</v>
      </c>
      <c r="I16" s="7" t="s">
        <v>57</v>
      </c>
      <c r="J16" s="7" t="s">
        <v>2077</v>
      </c>
      <c r="K16" s="7" t="s">
        <v>2126</v>
      </c>
      <c r="L16" s="8">
        <v>41205</v>
      </c>
    </row>
    <row r="17" spans="1:12" x14ac:dyDescent="0.2">
      <c r="A17" s="84" t="s">
        <v>2135</v>
      </c>
      <c r="D17" s="7" t="str">
        <f>VLOOKUP(G17,'Resseguradoras no Vida'!$C$29:$C$98,1,0)</f>
        <v>56812</v>
      </c>
      <c r="E17" s="7" t="s">
        <v>2132</v>
      </c>
      <c r="F17" s="7" t="s">
        <v>91</v>
      </c>
      <c r="G17" s="45" t="s">
        <v>2133</v>
      </c>
      <c r="H17" s="7" t="s">
        <v>2134</v>
      </c>
      <c r="I17" s="7" t="s">
        <v>57</v>
      </c>
      <c r="K17" s="7" t="s">
        <v>2078</v>
      </c>
      <c r="L17" s="8">
        <v>39857</v>
      </c>
    </row>
    <row r="18" spans="1:12" x14ac:dyDescent="0.2">
      <c r="A18" s="84" t="s">
        <v>2138</v>
      </c>
      <c r="D18" s="7" t="str">
        <f>VLOOKUP(G18,'Resseguradoras no Vida'!$C$29:$C$98,1,0)</f>
        <v>56898</v>
      </c>
      <c r="E18" s="7" t="s">
        <v>2136</v>
      </c>
      <c r="F18" s="7" t="s">
        <v>91</v>
      </c>
      <c r="G18" s="45" t="s">
        <v>2137</v>
      </c>
      <c r="H18" s="7" t="s">
        <v>2076</v>
      </c>
      <c r="I18" s="7" t="s">
        <v>57</v>
      </c>
      <c r="J18" s="7" t="s">
        <v>2077</v>
      </c>
      <c r="K18" s="7" t="s">
        <v>2078</v>
      </c>
      <c r="L18" s="8">
        <v>40128</v>
      </c>
    </row>
    <row r="19" spans="1:12" x14ac:dyDescent="0.2">
      <c r="A19" s="84" t="s">
        <v>2144</v>
      </c>
      <c r="D19" s="7" t="str">
        <f>VLOOKUP(G19,'Resseguradoras no Vida'!$C$29:$C$98,1,0)</f>
        <v>50938</v>
      </c>
      <c r="E19" s="7" t="s">
        <v>2139</v>
      </c>
      <c r="F19" s="7" t="s">
        <v>91</v>
      </c>
      <c r="G19" s="45" t="s">
        <v>2140</v>
      </c>
      <c r="H19" s="7" t="s">
        <v>2141</v>
      </c>
      <c r="I19" s="7" t="s">
        <v>57</v>
      </c>
      <c r="J19" s="7" t="s">
        <v>2142</v>
      </c>
      <c r="K19" s="7" t="s">
        <v>2143</v>
      </c>
      <c r="L19" s="8">
        <v>40240</v>
      </c>
    </row>
    <row r="20" spans="1:12" x14ac:dyDescent="0.2">
      <c r="A20" s="51" t="s">
        <v>1661</v>
      </c>
      <c r="D20" s="7" t="str">
        <f>VLOOKUP(G20,'Resseguradoras no Vida'!$C$29:$C$98,1,0)</f>
        <v>56120</v>
      </c>
      <c r="E20" s="7" t="s">
        <v>3602</v>
      </c>
      <c r="F20" s="7" t="s">
        <v>47</v>
      </c>
      <c r="G20" s="45" t="s">
        <v>3656</v>
      </c>
      <c r="H20" s="7" t="s">
        <v>2109</v>
      </c>
      <c r="I20" s="7" t="s">
        <v>57</v>
      </c>
      <c r="J20" s="7" t="s">
        <v>2105</v>
      </c>
      <c r="K20" s="7" t="s">
        <v>2110</v>
      </c>
      <c r="L20" s="8">
        <v>41781</v>
      </c>
    </row>
    <row r="21" spans="1:12" ht="15" x14ac:dyDescent="0.2">
      <c r="A21" s="82"/>
      <c r="D21" s="7" t="str">
        <f>VLOOKUP(G21,'Resseguradoras no Vida'!$C$29:$C$98,1,0)</f>
        <v>51772</v>
      </c>
      <c r="E21" s="7" t="s">
        <v>2145</v>
      </c>
      <c r="F21" s="7" t="s">
        <v>91</v>
      </c>
      <c r="G21" s="45" t="s">
        <v>2146</v>
      </c>
      <c r="H21" s="7" t="s">
        <v>2125</v>
      </c>
      <c r="I21" s="7" t="s">
        <v>57</v>
      </c>
      <c r="J21" s="7" t="s">
        <v>2077</v>
      </c>
      <c r="K21" s="7" t="s">
        <v>2126</v>
      </c>
      <c r="L21" s="8">
        <v>40680</v>
      </c>
    </row>
    <row r="22" spans="1:12" x14ac:dyDescent="0.2">
      <c r="A22" s="83" t="s">
        <v>2085</v>
      </c>
      <c r="D22" s="7" t="str">
        <f>VLOOKUP(G22,'Resseguradoras no Vida'!$C$29:$C$98,1,0)</f>
        <v>52850</v>
      </c>
      <c r="E22" s="7" t="s">
        <v>2147</v>
      </c>
      <c r="F22" s="7" t="s">
        <v>91</v>
      </c>
      <c r="G22" s="45" t="s">
        <v>2148</v>
      </c>
      <c r="H22" s="7" t="s">
        <v>2149</v>
      </c>
      <c r="I22" s="7" t="s">
        <v>57</v>
      </c>
      <c r="J22" s="7" t="s">
        <v>2150</v>
      </c>
      <c r="K22" s="7" t="s">
        <v>2151</v>
      </c>
      <c r="L22" s="8">
        <v>40833</v>
      </c>
    </row>
    <row r="23" spans="1:12" x14ac:dyDescent="0.2">
      <c r="A23" s="84" t="s">
        <v>2084</v>
      </c>
      <c r="D23" s="7" t="str">
        <f>VLOOKUP(G23,'Resseguradoras no Vida'!$C$29:$C$98,1,0)</f>
        <v>59536</v>
      </c>
      <c r="E23" s="7" t="s">
        <v>2152</v>
      </c>
      <c r="F23" s="7" t="s">
        <v>91</v>
      </c>
      <c r="G23" s="45" t="s">
        <v>2153</v>
      </c>
      <c r="H23" s="7" t="s">
        <v>2154</v>
      </c>
      <c r="I23" s="7" t="s">
        <v>57</v>
      </c>
      <c r="K23" s="7" t="s">
        <v>2155</v>
      </c>
      <c r="L23" s="8">
        <v>40008</v>
      </c>
    </row>
    <row r="24" spans="1:12" x14ac:dyDescent="0.2">
      <c r="A24" s="84" t="s">
        <v>2164</v>
      </c>
      <c r="D24" s="7" t="str">
        <f>VLOOKUP(G24,'Resseguradoras no Vida'!$C$29:$C$98,1,0)</f>
        <v>55760</v>
      </c>
      <c r="E24" s="7" t="s">
        <v>2156</v>
      </c>
      <c r="F24" s="7" t="s">
        <v>91</v>
      </c>
      <c r="G24" s="45" t="s">
        <v>2157</v>
      </c>
      <c r="H24" s="7" t="s">
        <v>2158</v>
      </c>
      <c r="I24" s="7" t="s">
        <v>111</v>
      </c>
      <c r="J24" s="7" t="s">
        <v>2159</v>
      </c>
      <c r="K24" s="7" t="s">
        <v>2160</v>
      </c>
      <c r="L24" s="8">
        <v>40680</v>
      </c>
    </row>
    <row r="25" spans="1:12" x14ac:dyDescent="0.2">
      <c r="A25" s="84" t="s">
        <v>2167</v>
      </c>
      <c r="D25" s="7" t="str">
        <f>VLOOKUP(G25,'Resseguradoras no Vida'!$C$29:$C$98,1,0)</f>
        <v>51551</v>
      </c>
      <c r="E25" s="7" t="s">
        <v>2161</v>
      </c>
      <c r="F25" s="7" t="s">
        <v>91</v>
      </c>
      <c r="G25" s="45" t="s">
        <v>2162</v>
      </c>
      <c r="H25" s="7" t="s">
        <v>2163</v>
      </c>
      <c r="I25" s="7" t="s">
        <v>57</v>
      </c>
      <c r="J25" s="7" t="s">
        <v>2077</v>
      </c>
      <c r="K25" s="7" t="s">
        <v>2126</v>
      </c>
      <c r="L25" s="8">
        <v>40762</v>
      </c>
    </row>
    <row r="26" spans="1:12" x14ac:dyDescent="0.2">
      <c r="A26" s="84" t="s">
        <v>2170</v>
      </c>
      <c r="D26" s="7" t="str">
        <f>VLOOKUP(G26,'Resseguradoras no Vida'!$C$29:$C$98,1,0)</f>
        <v>56502</v>
      </c>
      <c r="E26" s="7" t="s">
        <v>2165</v>
      </c>
      <c r="F26" s="7" t="s">
        <v>47</v>
      </c>
      <c r="G26" s="45" t="s">
        <v>2166</v>
      </c>
      <c r="H26" s="7" t="s">
        <v>3472</v>
      </c>
      <c r="I26" s="7" t="s">
        <v>57</v>
      </c>
      <c r="J26" s="7" t="s">
        <v>2077</v>
      </c>
      <c r="K26" s="7" t="s">
        <v>2126</v>
      </c>
      <c r="L26" s="8">
        <v>39829</v>
      </c>
    </row>
    <row r="27" spans="1:12" x14ac:dyDescent="0.2">
      <c r="A27" s="84" t="s">
        <v>2175</v>
      </c>
      <c r="D27" s="7" t="str">
        <f>VLOOKUP(G27,'Resseguradoras no Vida'!$C$29:$C$98,1,0)</f>
        <v>51616</v>
      </c>
      <c r="E27" s="7" t="s">
        <v>2168</v>
      </c>
      <c r="F27" s="7" t="s">
        <v>91</v>
      </c>
      <c r="G27" s="45" t="s">
        <v>2169</v>
      </c>
      <c r="H27" s="7" t="s">
        <v>2087</v>
      </c>
      <c r="I27" s="7" t="s">
        <v>57</v>
      </c>
      <c r="J27" s="7" t="s">
        <v>2077</v>
      </c>
      <c r="K27" s="7" t="s">
        <v>2126</v>
      </c>
      <c r="L27" s="8">
        <v>40415</v>
      </c>
    </row>
    <row r="28" spans="1:12" x14ac:dyDescent="0.2">
      <c r="A28" s="84" t="s">
        <v>2178</v>
      </c>
      <c r="D28" s="7" t="str">
        <f>VLOOKUP(G28,'Resseguradoras no Vida'!$C$29:$C$98,1,0)</f>
        <v>53414</v>
      </c>
      <c r="E28" s="7" t="s">
        <v>2171</v>
      </c>
      <c r="F28" s="7" t="s">
        <v>91</v>
      </c>
      <c r="G28" s="45" t="s">
        <v>2172</v>
      </c>
      <c r="H28" s="7" t="s">
        <v>2173</v>
      </c>
      <c r="I28" s="7" t="s">
        <v>57</v>
      </c>
      <c r="J28" s="7" t="s">
        <v>927</v>
      </c>
      <c r="K28" s="7" t="s">
        <v>2174</v>
      </c>
      <c r="L28" s="8">
        <v>41254</v>
      </c>
    </row>
    <row r="29" spans="1:12" x14ac:dyDescent="0.2">
      <c r="A29" s="51" t="s">
        <v>1661</v>
      </c>
      <c r="D29" s="7" t="str">
        <f>VLOOKUP(G29,'Resseguradoras no Vida'!$C$29:$C$98,1,0)</f>
        <v>57703</v>
      </c>
      <c r="E29" s="7" t="s">
        <v>2176</v>
      </c>
      <c r="F29" s="7" t="s">
        <v>47</v>
      </c>
      <c r="G29" s="45" t="s">
        <v>2177</v>
      </c>
      <c r="H29" s="7" t="s">
        <v>2087</v>
      </c>
      <c r="I29" s="7" t="s">
        <v>57</v>
      </c>
      <c r="J29" s="7" t="s">
        <v>2077</v>
      </c>
      <c r="K29" s="7" t="s">
        <v>2078</v>
      </c>
      <c r="L29" s="8">
        <v>39829</v>
      </c>
    </row>
    <row r="30" spans="1:12" ht="15" x14ac:dyDescent="0.2">
      <c r="A30" s="82"/>
      <c r="D30" s="7" t="str">
        <f>VLOOKUP(G30,'Resseguradoras no Vida'!$C$29:$C$98,1,0)</f>
        <v>50768</v>
      </c>
      <c r="E30" s="7" t="s">
        <v>2179</v>
      </c>
      <c r="F30" s="7" t="s">
        <v>91</v>
      </c>
      <c r="G30" s="45" t="s">
        <v>2180</v>
      </c>
      <c r="H30" s="7" t="s">
        <v>2181</v>
      </c>
      <c r="I30" s="7" t="s">
        <v>57</v>
      </c>
      <c r="J30" s="7" t="s">
        <v>2105</v>
      </c>
      <c r="K30" s="7" t="s">
        <v>2106</v>
      </c>
      <c r="L30" s="8">
        <v>41506</v>
      </c>
    </row>
    <row r="31" spans="1:12" x14ac:dyDescent="0.2">
      <c r="A31" s="83" t="s">
        <v>3763</v>
      </c>
      <c r="D31" s="7" t="str">
        <f>VLOOKUP(G31,'Resseguradoras no Vida'!$C$29:$C$98,1,0)</f>
        <v>51438</v>
      </c>
      <c r="E31" s="7" t="s">
        <v>2182</v>
      </c>
      <c r="F31" s="7" t="s">
        <v>91</v>
      </c>
      <c r="G31" s="45" t="s">
        <v>2183</v>
      </c>
      <c r="H31" s="7" t="s">
        <v>2184</v>
      </c>
      <c r="I31" s="7" t="s">
        <v>57</v>
      </c>
      <c r="J31" s="7" t="s">
        <v>2150</v>
      </c>
      <c r="K31" s="7" t="s">
        <v>2185</v>
      </c>
      <c r="L31" s="8">
        <v>39750</v>
      </c>
    </row>
    <row r="32" spans="1:12" x14ac:dyDescent="0.2">
      <c r="A32" s="84" t="s">
        <v>820</v>
      </c>
      <c r="D32" s="7" t="str">
        <f>VLOOKUP(G32,'Resseguradoras no Vida'!$C$29:$C$98,1,0)</f>
        <v>55573</v>
      </c>
      <c r="E32" s="7" t="s">
        <v>2186</v>
      </c>
      <c r="F32" s="7" t="s">
        <v>91</v>
      </c>
      <c r="G32" s="45" t="s">
        <v>2187</v>
      </c>
      <c r="H32" s="7" t="s">
        <v>2188</v>
      </c>
      <c r="I32" s="7" t="s">
        <v>57</v>
      </c>
      <c r="J32" s="7" t="s">
        <v>921</v>
      </c>
      <c r="K32" s="7" t="s">
        <v>2189</v>
      </c>
      <c r="L32" s="8">
        <v>39843</v>
      </c>
    </row>
    <row r="33" spans="1:12" x14ac:dyDescent="0.2">
      <c r="A33" s="84" t="s">
        <v>3764</v>
      </c>
      <c r="D33" s="7" t="str">
        <f>VLOOKUP(G33,'Resseguradoras no Vida'!$C$29:$C$98,1,0)</f>
        <v>55000</v>
      </c>
      <c r="E33" s="7" t="s">
        <v>2190</v>
      </c>
      <c r="F33" s="7" t="s">
        <v>91</v>
      </c>
      <c r="G33" s="45" t="s">
        <v>2191</v>
      </c>
      <c r="H33" s="7" t="s">
        <v>2192</v>
      </c>
      <c r="I33" s="7" t="s">
        <v>57</v>
      </c>
      <c r="J33" s="7" t="s">
        <v>2150</v>
      </c>
      <c r="K33" s="7" t="s">
        <v>2151</v>
      </c>
      <c r="L33" s="8">
        <v>39735</v>
      </c>
    </row>
    <row r="34" spans="1:12" x14ac:dyDescent="0.2">
      <c r="A34" s="84" t="s">
        <v>3765</v>
      </c>
      <c r="D34" s="7" t="str">
        <f>VLOOKUP(G34,'Resseguradoras no Vida'!$C$29:$C$98,1,0)</f>
        <v>51578</v>
      </c>
      <c r="E34" s="7" t="s">
        <v>3769</v>
      </c>
      <c r="F34" s="7" t="s">
        <v>91</v>
      </c>
      <c r="G34" s="45" t="s">
        <v>2194</v>
      </c>
      <c r="H34" s="7" t="s">
        <v>2195</v>
      </c>
      <c r="I34" s="7" t="s">
        <v>57</v>
      </c>
      <c r="J34" s="7" t="s">
        <v>2105</v>
      </c>
      <c r="K34" s="7" t="s">
        <v>2196</v>
      </c>
      <c r="L34" s="8">
        <v>40182</v>
      </c>
    </row>
    <row r="35" spans="1:12" x14ac:dyDescent="0.2">
      <c r="A35" s="84" t="s">
        <v>933</v>
      </c>
      <c r="D35" s="7" t="str">
        <f>VLOOKUP(G35,'Resseguradoras no Vida'!$C$29:$C$98,1,0)</f>
        <v>55433</v>
      </c>
      <c r="E35" s="7" t="s">
        <v>2198</v>
      </c>
      <c r="F35" s="7" t="s">
        <v>47</v>
      </c>
      <c r="G35" s="45" t="s">
        <v>2199</v>
      </c>
      <c r="H35" s="7" t="s">
        <v>2163</v>
      </c>
      <c r="I35" s="7" t="s">
        <v>57</v>
      </c>
      <c r="J35" s="7" t="s">
        <v>2077</v>
      </c>
      <c r="K35" s="7" t="s">
        <v>2078</v>
      </c>
      <c r="L35" s="8">
        <v>40217</v>
      </c>
    </row>
    <row r="36" spans="1:12" x14ac:dyDescent="0.2">
      <c r="A36" s="84" t="s">
        <v>3766</v>
      </c>
      <c r="D36" s="7" t="str">
        <f>VLOOKUP(G36,'Resseguradoras no Vida'!$C$29:$C$98,1,0)</f>
        <v>52809</v>
      </c>
      <c r="E36" s="7" t="s">
        <v>2201</v>
      </c>
      <c r="F36" s="7" t="s">
        <v>47</v>
      </c>
      <c r="G36" s="45" t="s">
        <v>2202</v>
      </c>
      <c r="H36" s="7" t="s">
        <v>2163</v>
      </c>
      <c r="I36" s="7" t="s">
        <v>57</v>
      </c>
      <c r="J36" s="7" t="s">
        <v>2077</v>
      </c>
      <c r="K36" s="7" t="s">
        <v>2078</v>
      </c>
      <c r="L36" s="8">
        <v>40442</v>
      </c>
    </row>
    <row r="37" spans="1:12" x14ac:dyDescent="0.2">
      <c r="A37" s="84" t="s">
        <v>3767</v>
      </c>
      <c r="D37" s="7" t="str">
        <f>VLOOKUP(G37,'Resseguradoras no Vida'!$C$29:$C$98,1,0)</f>
        <v>52736</v>
      </c>
      <c r="E37" s="7" t="s">
        <v>2204</v>
      </c>
      <c r="F37" s="7" t="s">
        <v>91</v>
      </c>
      <c r="G37" s="45" t="s">
        <v>2205</v>
      </c>
      <c r="H37" s="7" t="s">
        <v>2206</v>
      </c>
      <c r="I37" s="7" t="s">
        <v>111</v>
      </c>
      <c r="J37" s="7" t="s">
        <v>2207</v>
      </c>
      <c r="K37" s="7" t="s">
        <v>2208</v>
      </c>
      <c r="L37" s="8">
        <v>40505</v>
      </c>
    </row>
    <row r="38" spans="1:12" x14ac:dyDescent="0.2">
      <c r="A38" s="51" t="s">
        <v>1661</v>
      </c>
      <c r="D38" s="7" t="str">
        <f>VLOOKUP(G38,'Resseguradoras no Vida'!$C$29:$C$98,1,0)</f>
        <v>58173</v>
      </c>
      <c r="E38" s="7" t="s">
        <v>2210</v>
      </c>
      <c r="F38" s="7" t="s">
        <v>91</v>
      </c>
      <c r="G38" s="45" t="s">
        <v>2211</v>
      </c>
      <c r="H38" s="7" t="s">
        <v>2212</v>
      </c>
      <c r="I38" s="7" t="s">
        <v>57</v>
      </c>
      <c r="J38" s="7" t="s">
        <v>2213</v>
      </c>
      <c r="K38" s="7" t="s">
        <v>2214</v>
      </c>
      <c r="L38" s="8">
        <v>41324</v>
      </c>
    </row>
    <row r="39" spans="1:12" ht="15" x14ac:dyDescent="0.2">
      <c r="A39" s="82"/>
      <c r="D39" s="7" t="str">
        <f>VLOOKUP(G39,'Resseguradoras no Vida'!$C$29:$C$98,1,0)</f>
        <v>50679</v>
      </c>
      <c r="E39" s="7" t="s">
        <v>2216</v>
      </c>
      <c r="F39" s="7" t="s">
        <v>91</v>
      </c>
      <c r="G39" s="45" t="s">
        <v>2217</v>
      </c>
      <c r="H39" s="7" t="s">
        <v>2104</v>
      </c>
      <c r="I39" s="7" t="s">
        <v>57</v>
      </c>
      <c r="K39" s="7" t="s">
        <v>858</v>
      </c>
      <c r="L39" s="8">
        <v>41474</v>
      </c>
    </row>
    <row r="40" spans="1:12" x14ac:dyDescent="0.2">
      <c r="A40" s="83" t="s">
        <v>3459</v>
      </c>
      <c r="D40" s="7" t="str">
        <f>VLOOKUP(G40,'Resseguradoras no Vida'!$C$29:$C$98,1,0)</f>
        <v>52060</v>
      </c>
      <c r="E40" s="7" t="s">
        <v>2218</v>
      </c>
      <c r="F40" s="7" t="s">
        <v>91</v>
      </c>
      <c r="G40" s="45" t="s">
        <v>2219</v>
      </c>
      <c r="H40" s="7" t="s">
        <v>2104</v>
      </c>
      <c r="I40" s="7" t="s">
        <v>57</v>
      </c>
      <c r="J40" s="7" t="s">
        <v>2220</v>
      </c>
      <c r="K40" s="7" t="s">
        <v>2221</v>
      </c>
      <c r="L40" s="8">
        <v>39857</v>
      </c>
    </row>
    <row r="41" spans="1:12" x14ac:dyDescent="0.2">
      <c r="A41" s="84" t="s">
        <v>2084</v>
      </c>
      <c r="D41" s="7" t="str">
        <f>VLOOKUP(G41,'Resseguradoras no Vida'!$C$29:$C$98,1,0)</f>
        <v>50211</v>
      </c>
      <c r="E41" s="7" t="s">
        <v>2222</v>
      </c>
      <c r="F41" s="7" t="s">
        <v>91</v>
      </c>
      <c r="G41" s="45" t="s">
        <v>2223</v>
      </c>
      <c r="H41" s="7" t="s">
        <v>2224</v>
      </c>
      <c r="I41" s="7" t="s">
        <v>57</v>
      </c>
      <c r="J41" s="7" t="s">
        <v>2225</v>
      </c>
      <c r="K41" s="7" t="s">
        <v>2226</v>
      </c>
      <c r="L41" s="8">
        <v>39771</v>
      </c>
    </row>
    <row r="42" spans="1:12" x14ac:dyDescent="0.2">
      <c r="A42" s="84" t="s">
        <v>2197</v>
      </c>
      <c r="D42" s="7" t="str">
        <f>VLOOKUP(G42,'Resseguradoras no Vida'!$C$29:$C$98,1,0)</f>
        <v>59552</v>
      </c>
      <c r="E42" s="7" t="s">
        <v>2227</v>
      </c>
      <c r="F42" s="7" t="s">
        <v>91</v>
      </c>
      <c r="G42" s="45" t="s">
        <v>2228</v>
      </c>
      <c r="H42" s="7" t="s">
        <v>2104</v>
      </c>
      <c r="I42" s="7" t="s">
        <v>57</v>
      </c>
      <c r="J42" s="7" t="s">
        <v>2229</v>
      </c>
      <c r="K42" s="7" t="s">
        <v>858</v>
      </c>
      <c r="L42" s="8">
        <v>40088</v>
      </c>
    </row>
    <row r="43" spans="1:12" x14ac:dyDescent="0.2">
      <c r="A43" s="84" t="s">
        <v>2200</v>
      </c>
      <c r="D43" s="7" t="str">
        <f>VLOOKUP(G43,'Resseguradoras no Vida'!$C$29:$C$98,1,0)</f>
        <v>55093</v>
      </c>
      <c r="E43" s="7" t="s">
        <v>2230</v>
      </c>
      <c r="F43" s="7" t="s">
        <v>91</v>
      </c>
      <c r="G43" s="45" t="s">
        <v>2231</v>
      </c>
      <c r="H43" s="7" t="s">
        <v>2232</v>
      </c>
      <c r="I43" s="7" t="s">
        <v>57</v>
      </c>
      <c r="K43" s="7" t="s">
        <v>2233</v>
      </c>
      <c r="L43" s="8">
        <v>40031</v>
      </c>
    </row>
    <row r="44" spans="1:12" x14ac:dyDescent="0.2">
      <c r="A44" s="84" t="s">
        <v>2203</v>
      </c>
      <c r="D44" s="7" t="str">
        <f>VLOOKUP(G44,'Resseguradoras no Vida'!$C$29:$C$98,1,0)</f>
        <v>57398</v>
      </c>
      <c r="E44" s="7" t="s">
        <v>2235</v>
      </c>
      <c r="F44" s="7" t="s">
        <v>91</v>
      </c>
      <c r="G44" s="45" t="s">
        <v>2236</v>
      </c>
      <c r="H44" s="7" t="s">
        <v>2237</v>
      </c>
      <c r="I44" s="7" t="s">
        <v>111</v>
      </c>
      <c r="J44" s="7" t="s">
        <v>1018</v>
      </c>
      <c r="K44" s="7" t="s">
        <v>2238</v>
      </c>
      <c r="L44" s="8">
        <v>41036</v>
      </c>
    </row>
    <row r="45" spans="1:12" x14ac:dyDescent="0.2">
      <c r="A45" s="84" t="s">
        <v>2209</v>
      </c>
      <c r="D45" s="7" t="str">
        <f>VLOOKUP(G45,'Resseguradoras no Vida'!$C$29:$C$98,1,0)</f>
        <v>52957</v>
      </c>
      <c r="E45" s="7" t="s">
        <v>2240</v>
      </c>
      <c r="F45" s="7" t="s">
        <v>91</v>
      </c>
      <c r="G45" s="45" t="s">
        <v>2241</v>
      </c>
      <c r="H45" s="7" t="s">
        <v>2104</v>
      </c>
      <c r="I45" s="7" t="s">
        <v>57</v>
      </c>
      <c r="J45" s="7" t="s">
        <v>2105</v>
      </c>
      <c r="K45" s="7" t="s">
        <v>2242</v>
      </c>
      <c r="L45" s="8">
        <v>39811</v>
      </c>
    </row>
    <row r="46" spans="1:12" x14ac:dyDescent="0.2">
      <c r="A46" s="84" t="s">
        <v>2215</v>
      </c>
      <c r="D46" s="7" t="str">
        <f>VLOOKUP(G46,'Resseguradoras no Vida'!$C$29:$C$98,1,0)</f>
        <v>54810</v>
      </c>
      <c r="E46" s="7" t="s">
        <v>2243</v>
      </c>
      <c r="F46" s="7" t="s">
        <v>2244</v>
      </c>
      <c r="G46" s="45" t="s">
        <v>2245</v>
      </c>
      <c r="H46" s="7" t="s">
        <v>2246</v>
      </c>
      <c r="I46" s="7" t="s">
        <v>57</v>
      </c>
      <c r="J46" s="7" t="s">
        <v>1669</v>
      </c>
      <c r="K46" s="7" t="s">
        <v>1670</v>
      </c>
      <c r="L46" s="8">
        <v>39532</v>
      </c>
    </row>
    <row r="47" spans="1:12" x14ac:dyDescent="0.2">
      <c r="A47" s="51" t="s">
        <v>1661</v>
      </c>
      <c r="D47" s="7" t="str">
        <f>VLOOKUP(G47,'Resseguradoras no Vida'!$C$29:$C$98,1,0)</f>
        <v>51977</v>
      </c>
      <c r="E47" s="7" t="s">
        <v>2248</v>
      </c>
      <c r="F47" s="7" t="s">
        <v>47</v>
      </c>
      <c r="G47" s="45" t="s">
        <v>2249</v>
      </c>
      <c r="H47" s="7" t="s">
        <v>2104</v>
      </c>
      <c r="I47" s="7" t="s">
        <v>57</v>
      </c>
      <c r="J47" s="7" t="s">
        <v>2105</v>
      </c>
      <c r="K47" s="7" t="s">
        <v>2110</v>
      </c>
      <c r="L47" s="8">
        <v>40135</v>
      </c>
    </row>
    <row r="48" spans="1:12" ht="15" x14ac:dyDescent="0.2">
      <c r="A48" s="82"/>
      <c r="D48" s="7" t="str">
        <f>VLOOKUP(G48,'Resseguradoras no Vida'!$C$29:$C$98,1,0)</f>
        <v>52795</v>
      </c>
      <c r="E48" s="7" t="s">
        <v>2251</v>
      </c>
      <c r="F48" s="7" t="s">
        <v>91</v>
      </c>
      <c r="G48" s="45" t="s">
        <v>2252</v>
      </c>
      <c r="H48" s="7" t="s">
        <v>2087</v>
      </c>
      <c r="I48" s="7" t="s">
        <v>57</v>
      </c>
      <c r="J48" s="7" t="s">
        <v>2077</v>
      </c>
      <c r="K48" s="7" t="s">
        <v>2078</v>
      </c>
      <c r="L48" s="8">
        <v>39546</v>
      </c>
    </row>
    <row r="49" spans="1:12" x14ac:dyDescent="0.2">
      <c r="A49" s="83" t="s">
        <v>2094</v>
      </c>
      <c r="D49" s="7" t="str">
        <f>VLOOKUP(G49,'Resseguradoras no Vida'!$C$29:$C$98,1,0)</f>
        <v>51411</v>
      </c>
      <c r="E49" s="7" t="s">
        <v>2253</v>
      </c>
      <c r="F49" s="7" t="s">
        <v>91</v>
      </c>
      <c r="G49" s="45" t="s">
        <v>2254</v>
      </c>
      <c r="H49" s="7" t="s">
        <v>2104</v>
      </c>
      <c r="I49" s="7" t="s">
        <v>57</v>
      </c>
      <c r="J49" s="7" t="s">
        <v>2105</v>
      </c>
      <c r="K49" s="7" t="s">
        <v>2110</v>
      </c>
      <c r="L49" s="8">
        <v>39742</v>
      </c>
    </row>
    <row r="50" spans="1:12" x14ac:dyDescent="0.2">
      <c r="A50" s="84" t="s">
        <v>2084</v>
      </c>
      <c r="D50" s="7" t="str">
        <f>VLOOKUP(G50,'Resseguradoras no Vida'!$C$29:$C$98,1,0)</f>
        <v>55891</v>
      </c>
      <c r="E50" s="7" t="s">
        <v>2255</v>
      </c>
      <c r="F50" s="7" t="s">
        <v>91</v>
      </c>
      <c r="G50" s="45" t="s">
        <v>2256</v>
      </c>
      <c r="H50" s="7" t="s">
        <v>2257</v>
      </c>
      <c r="I50" s="7" t="s">
        <v>57</v>
      </c>
      <c r="K50" s="7" t="s">
        <v>2258</v>
      </c>
      <c r="L50" s="8">
        <v>40037</v>
      </c>
    </row>
    <row r="51" spans="1:12" x14ac:dyDescent="0.2">
      <c r="A51" s="84" t="s">
        <v>2234</v>
      </c>
      <c r="D51" s="7" t="str">
        <f>VLOOKUP(G51,'Resseguradoras no Vida'!$C$29:$C$98,1,0)</f>
        <v>53295</v>
      </c>
      <c r="E51" s="7" t="s">
        <v>2259</v>
      </c>
      <c r="F51" s="7" t="s">
        <v>91</v>
      </c>
      <c r="G51" s="45" t="s">
        <v>2260</v>
      </c>
      <c r="H51" s="7" t="s">
        <v>2087</v>
      </c>
      <c r="I51" s="7" t="s">
        <v>57</v>
      </c>
      <c r="K51" s="7" t="s">
        <v>2078</v>
      </c>
      <c r="L51" s="8">
        <v>39667</v>
      </c>
    </row>
    <row r="52" spans="1:12" x14ac:dyDescent="0.2">
      <c r="A52" s="84" t="s">
        <v>2239</v>
      </c>
      <c r="D52" s="7" t="str">
        <f>VLOOKUP(G52,'Resseguradoras no Vida'!$C$29:$C$98,1,0)</f>
        <v>52680</v>
      </c>
      <c r="E52" s="7" t="s">
        <v>2261</v>
      </c>
      <c r="F52" s="7" t="s">
        <v>91</v>
      </c>
      <c r="G52" s="45" t="s">
        <v>2262</v>
      </c>
      <c r="H52" s="7" t="s">
        <v>2263</v>
      </c>
      <c r="I52" s="7" t="s">
        <v>111</v>
      </c>
      <c r="K52" s="7" t="s">
        <v>2264</v>
      </c>
      <c r="L52" s="8">
        <v>40451</v>
      </c>
    </row>
    <row r="53" spans="1:12" x14ac:dyDescent="0.2">
      <c r="A53" s="84" t="s">
        <v>1296</v>
      </c>
      <c r="D53" s="7" t="str">
        <f>VLOOKUP(G53,'Resseguradoras no Vida'!$C$29:$C$98,1,0)</f>
        <v>51748</v>
      </c>
      <c r="E53" s="7" t="s">
        <v>2266</v>
      </c>
      <c r="F53" s="7" t="s">
        <v>91</v>
      </c>
      <c r="G53" s="45" t="s">
        <v>2267</v>
      </c>
      <c r="H53" s="7" t="s">
        <v>2087</v>
      </c>
      <c r="I53" s="7" t="s">
        <v>57</v>
      </c>
      <c r="J53" s="7" t="s">
        <v>2077</v>
      </c>
      <c r="K53" s="7" t="s">
        <v>2126</v>
      </c>
      <c r="L53" s="8">
        <v>40523</v>
      </c>
    </row>
    <row r="54" spans="1:12" x14ac:dyDescent="0.2">
      <c r="A54" s="84" t="s">
        <v>2247</v>
      </c>
      <c r="D54" s="7" t="str">
        <f>VLOOKUP(G54,'Resseguradoras no Vida'!$C$29:$C$98,1,0)</f>
        <v>56448</v>
      </c>
      <c r="E54" s="7" t="s">
        <v>2268</v>
      </c>
      <c r="F54" s="7" t="s">
        <v>91</v>
      </c>
      <c r="G54" s="45" t="s">
        <v>2269</v>
      </c>
      <c r="H54" s="7" t="s">
        <v>2087</v>
      </c>
      <c r="I54" s="7" t="s">
        <v>57</v>
      </c>
      <c r="K54" s="7" t="s">
        <v>2126</v>
      </c>
      <c r="L54" s="8">
        <v>39892</v>
      </c>
    </row>
    <row r="55" spans="1:12" x14ac:dyDescent="0.2">
      <c r="A55" s="84" t="s">
        <v>2250</v>
      </c>
      <c r="D55" s="7" t="str">
        <f>VLOOKUP(G55,'Resseguradoras no Vida'!$C$29:$C$98,1,0)</f>
        <v>50202</v>
      </c>
      <c r="E55" s="7" t="s">
        <v>2270</v>
      </c>
      <c r="F55" s="7" t="s">
        <v>91</v>
      </c>
      <c r="G55" s="45" t="s">
        <v>2271</v>
      </c>
      <c r="H55" s="7" t="s">
        <v>2272</v>
      </c>
      <c r="I55" s="7" t="s">
        <v>57</v>
      </c>
      <c r="J55" s="7" t="s">
        <v>2077</v>
      </c>
      <c r="K55" s="7" t="s">
        <v>2126</v>
      </c>
      <c r="L55" s="8">
        <v>39736</v>
      </c>
    </row>
    <row r="56" spans="1:12" x14ac:dyDescent="0.2">
      <c r="A56" s="51" t="s">
        <v>1661</v>
      </c>
      <c r="D56" s="7" t="str">
        <f>VLOOKUP(G56,'Resseguradoras no Vida'!$C$29:$C$98,1,0)</f>
        <v>57461</v>
      </c>
      <c r="E56" s="7" t="s">
        <v>2274</v>
      </c>
      <c r="F56" s="7" t="s">
        <v>91</v>
      </c>
      <c r="G56" s="45" t="s">
        <v>2275</v>
      </c>
      <c r="H56" s="7" t="s">
        <v>2134</v>
      </c>
      <c r="I56" s="7" t="s">
        <v>57</v>
      </c>
      <c r="J56" s="7" t="s">
        <v>2077</v>
      </c>
      <c r="K56" s="7" t="s">
        <v>2078</v>
      </c>
      <c r="L56" s="8">
        <v>41396</v>
      </c>
    </row>
    <row r="57" spans="1:12" ht="15" x14ac:dyDescent="0.2">
      <c r="A57" s="82"/>
      <c r="D57" s="7" t="str">
        <f>VLOOKUP(G57,'Resseguradoras no Vida'!$C$29:$C$98,1,0)</f>
        <v>54984</v>
      </c>
      <c r="E57" s="7" t="s">
        <v>2277</v>
      </c>
      <c r="F57" s="7" t="s">
        <v>47</v>
      </c>
      <c r="G57" s="45" t="s">
        <v>2278</v>
      </c>
      <c r="H57" s="7" t="s">
        <v>2279</v>
      </c>
      <c r="I57" s="7" t="s">
        <v>111</v>
      </c>
      <c r="J57" s="7" t="s">
        <v>2280</v>
      </c>
      <c r="K57" s="7" t="s">
        <v>2281</v>
      </c>
      <c r="L57" s="8">
        <v>40731</v>
      </c>
    </row>
    <row r="58" spans="1:12" x14ac:dyDescent="0.2">
      <c r="A58" s="83" t="s">
        <v>3601</v>
      </c>
      <c r="D58" s="7" t="str">
        <f>VLOOKUP(G58,'Resseguradoras no Vida'!$C$29:$C$98,1,0)</f>
        <v>59609</v>
      </c>
      <c r="E58" s="7" t="s">
        <v>2282</v>
      </c>
      <c r="F58" s="7" t="s">
        <v>91</v>
      </c>
      <c r="G58" s="45" t="s">
        <v>2283</v>
      </c>
      <c r="H58" s="7" t="s">
        <v>2284</v>
      </c>
      <c r="I58" s="7" t="s">
        <v>111</v>
      </c>
      <c r="K58" s="7" t="s">
        <v>2285</v>
      </c>
      <c r="L58" s="8">
        <v>40347</v>
      </c>
    </row>
    <row r="59" spans="1:12" x14ac:dyDescent="0.2">
      <c r="A59" s="84" t="s">
        <v>2084</v>
      </c>
      <c r="D59" s="7" t="str">
        <f>VLOOKUP(G59,'Resseguradoras no Vida'!$C$29:$C$98,1,0)</f>
        <v>51063</v>
      </c>
      <c r="E59" s="7" t="s">
        <v>2286</v>
      </c>
      <c r="F59" s="7" t="s">
        <v>91</v>
      </c>
      <c r="G59" s="45" t="s">
        <v>2287</v>
      </c>
      <c r="H59" s="7" t="s">
        <v>2134</v>
      </c>
      <c r="I59" s="7" t="s">
        <v>57</v>
      </c>
      <c r="K59" s="7" t="s">
        <v>2126</v>
      </c>
      <c r="L59" s="8">
        <v>41561</v>
      </c>
    </row>
    <row r="60" spans="1:12" x14ac:dyDescent="0.2">
      <c r="A60" s="84" t="s">
        <v>2265</v>
      </c>
      <c r="D60" s="7" t="str">
        <f>VLOOKUP(G60,'Resseguradoras no Vida'!$C$29:$C$98,1,0)</f>
        <v>57053</v>
      </c>
      <c r="E60" s="7" t="s">
        <v>2288</v>
      </c>
      <c r="F60" s="7" t="s">
        <v>91</v>
      </c>
      <c r="G60" s="45" t="s">
        <v>2289</v>
      </c>
      <c r="H60" s="7" t="s">
        <v>2163</v>
      </c>
      <c r="I60" s="7" t="s">
        <v>57</v>
      </c>
      <c r="J60" s="7" t="s">
        <v>2077</v>
      </c>
      <c r="K60" s="7" t="s">
        <v>2126</v>
      </c>
      <c r="L60" s="8">
        <v>39953</v>
      </c>
    </row>
    <row r="61" spans="1:12" x14ac:dyDescent="0.2">
      <c r="A61" s="84" t="s">
        <v>2167</v>
      </c>
      <c r="D61" s="7" t="str">
        <f>VLOOKUP(G61,'Resseguradoras no Vida'!$C$29:$C$98,1,0)</f>
        <v>50075</v>
      </c>
      <c r="E61" s="7" t="s">
        <v>2290</v>
      </c>
      <c r="F61" s="7" t="s">
        <v>91</v>
      </c>
      <c r="G61" s="45" t="s">
        <v>2291</v>
      </c>
      <c r="H61" s="7" t="s">
        <v>2292</v>
      </c>
      <c r="I61" s="7" t="s">
        <v>111</v>
      </c>
      <c r="J61" s="7" t="s">
        <v>2207</v>
      </c>
      <c r="K61" s="7" t="s">
        <v>2208</v>
      </c>
      <c r="L61" s="8">
        <v>39842</v>
      </c>
    </row>
    <row r="62" spans="1:12" x14ac:dyDescent="0.2">
      <c r="A62" s="84" t="s">
        <v>2170</v>
      </c>
      <c r="D62" s="7" t="str">
        <f>VLOOKUP(G62,'Resseguradoras no Vida'!$C$29:$C$98,1,0)</f>
        <v>58645</v>
      </c>
      <c r="E62" s="7" t="s">
        <v>2294</v>
      </c>
      <c r="F62" s="7" t="s">
        <v>91</v>
      </c>
      <c r="G62" s="45" t="s">
        <v>2295</v>
      </c>
      <c r="H62" s="7" t="s">
        <v>2296</v>
      </c>
      <c r="I62" s="7" t="s">
        <v>111</v>
      </c>
      <c r="K62" s="7" t="s">
        <v>3645</v>
      </c>
      <c r="L62" s="8">
        <v>40176</v>
      </c>
    </row>
    <row r="63" spans="1:12" x14ac:dyDescent="0.2">
      <c r="A63" s="84" t="s">
        <v>2273</v>
      </c>
      <c r="D63" s="7" t="str">
        <f>VLOOKUP(G63,'Resseguradoras no Vida'!$C$29:$C$98,1,0)</f>
        <v>55921</v>
      </c>
      <c r="E63" s="7" t="s">
        <v>2298</v>
      </c>
      <c r="F63" s="7" t="s">
        <v>91</v>
      </c>
      <c r="G63" s="45" t="s">
        <v>2299</v>
      </c>
      <c r="H63" s="7" t="s">
        <v>2300</v>
      </c>
      <c r="I63" s="7" t="s">
        <v>57</v>
      </c>
      <c r="K63" s="7" t="s">
        <v>2301</v>
      </c>
      <c r="L63" s="8">
        <v>39778</v>
      </c>
    </row>
    <row r="64" spans="1:12" x14ac:dyDescent="0.2">
      <c r="A64" s="84" t="s">
        <v>2276</v>
      </c>
      <c r="D64" s="7" t="str">
        <f>VLOOKUP(G64,'Resseguradoras no Vida'!$C$29:$C$98,1,0)</f>
        <v>57959</v>
      </c>
      <c r="E64" s="7" t="s">
        <v>3606</v>
      </c>
      <c r="F64" s="7" t="s">
        <v>91</v>
      </c>
      <c r="G64" s="45" t="s">
        <v>3657</v>
      </c>
      <c r="H64" s="7" t="s">
        <v>3646</v>
      </c>
      <c r="I64" s="7" t="s">
        <v>57</v>
      </c>
      <c r="J64" s="7" t="s">
        <v>2077</v>
      </c>
      <c r="K64" s="7" t="s">
        <v>2078</v>
      </c>
      <c r="L64" s="8">
        <v>41729</v>
      </c>
    </row>
    <row r="65" spans="1:12" x14ac:dyDescent="0.2">
      <c r="A65" s="51" t="s">
        <v>1661</v>
      </c>
      <c r="D65" s="7" t="str">
        <f>VLOOKUP(G65,'Resseguradoras no Vida'!$C$29:$C$98,1,0)</f>
        <v>57495</v>
      </c>
      <c r="E65" s="7" t="s">
        <v>2303</v>
      </c>
      <c r="F65" s="7" t="s">
        <v>91</v>
      </c>
      <c r="G65" s="45" t="s">
        <v>2304</v>
      </c>
      <c r="H65" s="7" t="s">
        <v>2087</v>
      </c>
      <c r="I65" s="7" t="s">
        <v>57</v>
      </c>
      <c r="J65" s="7" t="s">
        <v>2077</v>
      </c>
      <c r="K65" s="7" t="s">
        <v>2126</v>
      </c>
      <c r="L65" s="8">
        <v>40128</v>
      </c>
    </row>
    <row r="66" spans="1:12" ht="15" x14ac:dyDescent="0.2">
      <c r="A66" s="82"/>
      <c r="D66" s="7" t="str">
        <f>VLOOKUP(G66,'Resseguradoras no Vida'!$C$29:$C$98,1,0)</f>
        <v>54933</v>
      </c>
      <c r="E66" s="7" t="s">
        <v>2306</v>
      </c>
      <c r="F66" s="7" t="s">
        <v>91</v>
      </c>
      <c r="G66" s="45" t="s">
        <v>2307</v>
      </c>
      <c r="H66" s="7" t="s">
        <v>2308</v>
      </c>
      <c r="I66" s="7" t="s">
        <v>57</v>
      </c>
      <c r="J66" s="7" t="s">
        <v>2105</v>
      </c>
      <c r="K66" s="7" t="s">
        <v>2106</v>
      </c>
      <c r="L66" s="8">
        <v>41003</v>
      </c>
    </row>
    <row r="67" spans="1:12" x14ac:dyDescent="0.2">
      <c r="A67" s="83" t="s">
        <v>2102</v>
      </c>
      <c r="D67" s="7" t="str">
        <f>VLOOKUP(G67,'Resseguradoras no Vida'!$C$29:$C$98,1,0)</f>
        <v>58271</v>
      </c>
      <c r="E67" s="7" t="s">
        <v>2310</v>
      </c>
      <c r="F67" s="7" t="s">
        <v>91</v>
      </c>
      <c r="G67" s="45" t="s">
        <v>2311</v>
      </c>
      <c r="H67" s="7" t="s">
        <v>2087</v>
      </c>
      <c r="I67" s="7" t="s">
        <v>57</v>
      </c>
      <c r="J67" s="7" t="s">
        <v>2077</v>
      </c>
      <c r="K67" s="7" t="s">
        <v>2078</v>
      </c>
      <c r="L67" s="8">
        <v>39735</v>
      </c>
    </row>
    <row r="68" spans="1:12" x14ac:dyDescent="0.2">
      <c r="A68" s="84" t="s">
        <v>2084</v>
      </c>
      <c r="D68" s="7" t="str">
        <f>VLOOKUP(G68,'Resseguradoras no Vida'!$C$29:$C$98,1,0)</f>
        <v>57843</v>
      </c>
      <c r="E68" s="7" t="s">
        <v>2312</v>
      </c>
      <c r="F68" s="7" t="s">
        <v>91</v>
      </c>
      <c r="G68" s="45" t="s">
        <v>2313</v>
      </c>
      <c r="H68" s="7" t="s">
        <v>2314</v>
      </c>
      <c r="I68" s="7" t="s">
        <v>57</v>
      </c>
      <c r="J68" s="7" t="s">
        <v>2315</v>
      </c>
      <c r="K68" s="7" t="s">
        <v>2316</v>
      </c>
      <c r="L68" s="8">
        <v>40135</v>
      </c>
    </row>
    <row r="69" spans="1:12" x14ac:dyDescent="0.2">
      <c r="A69" s="84" t="s">
        <v>2293</v>
      </c>
      <c r="D69" s="7" t="str">
        <f>VLOOKUP(G69,'Resseguradoras no Vida'!$C$29:$C$98,1,0)</f>
        <v>50598</v>
      </c>
      <c r="E69" s="7" t="s">
        <v>2317</v>
      </c>
      <c r="F69" s="7" t="s">
        <v>91</v>
      </c>
      <c r="G69" s="45" t="s">
        <v>2318</v>
      </c>
      <c r="H69" s="7" t="s">
        <v>2319</v>
      </c>
      <c r="I69" s="7" t="s">
        <v>111</v>
      </c>
      <c r="K69" s="7" t="s">
        <v>2320</v>
      </c>
      <c r="L69" s="8">
        <v>41543</v>
      </c>
    </row>
    <row r="70" spans="1:12" x14ac:dyDescent="0.2">
      <c r="A70" s="84" t="s">
        <v>2297</v>
      </c>
      <c r="D70" s="7" t="str">
        <f>VLOOKUP(G70,'Resseguradoras no Vida'!$C$29:$C$98,1,0)</f>
        <v>56847</v>
      </c>
      <c r="E70" s="7" t="s">
        <v>2321</v>
      </c>
      <c r="F70" s="7" t="s">
        <v>91</v>
      </c>
      <c r="G70" s="45" t="s">
        <v>2322</v>
      </c>
      <c r="H70" s="7" t="s">
        <v>2323</v>
      </c>
      <c r="I70" s="7" t="s">
        <v>57</v>
      </c>
      <c r="K70" s="7" t="s">
        <v>2324</v>
      </c>
      <c r="L70" s="8">
        <v>40045</v>
      </c>
    </row>
    <row r="71" spans="1:12" x14ac:dyDescent="0.2">
      <c r="A71" s="84" t="s">
        <v>2302</v>
      </c>
      <c r="D71" s="7" t="str">
        <f>VLOOKUP(G71,'Resseguradoras no Vida'!$C$29:$C$98,1,0)</f>
        <v>52469</v>
      </c>
      <c r="E71" s="7" t="s">
        <v>2325</v>
      </c>
      <c r="F71" s="7" t="s">
        <v>91</v>
      </c>
      <c r="G71" s="45" t="s">
        <v>2326</v>
      </c>
      <c r="H71" s="7" t="s">
        <v>2327</v>
      </c>
      <c r="I71" s="7" t="s">
        <v>57</v>
      </c>
      <c r="K71" s="7" t="s">
        <v>3647</v>
      </c>
      <c r="L71" s="8">
        <v>39667</v>
      </c>
    </row>
    <row r="72" spans="1:12" x14ac:dyDescent="0.2">
      <c r="A72" s="84" t="s">
        <v>2305</v>
      </c>
      <c r="D72" s="7" t="str">
        <f>VLOOKUP(G72,'Resseguradoras no Vida'!$C$29:$C$98,1,0)</f>
        <v>59986</v>
      </c>
      <c r="E72" s="7" t="s">
        <v>2329</v>
      </c>
      <c r="F72" s="7" t="s">
        <v>91</v>
      </c>
      <c r="G72" s="45" t="s">
        <v>2330</v>
      </c>
      <c r="H72" s="7" t="s">
        <v>2331</v>
      </c>
      <c r="I72" s="7" t="s">
        <v>57</v>
      </c>
      <c r="J72" s="7" t="s">
        <v>2332</v>
      </c>
      <c r="K72" s="7" t="s">
        <v>2333</v>
      </c>
      <c r="L72" s="8">
        <v>39923</v>
      </c>
    </row>
    <row r="73" spans="1:12" x14ac:dyDescent="0.2">
      <c r="A73" s="84" t="s">
        <v>2309</v>
      </c>
    </row>
    <row r="74" spans="1:12" x14ac:dyDescent="0.2">
      <c r="A74" s="51" t="s">
        <v>1661</v>
      </c>
    </row>
    <row r="75" spans="1:12" ht="15" x14ac:dyDescent="0.2">
      <c r="A75" s="82"/>
    </row>
    <row r="76" spans="1:12" x14ac:dyDescent="0.2">
      <c r="A76" s="83" t="s">
        <v>2107</v>
      </c>
    </row>
    <row r="77" spans="1:12" x14ac:dyDescent="0.2">
      <c r="A77" s="84" t="s">
        <v>2084</v>
      </c>
    </row>
    <row r="78" spans="1:12" x14ac:dyDescent="0.2">
      <c r="A78" s="84" t="s">
        <v>2328</v>
      </c>
    </row>
    <row r="79" spans="1:12" x14ac:dyDescent="0.2">
      <c r="A79" s="84" t="s">
        <v>2334</v>
      </c>
    </row>
    <row r="80" spans="1:12" x14ac:dyDescent="0.2">
      <c r="A80" s="84" t="s">
        <v>2170</v>
      </c>
    </row>
    <row r="81" spans="1:1" x14ac:dyDescent="0.2">
      <c r="A81" s="84" t="s">
        <v>2335</v>
      </c>
    </row>
    <row r="82" spans="1:1" x14ac:dyDescent="0.2">
      <c r="A82" s="84" t="s">
        <v>2336</v>
      </c>
    </row>
    <row r="83" spans="1:1" x14ac:dyDescent="0.2">
      <c r="A83" s="51" t="s">
        <v>1661</v>
      </c>
    </row>
    <row r="84" spans="1:1" ht="15" x14ac:dyDescent="0.2">
      <c r="A84" s="82"/>
    </row>
    <row r="85" spans="1:1" x14ac:dyDescent="0.2">
      <c r="A85" s="83" t="s">
        <v>2111</v>
      </c>
    </row>
    <row r="86" spans="1:1" x14ac:dyDescent="0.2">
      <c r="A86" s="84" t="s">
        <v>2084</v>
      </c>
    </row>
    <row r="87" spans="1:1" x14ac:dyDescent="0.2">
      <c r="A87" s="84" t="s">
        <v>2337</v>
      </c>
    </row>
    <row r="88" spans="1:1" x14ac:dyDescent="0.2">
      <c r="A88" s="84" t="s">
        <v>2338</v>
      </c>
    </row>
    <row r="89" spans="1:1" x14ac:dyDescent="0.2">
      <c r="A89" s="84" t="s">
        <v>2339</v>
      </c>
    </row>
    <row r="90" spans="1:1" x14ac:dyDescent="0.2">
      <c r="A90" s="84" t="s">
        <v>2340</v>
      </c>
    </row>
    <row r="91" spans="1:1" x14ac:dyDescent="0.2">
      <c r="A91" s="84" t="s">
        <v>1787</v>
      </c>
    </row>
    <row r="92" spans="1:1" x14ac:dyDescent="0.2">
      <c r="A92" s="51" t="s">
        <v>1661</v>
      </c>
    </row>
    <row r="93" spans="1:1" ht="15" x14ac:dyDescent="0.2">
      <c r="A93" s="82"/>
    </row>
    <row r="94" spans="1:1" x14ac:dyDescent="0.2">
      <c r="A94" s="83" t="s">
        <v>2116</v>
      </c>
    </row>
    <row r="95" spans="1:1" x14ac:dyDescent="0.2">
      <c r="A95" s="84" t="s">
        <v>2084</v>
      </c>
    </row>
    <row r="96" spans="1:1" x14ac:dyDescent="0.2">
      <c r="A96" s="84" t="s">
        <v>2341</v>
      </c>
    </row>
    <row r="97" spans="1:1" x14ac:dyDescent="0.2">
      <c r="A97" s="84" t="s">
        <v>2342</v>
      </c>
    </row>
    <row r="98" spans="1:1" x14ac:dyDescent="0.2">
      <c r="A98" s="84" t="s">
        <v>2203</v>
      </c>
    </row>
    <row r="99" spans="1:1" x14ac:dyDescent="0.2">
      <c r="A99" s="84" t="s">
        <v>2344</v>
      </c>
    </row>
    <row r="100" spans="1:1" x14ac:dyDescent="0.2">
      <c r="A100" s="84" t="s">
        <v>2345</v>
      </c>
    </row>
    <row r="101" spans="1:1" x14ac:dyDescent="0.2">
      <c r="A101" s="51" t="s">
        <v>1661</v>
      </c>
    </row>
    <row r="102" spans="1:1" ht="15" x14ac:dyDescent="0.2">
      <c r="A102" s="82"/>
    </row>
    <row r="103" spans="1:1" x14ac:dyDescent="0.2">
      <c r="A103" s="83" t="s">
        <v>2121</v>
      </c>
    </row>
    <row r="104" spans="1:1" x14ac:dyDescent="0.2">
      <c r="A104" s="84" t="s">
        <v>820</v>
      </c>
    </row>
    <row r="105" spans="1:1" x14ac:dyDescent="0.2">
      <c r="A105" s="84" t="s">
        <v>2346</v>
      </c>
    </row>
    <row r="106" spans="1:1" x14ac:dyDescent="0.2">
      <c r="A106" s="84" t="s">
        <v>2167</v>
      </c>
    </row>
    <row r="107" spans="1:1" x14ac:dyDescent="0.2">
      <c r="A107" s="84" t="s">
        <v>2098</v>
      </c>
    </row>
    <row r="108" spans="1:1" x14ac:dyDescent="0.2">
      <c r="A108" s="84" t="s">
        <v>2347</v>
      </c>
    </row>
    <row r="109" spans="1:1" x14ac:dyDescent="0.2">
      <c r="A109" s="84" t="s">
        <v>2348</v>
      </c>
    </row>
    <row r="110" spans="1:1" x14ac:dyDescent="0.2">
      <c r="A110" s="51" t="s">
        <v>1661</v>
      </c>
    </row>
    <row r="111" spans="1:1" ht="15" x14ac:dyDescent="0.2">
      <c r="A111" s="82"/>
    </row>
    <row r="112" spans="1:1" x14ac:dyDescent="0.2">
      <c r="A112" s="83" t="s">
        <v>2123</v>
      </c>
    </row>
    <row r="113" spans="1:1" x14ac:dyDescent="0.2">
      <c r="A113" s="84" t="s">
        <v>2084</v>
      </c>
    </row>
    <row r="114" spans="1:1" x14ac:dyDescent="0.2">
      <c r="A114" s="84" t="s">
        <v>2349</v>
      </c>
    </row>
    <row r="115" spans="1:1" x14ac:dyDescent="0.2">
      <c r="A115" s="84" t="s">
        <v>2350</v>
      </c>
    </row>
    <row r="116" spans="1:1" x14ac:dyDescent="0.2">
      <c r="A116" s="84" t="s">
        <v>2098</v>
      </c>
    </row>
    <row r="117" spans="1:1" x14ac:dyDescent="0.2">
      <c r="A117" s="84" t="s">
        <v>2351</v>
      </c>
    </row>
    <row r="118" spans="1:1" x14ac:dyDescent="0.2">
      <c r="A118" s="84" t="s">
        <v>1969</v>
      </c>
    </row>
    <row r="119" spans="1:1" x14ac:dyDescent="0.2">
      <c r="A119" s="51" t="s">
        <v>1661</v>
      </c>
    </row>
    <row r="120" spans="1:1" ht="15" x14ac:dyDescent="0.2">
      <c r="A120" s="82"/>
    </row>
    <row r="121" spans="1:1" x14ac:dyDescent="0.2">
      <c r="A121" s="83" t="s">
        <v>2128</v>
      </c>
    </row>
    <row r="122" spans="1:1" x14ac:dyDescent="0.2">
      <c r="A122" s="84" t="s">
        <v>2084</v>
      </c>
    </row>
    <row r="123" spans="1:1" x14ac:dyDescent="0.2">
      <c r="A123" s="84" t="s">
        <v>2352</v>
      </c>
    </row>
    <row r="124" spans="1:1" x14ac:dyDescent="0.2">
      <c r="A124" s="84" t="s">
        <v>2353</v>
      </c>
    </row>
    <row r="125" spans="1:1" x14ac:dyDescent="0.2">
      <c r="A125" s="84" t="s">
        <v>2098</v>
      </c>
    </row>
    <row r="126" spans="1:1" x14ac:dyDescent="0.2">
      <c r="A126" s="84" t="s">
        <v>2351</v>
      </c>
    </row>
    <row r="127" spans="1:1" x14ac:dyDescent="0.2">
      <c r="A127" s="84" t="s">
        <v>1516</v>
      </c>
    </row>
    <row r="128" spans="1:1" x14ac:dyDescent="0.2">
      <c r="A128" s="51" t="s">
        <v>1661</v>
      </c>
    </row>
    <row r="129" spans="1:1" ht="15" x14ac:dyDescent="0.2">
      <c r="A129" s="82"/>
    </row>
    <row r="130" spans="1:1" x14ac:dyDescent="0.2">
      <c r="A130" s="83" t="s">
        <v>2132</v>
      </c>
    </row>
    <row r="131" spans="1:1" x14ac:dyDescent="0.2">
      <c r="A131" s="84" t="s">
        <v>2084</v>
      </c>
    </row>
    <row r="132" spans="1:1" x14ac:dyDescent="0.2">
      <c r="A132" s="84" t="s">
        <v>2354</v>
      </c>
    </row>
    <row r="133" spans="1:1" x14ac:dyDescent="0.2">
      <c r="A133" s="84" t="s">
        <v>2355</v>
      </c>
    </row>
    <row r="134" spans="1:1" x14ac:dyDescent="0.2">
      <c r="A134" s="84" t="s">
        <v>2170</v>
      </c>
    </row>
    <row r="135" spans="1:1" x14ac:dyDescent="0.2">
      <c r="A135" s="84" t="s">
        <v>2356</v>
      </c>
    </row>
    <row r="136" spans="1:1" x14ac:dyDescent="0.2">
      <c r="A136" s="84" t="s">
        <v>2357</v>
      </c>
    </row>
    <row r="137" spans="1:1" x14ac:dyDescent="0.2">
      <c r="A137" s="51" t="s">
        <v>1661</v>
      </c>
    </row>
    <row r="138" spans="1:1" ht="15" x14ac:dyDescent="0.2">
      <c r="A138" s="82"/>
    </row>
    <row r="139" spans="1:1" x14ac:dyDescent="0.2">
      <c r="A139" s="83" t="s">
        <v>2136</v>
      </c>
    </row>
    <row r="140" spans="1:1" x14ac:dyDescent="0.2">
      <c r="A140" s="84" t="s">
        <v>2084</v>
      </c>
    </row>
    <row r="141" spans="1:1" x14ac:dyDescent="0.2">
      <c r="A141" s="84" t="s">
        <v>2358</v>
      </c>
    </row>
    <row r="142" spans="1:1" x14ac:dyDescent="0.2">
      <c r="A142" s="84" t="s">
        <v>2093</v>
      </c>
    </row>
    <row r="143" spans="1:1" x14ac:dyDescent="0.2">
      <c r="A143" s="84" t="s">
        <v>2098</v>
      </c>
    </row>
    <row r="144" spans="1:1" x14ac:dyDescent="0.2">
      <c r="A144" s="84" t="s">
        <v>2101</v>
      </c>
    </row>
    <row r="145" spans="1:1" x14ac:dyDescent="0.2">
      <c r="A145" s="84" t="s">
        <v>2359</v>
      </c>
    </row>
    <row r="146" spans="1:1" x14ac:dyDescent="0.2">
      <c r="A146" s="51" t="s">
        <v>1661</v>
      </c>
    </row>
    <row r="147" spans="1:1" ht="15" x14ac:dyDescent="0.2">
      <c r="A147" s="82"/>
    </row>
    <row r="148" spans="1:1" x14ac:dyDescent="0.2">
      <c r="A148" s="83" t="s">
        <v>2139</v>
      </c>
    </row>
    <row r="149" spans="1:1" x14ac:dyDescent="0.2">
      <c r="A149" s="84" t="s">
        <v>2084</v>
      </c>
    </row>
    <row r="150" spans="1:1" x14ac:dyDescent="0.2">
      <c r="A150" s="84" t="s">
        <v>2360</v>
      </c>
    </row>
    <row r="151" spans="1:1" x14ac:dyDescent="0.2">
      <c r="A151" s="84" t="s">
        <v>2361</v>
      </c>
    </row>
    <row r="152" spans="1:1" x14ac:dyDescent="0.2">
      <c r="A152" s="84" t="s">
        <v>2362</v>
      </c>
    </row>
    <row r="153" spans="1:1" x14ac:dyDescent="0.2">
      <c r="A153" s="84" t="s">
        <v>2363</v>
      </c>
    </row>
    <row r="154" spans="1:1" x14ac:dyDescent="0.2">
      <c r="A154" s="84" t="s">
        <v>2215</v>
      </c>
    </row>
    <row r="155" spans="1:1" x14ac:dyDescent="0.2">
      <c r="A155" s="51" t="s">
        <v>1661</v>
      </c>
    </row>
    <row r="156" spans="1:1" ht="15" x14ac:dyDescent="0.2">
      <c r="A156" s="82"/>
    </row>
    <row r="157" spans="1:1" x14ac:dyDescent="0.2">
      <c r="A157" s="83" t="s">
        <v>3602</v>
      </c>
    </row>
    <row r="158" spans="1:1" x14ac:dyDescent="0.2">
      <c r="A158" s="84" t="s">
        <v>820</v>
      </c>
    </row>
    <row r="159" spans="1:1" x14ac:dyDescent="0.2">
      <c r="A159" s="84" t="s">
        <v>3603</v>
      </c>
    </row>
    <row r="160" spans="1:1" x14ac:dyDescent="0.2">
      <c r="A160" s="84" t="s">
        <v>2334</v>
      </c>
    </row>
    <row r="161" spans="1:1" x14ac:dyDescent="0.2">
      <c r="A161" s="84" t="s">
        <v>2302</v>
      </c>
    </row>
    <row r="162" spans="1:1" x14ac:dyDescent="0.2">
      <c r="A162" s="84" t="s">
        <v>2335</v>
      </c>
    </row>
    <row r="163" spans="1:1" x14ac:dyDescent="0.2">
      <c r="A163" s="84" t="s">
        <v>3604</v>
      </c>
    </row>
    <row r="164" spans="1:1" x14ac:dyDescent="0.2">
      <c r="A164" s="51" t="s">
        <v>1661</v>
      </c>
    </row>
    <row r="165" spans="1:1" ht="15" x14ac:dyDescent="0.2">
      <c r="A165" s="82"/>
    </row>
    <row r="166" spans="1:1" x14ac:dyDescent="0.2">
      <c r="A166" s="83" t="s">
        <v>2145</v>
      </c>
    </row>
    <row r="167" spans="1:1" x14ac:dyDescent="0.2">
      <c r="A167" s="84" t="s">
        <v>2084</v>
      </c>
    </row>
    <row r="168" spans="1:1" x14ac:dyDescent="0.2">
      <c r="A168" s="84" t="s">
        <v>2364</v>
      </c>
    </row>
    <row r="169" spans="1:1" x14ac:dyDescent="0.2">
      <c r="A169" s="84" t="s">
        <v>2350</v>
      </c>
    </row>
    <row r="170" spans="1:1" x14ac:dyDescent="0.2">
      <c r="A170" s="84" t="s">
        <v>2098</v>
      </c>
    </row>
    <row r="171" spans="1:1" x14ac:dyDescent="0.2">
      <c r="A171" s="84" t="s">
        <v>2351</v>
      </c>
    </row>
    <row r="172" spans="1:1" x14ac:dyDescent="0.2">
      <c r="A172" s="84" t="s">
        <v>1952</v>
      </c>
    </row>
    <row r="173" spans="1:1" x14ac:dyDescent="0.2">
      <c r="A173" s="51" t="s">
        <v>1661</v>
      </c>
    </row>
    <row r="174" spans="1:1" ht="15" x14ac:dyDescent="0.2">
      <c r="A174" s="82"/>
    </row>
    <row r="175" spans="1:1" x14ac:dyDescent="0.2">
      <c r="A175" s="83" t="s">
        <v>2147</v>
      </c>
    </row>
    <row r="176" spans="1:1" x14ac:dyDescent="0.2">
      <c r="A176" s="84" t="s">
        <v>2084</v>
      </c>
    </row>
    <row r="177" spans="1:1" x14ac:dyDescent="0.2">
      <c r="A177" s="84" t="s">
        <v>2365</v>
      </c>
    </row>
    <row r="178" spans="1:1" x14ac:dyDescent="0.2">
      <c r="A178" s="84" t="s">
        <v>2366</v>
      </c>
    </row>
    <row r="179" spans="1:1" x14ac:dyDescent="0.2">
      <c r="A179" s="84" t="s">
        <v>2367</v>
      </c>
    </row>
    <row r="180" spans="1:1" x14ac:dyDescent="0.2">
      <c r="A180" s="84" t="s">
        <v>2368</v>
      </c>
    </row>
    <row r="181" spans="1:1" x14ac:dyDescent="0.2">
      <c r="A181" s="84" t="s">
        <v>2369</v>
      </c>
    </row>
    <row r="182" spans="1:1" x14ac:dyDescent="0.2">
      <c r="A182" s="51" t="s">
        <v>1661</v>
      </c>
    </row>
    <row r="183" spans="1:1" ht="15" x14ac:dyDescent="0.2">
      <c r="A183" s="82"/>
    </row>
    <row r="184" spans="1:1" x14ac:dyDescent="0.2">
      <c r="A184" s="83" t="s">
        <v>2152</v>
      </c>
    </row>
    <row r="185" spans="1:1" x14ac:dyDescent="0.2">
      <c r="A185" s="84" t="s">
        <v>2084</v>
      </c>
    </row>
    <row r="186" spans="1:1" x14ac:dyDescent="0.2">
      <c r="A186" s="84" t="s">
        <v>2370</v>
      </c>
    </row>
    <row r="187" spans="1:1" x14ac:dyDescent="0.2">
      <c r="A187" s="84" t="s">
        <v>2371</v>
      </c>
    </row>
    <row r="188" spans="1:1" x14ac:dyDescent="0.2">
      <c r="A188" s="84" t="s">
        <v>2170</v>
      </c>
    </row>
    <row r="189" spans="1:1" x14ac:dyDescent="0.2">
      <c r="A189" s="84" t="s">
        <v>2372</v>
      </c>
    </row>
    <row r="190" spans="1:1" x14ac:dyDescent="0.2">
      <c r="A190" s="84" t="s">
        <v>2373</v>
      </c>
    </row>
    <row r="191" spans="1:1" x14ac:dyDescent="0.2">
      <c r="A191" s="51" t="s">
        <v>1661</v>
      </c>
    </row>
    <row r="192" spans="1:1" ht="15" x14ac:dyDescent="0.2">
      <c r="A192" s="82"/>
    </row>
    <row r="193" spans="1:1" x14ac:dyDescent="0.2">
      <c r="A193" s="83" t="s">
        <v>2156</v>
      </c>
    </row>
    <row r="194" spans="1:1" x14ac:dyDescent="0.2">
      <c r="A194" s="84" t="s">
        <v>2084</v>
      </c>
    </row>
    <row r="195" spans="1:1" x14ac:dyDescent="0.2">
      <c r="A195" s="84" t="s">
        <v>2374</v>
      </c>
    </row>
    <row r="196" spans="1:1" x14ac:dyDescent="0.2">
      <c r="A196" s="84" t="s">
        <v>2375</v>
      </c>
    </row>
    <row r="197" spans="1:1" x14ac:dyDescent="0.2">
      <c r="A197" s="84" t="s">
        <v>2376</v>
      </c>
    </row>
    <row r="198" spans="1:1" x14ac:dyDescent="0.2">
      <c r="A198" s="84" t="s">
        <v>2377</v>
      </c>
    </row>
    <row r="199" spans="1:1" x14ac:dyDescent="0.2">
      <c r="A199" s="84" t="s">
        <v>1952</v>
      </c>
    </row>
    <row r="200" spans="1:1" x14ac:dyDescent="0.2">
      <c r="A200" s="51" t="s">
        <v>1661</v>
      </c>
    </row>
    <row r="201" spans="1:1" ht="15" x14ac:dyDescent="0.2">
      <c r="A201" s="82"/>
    </row>
    <row r="202" spans="1:1" x14ac:dyDescent="0.2">
      <c r="A202" s="83" t="s">
        <v>2161</v>
      </c>
    </row>
    <row r="203" spans="1:1" x14ac:dyDescent="0.2">
      <c r="A203" s="84" t="s">
        <v>2084</v>
      </c>
    </row>
    <row r="204" spans="1:1" x14ac:dyDescent="0.2">
      <c r="A204" s="84" t="s">
        <v>2378</v>
      </c>
    </row>
    <row r="205" spans="1:1" x14ac:dyDescent="0.2">
      <c r="A205" s="84" t="s">
        <v>2379</v>
      </c>
    </row>
    <row r="206" spans="1:1" x14ac:dyDescent="0.2">
      <c r="A206" s="84" t="s">
        <v>2098</v>
      </c>
    </row>
    <row r="207" spans="1:1" x14ac:dyDescent="0.2">
      <c r="A207" s="84" t="s">
        <v>2351</v>
      </c>
    </row>
    <row r="208" spans="1:1" x14ac:dyDescent="0.2">
      <c r="A208" s="84" t="s">
        <v>2380</v>
      </c>
    </row>
    <row r="209" spans="1:1" x14ac:dyDescent="0.2">
      <c r="A209" s="51" t="s">
        <v>1661</v>
      </c>
    </row>
    <row r="210" spans="1:1" ht="15" x14ac:dyDescent="0.2">
      <c r="A210" s="82"/>
    </row>
    <row r="211" spans="1:1" x14ac:dyDescent="0.2">
      <c r="A211" s="83" t="s">
        <v>2165</v>
      </c>
    </row>
    <row r="212" spans="1:1" x14ac:dyDescent="0.2">
      <c r="A212" s="84" t="s">
        <v>820</v>
      </c>
    </row>
    <row r="213" spans="1:1" x14ac:dyDescent="0.2">
      <c r="A213" s="84" t="s">
        <v>2381</v>
      </c>
    </row>
    <row r="214" spans="1:1" x14ac:dyDescent="0.2">
      <c r="A214" s="84" t="s">
        <v>3460</v>
      </c>
    </row>
    <row r="215" spans="1:1" x14ac:dyDescent="0.2">
      <c r="A215" s="84" t="s">
        <v>2098</v>
      </c>
    </row>
    <row r="216" spans="1:1" x14ac:dyDescent="0.2">
      <c r="A216" s="84" t="s">
        <v>2351</v>
      </c>
    </row>
    <row r="217" spans="1:1" x14ac:dyDescent="0.2">
      <c r="A217" s="84" t="s">
        <v>2382</v>
      </c>
    </row>
    <row r="218" spans="1:1" x14ac:dyDescent="0.2">
      <c r="A218" s="51" t="s">
        <v>1661</v>
      </c>
    </row>
    <row r="219" spans="1:1" ht="15" x14ac:dyDescent="0.2">
      <c r="A219" s="82"/>
    </row>
    <row r="220" spans="1:1" x14ac:dyDescent="0.2">
      <c r="A220" s="83" t="s">
        <v>2168</v>
      </c>
    </row>
    <row r="221" spans="1:1" x14ac:dyDescent="0.2">
      <c r="A221" s="84" t="s">
        <v>2084</v>
      </c>
    </row>
    <row r="222" spans="1:1" x14ac:dyDescent="0.2">
      <c r="A222" s="84" t="s">
        <v>2383</v>
      </c>
    </row>
    <row r="223" spans="1:1" x14ac:dyDescent="0.2">
      <c r="A223" s="84" t="s">
        <v>2167</v>
      </c>
    </row>
    <row r="224" spans="1:1" x14ac:dyDescent="0.2">
      <c r="A224" s="84" t="s">
        <v>2098</v>
      </c>
    </row>
    <row r="225" spans="1:1" x14ac:dyDescent="0.2">
      <c r="A225" s="84" t="s">
        <v>2351</v>
      </c>
    </row>
    <row r="226" spans="1:1" x14ac:dyDescent="0.2">
      <c r="A226" s="84" t="s">
        <v>2384</v>
      </c>
    </row>
    <row r="227" spans="1:1" x14ac:dyDescent="0.2">
      <c r="A227" s="51" t="s">
        <v>1661</v>
      </c>
    </row>
    <row r="228" spans="1:1" ht="15" x14ac:dyDescent="0.2">
      <c r="A228" s="82"/>
    </row>
    <row r="229" spans="1:1" x14ac:dyDescent="0.2">
      <c r="A229" s="83" t="s">
        <v>2171</v>
      </c>
    </row>
    <row r="230" spans="1:1" x14ac:dyDescent="0.2">
      <c r="A230" s="84" t="s">
        <v>2084</v>
      </c>
    </row>
    <row r="231" spans="1:1" x14ac:dyDescent="0.2">
      <c r="A231" s="84" t="s">
        <v>2385</v>
      </c>
    </row>
    <row r="232" spans="1:1" x14ac:dyDescent="0.2">
      <c r="A232" s="84" t="s">
        <v>2386</v>
      </c>
    </row>
    <row r="233" spans="1:1" x14ac:dyDescent="0.2">
      <c r="A233" s="84" t="s">
        <v>1308</v>
      </c>
    </row>
    <row r="234" spans="1:1" x14ac:dyDescent="0.2">
      <c r="A234" s="84" t="s">
        <v>2387</v>
      </c>
    </row>
    <row r="235" spans="1:1" x14ac:dyDescent="0.2">
      <c r="A235" s="84" t="s">
        <v>2388</v>
      </c>
    </row>
    <row r="236" spans="1:1" x14ac:dyDescent="0.2">
      <c r="A236" s="51" t="s">
        <v>1661</v>
      </c>
    </row>
    <row r="237" spans="1:1" ht="15" x14ac:dyDescent="0.2">
      <c r="A237" s="82"/>
    </row>
    <row r="238" spans="1:1" x14ac:dyDescent="0.2">
      <c r="A238" s="83" t="s">
        <v>2176</v>
      </c>
    </row>
    <row r="239" spans="1:1" x14ac:dyDescent="0.2">
      <c r="A239" s="84" t="s">
        <v>820</v>
      </c>
    </row>
    <row r="240" spans="1:1" x14ac:dyDescent="0.2">
      <c r="A240" s="84" t="s">
        <v>2389</v>
      </c>
    </row>
    <row r="241" spans="1:1" x14ac:dyDescent="0.2">
      <c r="A241" s="84" t="s">
        <v>2167</v>
      </c>
    </row>
    <row r="242" spans="1:1" x14ac:dyDescent="0.2">
      <c r="A242" s="84" t="s">
        <v>2098</v>
      </c>
    </row>
    <row r="243" spans="1:1" x14ac:dyDescent="0.2">
      <c r="A243" s="84" t="s">
        <v>3768</v>
      </c>
    </row>
    <row r="244" spans="1:1" x14ac:dyDescent="0.2">
      <c r="A244" s="84" t="s">
        <v>2382</v>
      </c>
    </row>
    <row r="245" spans="1:1" x14ac:dyDescent="0.2">
      <c r="A245" s="51" t="s">
        <v>1661</v>
      </c>
    </row>
    <row r="246" spans="1:1" ht="15" x14ac:dyDescent="0.2">
      <c r="A246" s="82"/>
    </row>
    <row r="247" spans="1:1" x14ac:dyDescent="0.2">
      <c r="A247" s="83" t="s">
        <v>2179</v>
      </c>
    </row>
    <row r="248" spans="1:1" x14ac:dyDescent="0.2">
      <c r="A248" s="84" t="s">
        <v>2084</v>
      </c>
    </row>
    <row r="249" spans="1:1" x14ac:dyDescent="0.2">
      <c r="A249" s="84" t="s">
        <v>2390</v>
      </c>
    </row>
    <row r="250" spans="1:1" x14ac:dyDescent="0.2">
      <c r="A250" s="84" t="s">
        <v>2391</v>
      </c>
    </row>
    <row r="251" spans="1:1" x14ac:dyDescent="0.2">
      <c r="A251" s="84" t="s">
        <v>2302</v>
      </c>
    </row>
    <row r="252" spans="1:1" x14ac:dyDescent="0.2">
      <c r="A252" s="84" t="s">
        <v>2305</v>
      </c>
    </row>
    <row r="253" spans="1:1" x14ac:dyDescent="0.2">
      <c r="A253" s="84" t="s">
        <v>2392</v>
      </c>
    </row>
    <row r="254" spans="1:1" x14ac:dyDescent="0.2">
      <c r="A254" s="51" t="s">
        <v>1661</v>
      </c>
    </row>
    <row r="255" spans="1:1" ht="15" x14ac:dyDescent="0.2">
      <c r="A255" s="82"/>
    </row>
    <row r="256" spans="1:1" x14ac:dyDescent="0.2">
      <c r="A256" s="83" t="s">
        <v>2182</v>
      </c>
    </row>
    <row r="257" spans="1:1" x14ac:dyDescent="0.2">
      <c r="A257" s="84" t="s">
        <v>2084</v>
      </c>
    </row>
    <row r="258" spans="1:1" x14ac:dyDescent="0.2">
      <c r="A258" s="84" t="s">
        <v>2393</v>
      </c>
    </row>
    <row r="259" spans="1:1" x14ac:dyDescent="0.2">
      <c r="A259" s="84" t="s">
        <v>2394</v>
      </c>
    </row>
    <row r="260" spans="1:1" x14ac:dyDescent="0.2">
      <c r="A260" s="84" t="s">
        <v>2367</v>
      </c>
    </row>
    <row r="261" spans="1:1" x14ac:dyDescent="0.2">
      <c r="A261" s="84" t="s">
        <v>2395</v>
      </c>
    </row>
    <row r="262" spans="1:1" x14ac:dyDescent="0.2">
      <c r="A262" s="84" t="s">
        <v>2396</v>
      </c>
    </row>
    <row r="263" spans="1:1" x14ac:dyDescent="0.2">
      <c r="A263" s="51" t="s">
        <v>1661</v>
      </c>
    </row>
    <row r="264" spans="1:1" ht="15" x14ac:dyDescent="0.2">
      <c r="A264" s="82"/>
    </row>
    <row r="265" spans="1:1" x14ac:dyDescent="0.2">
      <c r="A265" s="83" t="s">
        <v>2186</v>
      </c>
    </row>
    <row r="266" spans="1:1" x14ac:dyDescent="0.2">
      <c r="A266" s="84" t="s">
        <v>2084</v>
      </c>
    </row>
    <row r="267" spans="1:1" x14ac:dyDescent="0.2">
      <c r="A267" s="84" t="s">
        <v>2397</v>
      </c>
    </row>
    <row r="268" spans="1:1" x14ac:dyDescent="0.2">
      <c r="A268" s="84" t="s">
        <v>2398</v>
      </c>
    </row>
    <row r="269" spans="1:1" x14ac:dyDescent="0.2">
      <c r="A269" s="84" t="s">
        <v>1296</v>
      </c>
    </row>
    <row r="270" spans="1:1" x14ac:dyDescent="0.2">
      <c r="A270" s="84" t="s">
        <v>2399</v>
      </c>
    </row>
    <row r="271" spans="1:1" x14ac:dyDescent="0.2">
      <c r="A271" s="84" t="s">
        <v>2400</v>
      </c>
    </row>
    <row r="272" spans="1:1" x14ac:dyDescent="0.2">
      <c r="A272" s="51" t="s">
        <v>1661</v>
      </c>
    </row>
    <row r="273" spans="1:1" ht="15" x14ac:dyDescent="0.2">
      <c r="A273" s="82"/>
    </row>
    <row r="274" spans="1:1" x14ac:dyDescent="0.2">
      <c r="A274" s="83" t="s">
        <v>2190</v>
      </c>
    </row>
    <row r="275" spans="1:1" x14ac:dyDescent="0.2">
      <c r="A275" s="84" t="s">
        <v>2084</v>
      </c>
    </row>
    <row r="276" spans="1:1" x14ac:dyDescent="0.2">
      <c r="A276" s="84" t="s">
        <v>2401</v>
      </c>
    </row>
    <row r="277" spans="1:1" x14ac:dyDescent="0.2">
      <c r="A277" s="84" t="s">
        <v>2402</v>
      </c>
    </row>
    <row r="278" spans="1:1" x14ac:dyDescent="0.2">
      <c r="A278" s="84" t="s">
        <v>2367</v>
      </c>
    </row>
    <row r="279" spans="1:1" x14ac:dyDescent="0.2">
      <c r="A279" s="84" t="s">
        <v>2403</v>
      </c>
    </row>
    <row r="280" spans="1:1" x14ac:dyDescent="0.2">
      <c r="A280" s="84" t="s">
        <v>2404</v>
      </c>
    </row>
    <row r="281" spans="1:1" x14ac:dyDescent="0.2">
      <c r="A281" s="51" t="s">
        <v>1661</v>
      </c>
    </row>
    <row r="282" spans="1:1" ht="15" x14ac:dyDescent="0.2">
      <c r="A282" s="82"/>
    </row>
    <row r="283" spans="1:1" x14ac:dyDescent="0.2">
      <c r="A283" s="83" t="s">
        <v>3769</v>
      </c>
    </row>
    <row r="284" spans="1:1" x14ac:dyDescent="0.2">
      <c r="A284" s="84" t="s">
        <v>2084</v>
      </c>
    </row>
    <row r="285" spans="1:1" x14ac:dyDescent="0.2">
      <c r="A285" s="84" t="s">
        <v>2405</v>
      </c>
    </row>
    <row r="286" spans="1:1" x14ac:dyDescent="0.2">
      <c r="A286" s="84" t="s">
        <v>2406</v>
      </c>
    </row>
    <row r="287" spans="1:1" x14ac:dyDescent="0.2">
      <c r="A287" s="84" t="s">
        <v>2302</v>
      </c>
    </row>
    <row r="288" spans="1:1" x14ac:dyDescent="0.2">
      <c r="A288" s="84" t="s">
        <v>2407</v>
      </c>
    </row>
    <row r="289" spans="1:1" x14ac:dyDescent="0.2">
      <c r="A289" s="84" t="s">
        <v>2408</v>
      </c>
    </row>
    <row r="290" spans="1:1" x14ac:dyDescent="0.2">
      <c r="A290" s="51" t="s">
        <v>1661</v>
      </c>
    </row>
    <row r="291" spans="1:1" ht="15" x14ac:dyDescent="0.2">
      <c r="A291" s="82"/>
    </row>
    <row r="292" spans="1:1" x14ac:dyDescent="0.2">
      <c r="A292" s="83" t="s">
        <v>2198</v>
      </c>
    </row>
    <row r="293" spans="1:1" x14ac:dyDescent="0.2">
      <c r="A293" s="84" t="s">
        <v>820</v>
      </c>
    </row>
    <row r="294" spans="1:1" x14ac:dyDescent="0.2">
      <c r="A294" s="84" t="s">
        <v>2409</v>
      </c>
    </row>
    <row r="295" spans="1:1" x14ac:dyDescent="0.2">
      <c r="A295" s="84" t="s">
        <v>2379</v>
      </c>
    </row>
    <row r="296" spans="1:1" x14ac:dyDescent="0.2">
      <c r="A296" s="84" t="s">
        <v>2098</v>
      </c>
    </row>
    <row r="297" spans="1:1" x14ac:dyDescent="0.2">
      <c r="A297" s="84" t="s">
        <v>2356</v>
      </c>
    </row>
    <row r="298" spans="1:1" x14ac:dyDescent="0.2">
      <c r="A298" s="84" t="s">
        <v>2410</v>
      </c>
    </row>
    <row r="299" spans="1:1" x14ac:dyDescent="0.2">
      <c r="A299" s="51" t="s">
        <v>1661</v>
      </c>
    </row>
    <row r="300" spans="1:1" ht="15" x14ac:dyDescent="0.2">
      <c r="A300" s="82"/>
    </row>
    <row r="301" spans="1:1" x14ac:dyDescent="0.2">
      <c r="A301" s="83" t="s">
        <v>2201</v>
      </c>
    </row>
    <row r="302" spans="1:1" x14ac:dyDescent="0.2">
      <c r="A302" s="84" t="s">
        <v>820</v>
      </c>
    </row>
    <row r="303" spans="1:1" x14ac:dyDescent="0.2">
      <c r="A303" s="84" t="s">
        <v>2411</v>
      </c>
    </row>
    <row r="304" spans="1:1" x14ac:dyDescent="0.2">
      <c r="A304" s="84" t="s">
        <v>2379</v>
      </c>
    </row>
    <row r="305" spans="1:1" x14ac:dyDescent="0.2">
      <c r="A305" s="84" t="s">
        <v>2098</v>
      </c>
    </row>
    <row r="306" spans="1:1" x14ac:dyDescent="0.2">
      <c r="A306" s="84" t="s">
        <v>2356</v>
      </c>
    </row>
    <row r="307" spans="1:1" x14ac:dyDescent="0.2">
      <c r="A307" s="84" t="s">
        <v>2412</v>
      </c>
    </row>
    <row r="308" spans="1:1" x14ac:dyDescent="0.2">
      <c r="A308" s="51" t="s">
        <v>1661</v>
      </c>
    </row>
    <row r="309" spans="1:1" ht="15" x14ac:dyDescent="0.2">
      <c r="A309" s="82"/>
    </row>
    <row r="310" spans="1:1" x14ac:dyDescent="0.2">
      <c r="A310" s="83" t="s">
        <v>2204</v>
      </c>
    </row>
    <row r="311" spans="1:1" x14ac:dyDescent="0.2">
      <c r="A311" s="84" t="s">
        <v>2084</v>
      </c>
    </row>
    <row r="312" spans="1:1" x14ac:dyDescent="0.2">
      <c r="A312" s="84" t="s">
        <v>2413</v>
      </c>
    </row>
    <row r="313" spans="1:1" x14ac:dyDescent="0.2">
      <c r="A313" s="84" t="s">
        <v>2414</v>
      </c>
    </row>
    <row r="314" spans="1:1" x14ac:dyDescent="0.2">
      <c r="A314" s="84" t="s">
        <v>2415</v>
      </c>
    </row>
    <row r="315" spans="1:1" x14ac:dyDescent="0.2">
      <c r="A315" s="84" t="s">
        <v>2416</v>
      </c>
    </row>
    <row r="316" spans="1:1" x14ac:dyDescent="0.2">
      <c r="A316" s="84" t="s">
        <v>2417</v>
      </c>
    </row>
    <row r="317" spans="1:1" x14ac:dyDescent="0.2">
      <c r="A317" s="51" t="s">
        <v>1661</v>
      </c>
    </row>
    <row r="318" spans="1:1" ht="15" x14ac:dyDescent="0.2">
      <c r="A318" s="82"/>
    </row>
    <row r="319" spans="1:1" x14ac:dyDescent="0.2">
      <c r="A319" s="83" t="s">
        <v>2210</v>
      </c>
    </row>
    <row r="320" spans="1:1" x14ac:dyDescent="0.2">
      <c r="A320" s="84" t="s">
        <v>2084</v>
      </c>
    </row>
    <row r="321" spans="1:1" x14ac:dyDescent="0.2">
      <c r="A321" s="84" t="s">
        <v>2418</v>
      </c>
    </row>
    <row r="322" spans="1:1" x14ac:dyDescent="0.2">
      <c r="A322" s="84" t="s">
        <v>2419</v>
      </c>
    </row>
    <row r="323" spans="1:1" x14ac:dyDescent="0.2">
      <c r="A323" s="84" t="s">
        <v>2420</v>
      </c>
    </row>
    <row r="324" spans="1:1" x14ac:dyDescent="0.2">
      <c r="A324" s="84" t="s">
        <v>2421</v>
      </c>
    </row>
    <row r="325" spans="1:1" x14ac:dyDescent="0.2">
      <c r="A325" s="84" t="s">
        <v>2422</v>
      </c>
    </row>
    <row r="326" spans="1:1" x14ac:dyDescent="0.2">
      <c r="A326" s="51" t="s">
        <v>1661</v>
      </c>
    </row>
    <row r="327" spans="1:1" ht="15" x14ac:dyDescent="0.2">
      <c r="A327" s="82"/>
    </row>
    <row r="328" spans="1:1" x14ac:dyDescent="0.2">
      <c r="A328" s="83" t="s">
        <v>2216</v>
      </c>
    </row>
    <row r="329" spans="1:1" x14ac:dyDescent="0.2">
      <c r="A329" s="84" t="s">
        <v>2084</v>
      </c>
    </row>
    <row r="330" spans="1:1" x14ac:dyDescent="0.2">
      <c r="A330" s="84" t="s">
        <v>2423</v>
      </c>
    </row>
    <row r="331" spans="1:1" x14ac:dyDescent="0.2">
      <c r="A331" s="84" t="s">
        <v>2297</v>
      </c>
    </row>
    <row r="332" spans="1:1" x14ac:dyDescent="0.2">
      <c r="A332" s="84" t="s">
        <v>2170</v>
      </c>
    </row>
    <row r="333" spans="1:1" x14ac:dyDescent="0.2">
      <c r="A333" s="84" t="s">
        <v>1154</v>
      </c>
    </row>
    <row r="334" spans="1:1" x14ac:dyDescent="0.2">
      <c r="A334" s="84" t="s">
        <v>1946</v>
      </c>
    </row>
    <row r="335" spans="1:1" x14ac:dyDescent="0.2">
      <c r="A335" s="51" t="s">
        <v>1661</v>
      </c>
    </row>
    <row r="336" spans="1:1" ht="15" x14ac:dyDescent="0.2">
      <c r="A336" s="82"/>
    </row>
    <row r="337" spans="1:1" x14ac:dyDescent="0.2">
      <c r="A337" s="83" t="s">
        <v>2218</v>
      </c>
    </row>
    <row r="338" spans="1:1" x14ac:dyDescent="0.2">
      <c r="A338" s="84" t="s">
        <v>2084</v>
      </c>
    </row>
    <row r="339" spans="1:1" x14ac:dyDescent="0.2">
      <c r="A339" s="84" t="s">
        <v>2424</v>
      </c>
    </row>
    <row r="340" spans="1:1" x14ac:dyDescent="0.2">
      <c r="A340" s="84" t="s">
        <v>2297</v>
      </c>
    </row>
    <row r="341" spans="1:1" x14ac:dyDescent="0.2">
      <c r="A341" s="84" t="s">
        <v>2425</v>
      </c>
    </row>
    <row r="342" spans="1:1" x14ac:dyDescent="0.2">
      <c r="A342" s="84" t="s">
        <v>2426</v>
      </c>
    </row>
    <row r="343" spans="1:1" x14ac:dyDescent="0.2">
      <c r="A343" s="84" t="s">
        <v>2357</v>
      </c>
    </row>
    <row r="344" spans="1:1" x14ac:dyDescent="0.2">
      <c r="A344" s="51" t="s">
        <v>1661</v>
      </c>
    </row>
    <row r="345" spans="1:1" ht="15" x14ac:dyDescent="0.2">
      <c r="A345" s="82"/>
    </row>
    <row r="346" spans="1:1" x14ac:dyDescent="0.2">
      <c r="A346" s="83" t="s">
        <v>2222</v>
      </c>
    </row>
    <row r="347" spans="1:1" x14ac:dyDescent="0.2">
      <c r="A347" s="84" t="s">
        <v>2084</v>
      </c>
    </row>
    <row r="348" spans="1:1" x14ac:dyDescent="0.2">
      <c r="A348" s="84" t="s">
        <v>2427</v>
      </c>
    </row>
    <row r="349" spans="1:1" x14ac:dyDescent="0.2">
      <c r="A349" s="84" t="s">
        <v>2428</v>
      </c>
    </row>
    <row r="350" spans="1:1" x14ac:dyDescent="0.2">
      <c r="A350" s="84" t="s">
        <v>2429</v>
      </c>
    </row>
    <row r="351" spans="1:1" x14ac:dyDescent="0.2">
      <c r="A351" s="84" t="s">
        <v>2430</v>
      </c>
    </row>
    <row r="352" spans="1:1" x14ac:dyDescent="0.2">
      <c r="A352" s="84" t="s">
        <v>2431</v>
      </c>
    </row>
    <row r="353" spans="1:1" x14ac:dyDescent="0.2">
      <c r="A353" s="51" t="s">
        <v>1661</v>
      </c>
    </row>
    <row r="354" spans="1:1" ht="15" x14ac:dyDescent="0.2">
      <c r="A354" s="82"/>
    </row>
    <row r="355" spans="1:1" x14ac:dyDescent="0.2">
      <c r="A355" s="83" t="s">
        <v>2227</v>
      </c>
    </row>
    <row r="356" spans="1:1" x14ac:dyDescent="0.2">
      <c r="A356" s="84" t="s">
        <v>2084</v>
      </c>
    </row>
    <row r="357" spans="1:1" x14ac:dyDescent="0.2">
      <c r="A357" s="84" t="s">
        <v>2432</v>
      </c>
    </row>
    <row r="358" spans="1:1" x14ac:dyDescent="0.2">
      <c r="A358" s="84" t="s">
        <v>2297</v>
      </c>
    </row>
    <row r="359" spans="1:1" x14ac:dyDescent="0.2">
      <c r="A359" s="84" t="s">
        <v>2433</v>
      </c>
    </row>
    <row r="360" spans="1:1" x14ac:dyDescent="0.2">
      <c r="A360" s="84" t="s">
        <v>1154</v>
      </c>
    </row>
    <row r="361" spans="1:1" x14ac:dyDescent="0.2">
      <c r="A361" s="84" t="s">
        <v>2434</v>
      </c>
    </row>
    <row r="362" spans="1:1" x14ac:dyDescent="0.2">
      <c r="A362" s="51" t="s">
        <v>1661</v>
      </c>
    </row>
    <row r="363" spans="1:1" ht="15" x14ac:dyDescent="0.2">
      <c r="A363" s="82"/>
    </row>
    <row r="364" spans="1:1" x14ac:dyDescent="0.2">
      <c r="A364" s="83" t="s">
        <v>2230</v>
      </c>
    </row>
    <row r="365" spans="1:1" x14ac:dyDescent="0.2">
      <c r="A365" s="84" t="s">
        <v>2084</v>
      </c>
    </row>
    <row r="366" spans="1:1" x14ac:dyDescent="0.2">
      <c r="A366" s="84" t="s">
        <v>2435</v>
      </c>
    </row>
    <row r="367" spans="1:1" x14ac:dyDescent="0.2">
      <c r="A367" s="84" t="s">
        <v>2436</v>
      </c>
    </row>
    <row r="368" spans="1:1" x14ac:dyDescent="0.2">
      <c r="A368" s="84" t="s">
        <v>2170</v>
      </c>
    </row>
    <row r="369" spans="1:1" x14ac:dyDescent="0.2">
      <c r="A369" s="84" t="s">
        <v>2437</v>
      </c>
    </row>
    <row r="370" spans="1:1" x14ac:dyDescent="0.2">
      <c r="A370" s="84" t="s">
        <v>2438</v>
      </c>
    </row>
    <row r="371" spans="1:1" x14ac:dyDescent="0.2">
      <c r="A371" s="51" t="s">
        <v>1661</v>
      </c>
    </row>
    <row r="372" spans="1:1" ht="15" x14ac:dyDescent="0.2">
      <c r="A372" s="82"/>
    </row>
    <row r="373" spans="1:1" x14ac:dyDescent="0.2">
      <c r="A373" s="83" t="s">
        <v>2235</v>
      </c>
    </row>
    <row r="374" spans="1:1" x14ac:dyDescent="0.2">
      <c r="A374" s="84" t="s">
        <v>2084</v>
      </c>
    </row>
    <row r="375" spans="1:1" x14ac:dyDescent="0.2">
      <c r="A375" s="84" t="s">
        <v>2439</v>
      </c>
    </row>
    <row r="376" spans="1:1" x14ac:dyDescent="0.2">
      <c r="A376" s="84" t="s">
        <v>2440</v>
      </c>
    </row>
    <row r="377" spans="1:1" x14ac:dyDescent="0.2">
      <c r="A377" s="84" t="s">
        <v>1508</v>
      </c>
    </row>
    <row r="378" spans="1:1" x14ac:dyDescent="0.2">
      <c r="A378" s="84" t="s">
        <v>2441</v>
      </c>
    </row>
    <row r="379" spans="1:1" x14ac:dyDescent="0.2">
      <c r="A379" s="84" t="s">
        <v>2442</v>
      </c>
    </row>
    <row r="380" spans="1:1" x14ac:dyDescent="0.2">
      <c r="A380" s="51" t="s">
        <v>1661</v>
      </c>
    </row>
    <row r="381" spans="1:1" ht="15" x14ac:dyDescent="0.2">
      <c r="A381" s="82"/>
    </row>
    <row r="382" spans="1:1" x14ac:dyDescent="0.2">
      <c r="A382" s="83" t="s">
        <v>2240</v>
      </c>
    </row>
    <row r="383" spans="1:1" x14ac:dyDescent="0.2">
      <c r="A383" s="84" t="s">
        <v>2084</v>
      </c>
    </row>
    <row r="384" spans="1:1" x14ac:dyDescent="0.2">
      <c r="A384" s="84" t="s">
        <v>2443</v>
      </c>
    </row>
    <row r="385" spans="1:1" x14ac:dyDescent="0.2">
      <c r="A385" s="84" t="s">
        <v>2297</v>
      </c>
    </row>
    <row r="386" spans="1:1" x14ac:dyDescent="0.2">
      <c r="A386" s="84" t="s">
        <v>2302</v>
      </c>
    </row>
    <row r="387" spans="1:1" x14ac:dyDescent="0.2">
      <c r="A387" s="84" t="s">
        <v>2444</v>
      </c>
    </row>
    <row r="388" spans="1:1" x14ac:dyDescent="0.2">
      <c r="A388" s="84" t="s">
        <v>1969</v>
      </c>
    </row>
    <row r="389" spans="1:1" x14ac:dyDescent="0.2">
      <c r="A389" s="51" t="s">
        <v>1661</v>
      </c>
    </row>
    <row r="390" spans="1:1" ht="15" x14ac:dyDescent="0.2">
      <c r="A390" s="82"/>
    </row>
    <row r="391" spans="1:1" x14ac:dyDescent="0.2">
      <c r="A391" s="83" t="s">
        <v>2243</v>
      </c>
    </row>
    <row r="392" spans="1:1" x14ac:dyDescent="0.2">
      <c r="A392" s="84" t="s">
        <v>2445</v>
      </c>
    </row>
    <row r="393" spans="1:1" x14ac:dyDescent="0.2">
      <c r="A393" s="84" t="s">
        <v>2446</v>
      </c>
    </row>
    <row r="394" spans="1:1" x14ac:dyDescent="0.2">
      <c r="A394" s="84" t="s">
        <v>2447</v>
      </c>
    </row>
    <row r="395" spans="1:1" x14ac:dyDescent="0.2">
      <c r="A395" s="84" t="s">
        <v>1726</v>
      </c>
    </row>
    <row r="396" spans="1:1" x14ac:dyDescent="0.2">
      <c r="A396" s="84" t="s">
        <v>1727</v>
      </c>
    </row>
    <row r="397" spans="1:1" x14ac:dyDescent="0.2">
      <c r="A397" s="84" t="s">
        <v>2448</v>
      </c>
    </row>
    <row r="398" spans="1:1" x14ac:dyDescent="0.2">
      <c r="A398" s="51" t="s">
        <v>1661</v>
      </c>
    </row>
    <row r="399" spans="1:1" ht="15" x14ac:dyDescent="0.2">
      <c r="A399" s="82"/>
    </row>
    <row r="400" spans="1:1" x14ac:dyDescent="0.2">
      <c r="A400" s="83" t="s">
        <v>2248</v>
      </c>
    </row>
    <row r="401" spans="1:1" x14ac:dyDescent="0.2">
      <c r="A401" s="84" t="s">
        <v>820</v>
      </c>
    </row>
    <row r="402" spans="1:1" x14ac:dyDescent="0.2">
      <c r="A402" s="84" t="s">
        <v>2449</v>
      </c>
    </row>
    <row r="403" spans="1:1" x14ac:dyDescent="0.2">
      <c r="A403" s="84" t="s">
        <v>2297</v>
      </c>
    </row>
    <row r="404" spans="1:1" x14ac:dyDescent="0.2">
      <c r="A404" s="84" t="s">
        <v>2302</v>
      </c>
    </row>
    <row r="405" spans="1:1" x14ac:dyDescent="0.2">
      <c r="A405" s="84" t="s">
        <v>2335</v>
      </c>
    </row>
    <row r="406" spans="1:1" x14ac:dyDescent="0.2">
      <c r="A406" s="84" t="s">
        <v>2450</v>
      </c>
    </row>
    <row r="407" spans="1:1" x14ac:dyDescent="0.2">
      <c r="A407" s="51" t="s">
        <v>1661</v>
      </c>
    </row>
    <row r="408" spans="1:1" ht="15" x14ac:dyDescent="0.2">
      <c r="A408" s="82"/>
    </row>
    <row r="409" spans="1:1" x14ac:dyDescent="0.2">
      <c r="A409" s="83" t="s">
        <v>2251</v>
      </c>
    </row>
    <row r="410" spans="1:1" x14ac:dyDescent="0.2">
      <c r="A410" s="84" t="s">
        <v>2084</v>
      </c>
    </row>
    <row r="411" spans="1:1" x14ac:dyDescent="0.2">
      <c r="A411" s="84" t="s">
        <v>2451</v>
      </c>
    </row>
    <row r="412" spans="1:1" x14ac:dyDescent="0.2">
      <c r="A412" s="84" t="s">
        <v>2167</v>
      </c>
    </row>
    <row r="413" spans="1:1" x14ac:dyDescent="0.2">
      <c r="A413" s="84" t="s">
        <v>2098</v>
      </c>
    </row>
    <row r="414" spans="1:1" x14ac:dyDescent="0.2">
      <c r="A414" s="84" t="s">
        <v>2356</v>
      </c>
    </row>
    <row r="415" spans="1:1" x14ac:dyDescent="0.2">
      <c r="A415" s="84" t="s">
        <v>2452</v>
      </c>
    </row>
    <row r="416" spans="1:1" x14ac:dyDescent="0.2">
      <c r="A416" s="51" t="s">
        <v>1661</v>
      </c>
    </row>
    <row r="417" spans="1:1" ht="15" x14ac:dyDescent="0.2">
      <c r="A417" s="82"/>
    </row>
    <row r="418" spans="1:1" x14ac:dyDescent="0.2">
      <c r="A418" s="83" t="s">
        <v>2253</v>
      </c>
    </row>
    <row r="419" spans="1:1" x14ac:dyDescent="0.2">
      <c r="A419" s="84" t="s">
        <v>2084</v>
      </c>
    </row>
    <row r="420" spans="1:1" x14ac:dyDescent="0.2">
      <c r="A420" s="84" t="s">
        <v>2453</v>
      </c>
    </row>
    <row r="421" spans="1:1" x14ac:dyDescent="0.2">
      <c r="A421" s="84" t="s">
        <v>2297</v>
      </c>
    </row>
    <row r="422" spans="1:1" x14ac:dyDescent="0.2">
      <c r="A422" s="84" t="s">
        <v>2302</v>
      </c>
    </row>
    <row r="423" spans="1:1" x14ac:dyDescent="0.2">
      <c r="A423" s="84" t="s">
        <v>2335</v>
      </c>
    </row>
    <row r="424" spans="1:1" x14ac:dyDescent="0.2">
      <c r="A424" s="84" t="s">
        <v>2454</v>
      </c>
    </row>
    <row r="425" spans="1:1" x14ac:dyDescent="0.2">
      <c r="A425" s="51" t="s">
        <v>1661</v>
      </c>
    </row>
    <row r="426" spans="1:1" ht="15" x14ac:dyDescent="0.2">
      <c r="A426" s="82"/>
    </row>
    <row r="427" spans="1:1" x14ac:dyDescent="0.2">
      <c r="A427" s="83" t="s">
        <v>2255</v>
      </c>
    </row>
    <row r="428" spans="1:1" x14ac:dyDescent="0.2">
      <c r="A428" s="84" t="s">
        <v>2084</v>
      </c>
    </row>
    <row r="429" spans="1:1" x14ac:dyDescent="0.2">
      <c r="A429" s="84" t="s">
        <v>2455</v>
      </c>
    </row>
    <row r="430" spans="1:1" x14ac:dyDescent="0.2">
      <c r="A430" s="84" t="s">
        <v>2456</v>
      </c>
    </row>
    <row r="431" spans="1:1" x14ac:dyDescent="0.2">
      <c r="A431" s="84" t="s">
        <v>2170</v>
      </c>
    </row>
    <row r="432" spans="1:1" x14ac:dyDescent="0.2">
      <c r="A432" s="84" t="s">
        <v>2457</v>
      </c>
    </row>
    <row r="433" spans="1:1" x14ac:dyDescent="0.2">
      <c r="A433" s="84" t="s">
        <v>2458</v>
      </c>
    </row>
    <row r="434" spans="1:1" x14ac:dyDescent="0.2">
      <c r="A434" s="51" t="s">
        <v>1661</v>
      </c>
    </row>
    <row r="435" spans="1:1" ht="15" x14ac:dyDescent="0.2">
      <c r="A435" s="82"/>
    </row>
    <row r="436" spans="1:1" x14ac:dyDescent="0.2">
      <c r="A436" s="83" t="s">
        <v>2259</v>
      </c>
    </row>
    <row r="437" spans="1:1" x14ac:dyDescent="0.2">
      <c r="A437" s="84" t="s">
        <v>2084</v>
      </c>
    </row>
    <row r="438" spans="1:1" x14ac:dyDescent="0.2">
      <c r="A438" s="84" t="s">
        <v>2459</v>
      </c>
    </row>
    <row r="439" spans="1:1" x14ac:dyDescent="0.2">
      <c r="A439" s="84" t="s">
        <v>2167</v>
      </c>
    </row>
    <row r="440" spans="1:1" x14ac:dyDescent="0.2">
      <c r="A440" s="84" t="s">
        <v>2170</v>
      </c>
    </row>
    <row r="441" spans="1:1" x14ac:dyDescent="0.2">
      <c r="A441" s="84" t="s">
        <v>2356</v>
      </c>
    </row>
    <row r="442" spans="1:1" x14ac:dyDescent="0.2">
      <c r="A442" s="84" t="s">
        <v>2460</v>
      </c>
    </row>
    <row r="443" spans="1:1" x14ac:dyDescent="0.2">
      <c r="A443" s="51" t="s">
        <v>1661</v>
      </c>
    </row>
    <row r="444" spans="1:1" ht="15" x14ac:dyDescent="0.2">
      <c r="A444" s="82"/>
    </row>
    <row r="445" spans="1:1" x14ac:dyDescent="0.2">
      <c r="A445" s="83" t="s">
        <v>3461</v>
      </c>
    </row>
    <row r="446" spans="1:1" x14ac:dyDescent="0.2">
      <c r="A446" s="84" t="s">
        <v>2084</v>
      </c>
    </row>
    <row r="447" spans="1:1" x14ac:dyDescent="0.2">
      <c r="A447" s="84" t="s">
        <v>2461</v>
      </c>
    </row>
    <row r="448" spans="1:1" x14ac:dyDescent="0.2">
      <c r="A448" s="84" t="s">
        <v>2462</v>
      </c>
    </row>
    <row r="449" spans="1:1" x14ac:dyDescent="0.2">
      <c r="A449" s="84" t="s">
        <v>2203</v>
      </c>
    </row>
    <row r="450" spans="1:1" x14ac:dyDescent="0.2">
      <c r="A450" s="84" t="s">
        <v>2463</v>
      </c>
    </row>
    <row r="451" spans="1:1" x14ac:dyDescent="0.2">
      <c r="A451" s="84" t="s">
        <v>2464</v>
      </c>
    </row>
    <row r="452" spans="1:1" x14ac:dyDescent="0.2">
      <c r="A452" s="51" t="s">
        <v>1661</v>
      </c>
    </row>
    <row r="453" spans="1:1" ht="15" x14ac:dyDescent="0.2">
      <c r="A453" s="82"/>
    </row>
    <row r="454" spans="1:1" x14ac:dyDescent="0.2">
      <c r="A454" s="83" t="s">
        <v>2266</v>
      </c>
    </row>
    <row r="455" spans="1:1" x14ac:dyDescent="0.2">
      <c r="A455" s="84" t="s">
        <v>2084</v>
      </c>
    </row>
    <row r="456" spans="1:1" x14ac:dyDescent="0.2">
      <c r="A456" s="84" t="s">
        <v>2465</v>
      </c>
    </row>
    <row r="457" spans="1:1" x14ac:dyDescent="0.2">
      <c r="A457" s="84" t="s">
        <v>2167</v>
      </c>
    </row>
    <row r="458" spans="1:1" x14ac:dyDescent="0.2">
      <c r="A458" s="84" t="s">
        <v>2098</v>
      </c>
    </row>
    <row r="459" spans="1:1" x14ac:dyDescent="0.2">
      <c r="A459" s="84" t="s">
        <v>2466</v>
      </c>
    </row>
    <row r="460" spans="1:1" x14ac:dyDescent="0.2">
      <c r="A460" s="84" t="s">
        <v>2467</v>
      </c>
    </row>
    <row r="461" spans="1:1" x14ac:dyDescent="0.2">
      <c r="A461" s="51" t="s">
        <v>1661</v>
      </c>
    </row>
    <row r="462" spans="1:1" ht="15" x14ac:dyDescent="0.2">
      <c r="A462" s="82"/>
    </row>
    <row r="463" spans="1:1" x14ac:dyDescent="0.2">
      <c r="A463" s="83" t="s">
        <v>2268</v>
      </c>
    </row>
    <row r="464" spans="1:1" x14ac:dyDescent="0.2">
      <c r="A464" s="84" t="s">
        <v>2084</v>
      </c>
    </row>
    <row r="465" spans="1:1" x14ac:dyDescent="0.2">
      <c r="A465" s="84" t="s">
        <v>2468</v>
      </c>
    </row>
    <row r="466" spans="1:1" x14ac:dyDescent="0.2">
      <c r="A466" s="84" t="s">
        <v>2167</v>
      </c>
    </row>
    <row r="467" spans="1:1" x14ac:dyDescent="0.2">
      <c r="A467" s="84" t="s">
        <v>2170</v>
      </c>
    </row>
    <row r="468" spans="1:1" x14ac:dyDescent="0.2">
      <c r="A468" s="84" t="s">
        <v>2469</v>
      </c>
    </row>
    <row r="469" spans="1:1" x14ac:dyDescent="0.2">
      <c r="A469" s="84" t="s">
        <v>2073</v>
      </c>
    </row>
    <row r="470" spans="1:1" x14ac:dyDescent="0.2">
      <c r="A470" s="51" t="s">
        <v>1661</v>
      </c>
    </row>
    <row r="471" spans="1:1" ht="15" x14ac:dyDescent="0.2">
      <c r="A471" s="82"/>
    </row>
    <row r="472" spans="1:1" x14ac:dyDescent="0.2">
      <c r="A472" s="83" t="s">
        <v>2270</v>
      </c>
    </row>
    <row r="473" spans="1:1" x14ac:dyDescent="0.2">
      <c r="A473" s="84" t="s">
        <v>2084</v>
      </c>
    </row>
    <row r="474" spans="1:1" x14ac:dyDescent="0.2">
      <c r="A474" s="84" t="s">
        <v>2470</v>
      </c>
    </row>
    <row r="475" spans="1:1" x14ac:dyDescent="0.2">
      <c r="A475" s="84" t="s">
        <v>2471</v>
      </c>
    </row>
    <row r="476" spans="1:1" x14ac:dyDescent="0.2">
      <c r="A476" s="84" t="s">
        <v>2098</v>
      </c>
    </row>
    <row r="477" spans="1:1" x14ac:dyDescent="0.2">
      <c r="A477" s="84" t="s">
        <v>2466</v>
      </c>
    </row>
    <row r="478" spans="1:1" x14ac:dyDescent="0.2">
      <c r="A478" s="84" t="s">
        <v>2008</v>
      </c>
    </row>
    <row r="479" spans="1:1" x14ac:dyDescent="0.2">
      <c r="A479" s="51" t="s">
        <v>1661</v>
      </c>
    </row>
    <row r="480" spans="1:1" ht="15" x14ac:dyDescent="0.2">
      <c r="A480" s="82"/>
    </row>
    <row r="481" spans="1:1" x14ac:dyDescent="0.2">
      <c r="A481" s="83" t="s">
        <v>2274</v>
      </c>
    </row>
    <row r="482" spans="1:1" x14ac:dyDescent="0.2">
      <c r="A482" s="84" t="s">
        <v>2084</v>
      </c>
    </row>
    <row r="483" spans="1:1" x14ac:dyDescent="0.2">
      <c r="A483" s="84" t="s">
        <v>2472</v>
      </c>
    </row>
    <row r="484" spans="1:1" x14ac:dyDescent="0.2">
      <c r="A484" s="84" t="s">
        <v>2355</v>
      </c>
    </row>
    <row r="485" spans="1:1" x14ac:dyDescent="0.2">
      <c r="A485" s="84" t="s">
        <v>2098</v>
      </c>
    </row>
    <row r="486" spans="1:1" x14ac:dyDescent="0.2">
      <c r="A486" s="84" t="s">
        <v>2101</v>
      </c>
    </row>
    <row r="487" spans="1:1" x14ac:dyDescent="0.2">
      <c r="A487" s="84" t="s">
        <v>2473</v>
      </c>
    </row>
    <row r="488" spans="1:1" x14ac:dyDescent="0.2">
      <c r="A488" s="51" t="s">
        <v>1661</v>
      </c>
    </row>
    <row r="489" spans="1:1" ht="15" x14ac:dyDescent="0.2">
      <c r="A489" s="82"/>
    </row>
    <row r="490" spans="1:1" x14ac:dyDescent="0.2">
      <c r="A490" s="83" t="s">
        <v>2277</v>
      </c>
    </row>
    <row r="491" spans="1:1" x14ac:dyDescent="0.2">
      <c r="A491" s="84" t="s">
        <v>820</v>
      </c>
    </row>
    <row r="492" spans="1:1" x14ac:dyDescent="0.2">
      <c r="A492" s="84" t="s">
        <v>2474</v>
      </c>
    </row>
    <row r="493" spans="1:1" x14ac:dyDescent="0.2">
      <c r="A493" s="84" t="s">
        <v>2475</v>
      </c>
    </row>
    <row r="494" spans="1:1" x14ac:dyDescent="0.2">
      <c r="A494" s="84" t="s">
        <v>2476</v>
      </c>
    </row>
    <row r="495" spans="1:1" x14ac:dyDescent="0.2">
      <c r="A495" s="84" t="s">
        <v>2477</v>
      </c>
    </row>
    <row r="496" spans="1:1" x14ac:dyDescent="0.2">
      <c r="A496" s="84" t="s">
        <v>2478</v>
      </c>
    </row>
    <row r="497" spans="1:1" x14ac:dyDescent="0.2">
      <c r="A497" s="51" t="s">
        <v>1661</v>
      </c>
    </row>
    <row r="498" spans="1:1" ht="15" x14ac:dyDescent="0.2">
      <c r="A498" s="82"/>
    </row>
    <row r="499" spans="1:1" x14ac:dyDescent="0.2">
      <c r="A499" s="83" t="s">
        <v>2282</v>
      </c>
    </row>
    <row r="500" spans="1:1" x14ac:dyDescent="0.2">
      <c r="A500" s="84" t="s">
        <v>2084</v>
      </c>
    </row>
    <row r="501" spans="1:1" x14ac:dyDescent="0.2">
      <c r="A501" s="84" t="s">
        <v>2479</v>
      </c>
    </row>
    <row r="502" spans="1:1" x14ac:dyDescent="0.2">
      <c r="A502" s="84" t="s">
        <v>2480</v>
      </c>
    </row>
    <row r="503" spans="1:1" x14ac:dyDescent="0.2">
      <c r="A503" s="84" t="s">
        <v>2203</v>
      </c>
    </row>
    <row r="504" spans="1:1" x14ac:dyDescent="0.2">
      <c r="A504" s="84" t="s">
        <v>2481</v>
      </c>
    </row>
    <row r="505" spans="1:1" x14ac:dyDescent="0.2">
      <c r="A505" s="84" t="s">
        <v>2482</v>
      </c>
    </row>
    <row r="506" spans="1:1" x14ac:dyDescent="0.2">
      <c r="A506" s="51" t="s">
        <v>1661</v>
      </c>
    </row>
    <row r="507" spans="1:1" ht="15" x14ac:dyDescent="0.2">
      <c r="A507" s="82"/>
    </row>
    <row r="508" spans="1:1" x14ac:dyDescent="0.2">
      <c r="A508" s="83" t="s">
        <v>2286</v>
      </c>
    </row>
    <row r="509" spans="1:1" x14ac:dyDescent="0.2">
      <c r="A509" s="84" t="s">
        <v>2084</v>
      </c>
    </row>
    <row r="510" spans="1:1" x14ac:dyDescent="0.2">
      <c r="A510" s="84" t="s">
        <v>2483</v>
      </c>
    </row>
    <row r="511" spans="1:1" x14ac:dyDescent="0.2">
      <c r="A511" s="84" t="s">
        <v>2355</v>
      </c>
    </row>
    <row r="512" spans="1:1" x14ac:dyDescent="0.2">
      <c r="A512" s="84" t="s">
        <v>2170</v>
      </c>
    </row>
    <row r="513" spans="1:1" x14ac:dyDescent="0.2">
      <c r="A513" s="84" t="s">
        <v>2351</v>
      </c>
    </row>
    <row r="514" spans="1:1" x14ac:dyDescent="0.2">
      <c r="A514" s="84" t="s">
        <v>2484</v>
      </c>
    </row>
    <row r="515" spans="1:1" x14ac:dyDescent="0.2">
      <c r="A515" s="51" t="s">
        <v>1661</v>
      </c>
    </row>
    <row r="516" spans="1:1" ht="15" x14ac:dyDescent="0.2">
      <c r="A516" s="82"/>
    </row>
    <row r="517" spans="1:1" x14ac:dyDescent="0.2">
      <c r="A517" s="83" t="s">
        <v>2288</v>
      </c>
    </row>
    <row r="518" spans="1:1" x14ac:dyDescent="0.2">
      <c r="A518" s="84" t="s">
        <v>2084</v>
      </c>
    </row>
    <row r="519" spans="1:1" x14ac:dyDescent="0.2">
      <c r="A519" s="84" t="s">
        <v>2485</v>
      </c>
    </row>
    <row r="520" spans="1:1" x14ac:dyDescent="0.2">
      <c r="A520" s="84" t="s">
        <v>2379</v>
      </c>
    </row>
    <row r="521" spans="1:1" x14ac:dyDescent="0.2">
      <c r="A521" s="84" t="s">
        <v>2098</v>
      </c>
    </row>
    <row r="522" spans="1:1" x14ac:dyDescent="0.2">
      <c r="A522" s="84" t="s">
        <v>2351</v>
      </c>
    </row>
    <row r="523" spans="1:1" x14ac:dyDescent="0.2">
      <c r="A523" s="84" t="s">
        <v>2486</v>
      </c>
    </row>
    <row r="524" spans="1:1" x14ac:dyDescent="0.2">
      <c r="A524" s="51" t="s">
        <v>1661</v>
      </c>
    </row>
    <row r="525" spans="1:1" ht="15" x14ac:dyDescent="0.2">
      <c r="A525" s="82"/>
    </row>
    <row r="526" spans="1:1" x14ac:dyDescent="0.2">
      <c r="A526" s="83" t="s">
        <v>2290</v>
      </c>
    </row>
    <row r="527" spans="1:1" x14ac:dyDescent="0.2">
      <c r="A527" s="84" t="s">
        <v>2084</v>
      </c>
    </row>
    <row r="528" spans="1:1" x14ac:dyDescent="0.2">
      <c r="A528" s="84" t="s">
        <v>2487</v>
      </c>
    </row>
    <row r="529" spans="1:1" x14ac:dyDescent="0.2">
      <c r="A529" s="84" t="s">
        <v>2488</v>
      </c>
    </row>
    <row r="530" spans="1:1" x14ac:dyDescent="0.2">
      <c r="A530" s="84" t="s">
        <v>2415</v>
      </c>
    </row>
    <row r="531" spans="1:1" x14ac:dyDescent="0.2">
      <c r="A531" s="84" t="s">
        <v>2416</v>
      </c>
    </row>
    <row r="532" spans="1:1" x14ac:dyDescent="0.2">
      <c r="A532" s="84" t="s">
        <v>2345</v>
      </c>
    </row>
    <row r="533" spans="1:1" x14ac:dyDescent="0.2">
      <c r="A533" s="51" t="s">
        <v>1661</v>
      </c>
    </row>
    <row r="534" spans="1:1" ht="15" x14ac:dyDescent="0.2">
      <c r="A534" s="82"/>
    </row>
    <row r="535" spans="1:1" x14ac:dyDescent="0.2">
      <c r="A535" s="83" t="s">
        <v>2294</v>
      </c>
    </row>
    <row r="536" spans="1:1" x14ac:dyDescent="0.2">
      <c r="A536" s="84" t="s">
        <v>2084</v>
      </c>
    </row>
    <row r="537" spans="1:1" x14ac:dyDescent="0.2">
      <c r="A537" s="84" t="s">
        <v>2489</v>
      </c>
    </row>
    <row r="538" spans="1:1" x14ac:dyDescent="0.2">
      <c r="A538" s="84" t="s">
        <v>2490</v>
      </c>
    </row>
    <row r="539" spans="1:1" x14ac:dyDescent="0.2">
      <c r="A539" s="84" t="s">
        <v>2203</v>
      </c>
    </row>
    <row r="540" spans="1:1" x14ac:dyDescent="0.2">
      <c r="A540" s="84" t="s">
        <v>3605</v>
      </c>
    </row>
    <row r="541" spans="1:1" x14ac:dyDescent="0.2">
      <c r="A541" s="84" t="s">
        <v>2491</v>
      </c>
    </row>
    <row r="542" spans="1:1" x14ac:dyDescent="0.2">
      <c r="A542" s="51" t="s">
        <v>1661</v>
      </c>
    </row>
    <row r="543" spans="1:1" ht="15" x14ac:dyDescent="0.2">
      <c r="A543" s="82"/>
    </row>
    <row r="544" spans="1:1" x14ac:dyDescent="0.2">
      <c r="A544" s="83" t="s">
        <v>2298</v>
      </c>
    </row>
    <row r="545" spans="1:1" x14ac:dyDescent="0.2">
      <c r="A545" s="84" t="s">
        <v>2084</v>
      </c>
    </row>
    <row r="546" spans="1:1" x14ac:dyDescent="0.2">
      <c r="A546" s="84" t="s">
        <v>2492</v>
      </c>
    </row>
    <row r="547" spans="1:1" x14ac:dyDescent="0.2">
      <c r="A547" s="84" t="s">
        <v>2493</v>
      </c>
    </row>
    <row r="548" spans="1:1" x14ac:dyDescent="0.2">
      <c r="A548" s="84" t="s">
        <v>2170</v>
      </c>
    </row>
    <row r="549" spans="1:1" x14ac:dyDescent="0.2">
      <c r="A549" s="84" t="s">
        <v>2494</v>
      </c>
    </row>
    <row r="550" spans="1:1" x14ac:dyDescent="0.2">
      <c r="A550" s="84" t="s">
        <v>2495</v>
      </c>
    </row>
    <row r="551" spans="1:1" x14ac:dyDescent="0.2">
      <c r="A551" s="51" t="s">
        <v>1661</v>
      </c>
    </row>
    <row r="552" spans="1:1" ht="15" x14ac:dyDescent="0.2">
      <c r="A552" s="82"/>
    </row>
    <row r="553" spans="1:1" x14ac:dyDescent="0.2">
      <c r="A553" s="83" t="s">
        <v>3606</v>
      </c>
    </row>
    <row r="554" spans="1:1" x14ac:dyDescent="0.2">
      <c r="A554" s="84" t="s">
        <v>2084</v>
      </c>
    </row>
    <row r="555" spans="1:1" x14ac:dyDescent="0.2">
      <c r="A555" s="84" t="s">
        <v>3607</v>
      </c>
    </row>
    <row r="556" spans="1:1" x14ac:dyDescent="0.2">
      <c r="A556" s="84" t="s">
        <v>3608</v>
      </c>
    </row>
    <row r="557" spans="1:1" x14ac:dyDescent="0.2">
      <c r="A557" s="84" t="s">
        <v>2098</v>
      </c>
    </row>
    <row r="558" spans="1:1" x14ac:dyDescent="0.2">
      <c r="A558" s="84" t="s">
        <v>2101</v>
      </c>
    </row>
    <row r="559" spans="1:1" x14ac:dyDescent="0.2">
      <c r="A559" s="84" t="s">
        <v>3609</v>
      </c>
    </row>
    <row r="560" spans="1:1" x14ac:dyDescent="0.2">
      <c r="A560" s="51" t="s">
        <v>1661</v>
      </c>
    </row>
    <row r="561" spans="1:1" ht="15" x14ac:dyDescent="0.2">
      <c r="A561" s="82"/>
    </row>
    <row r="562" spans="1:1" x14ac:dyDescent="0.2">
      <c r="A562" s="83" t="s">
        <v>2303</v>
      </c>
    </row>
    <row r="563" spans="1:1" x14ac:dyDescent="0.2">
      <c r="A563" s="84" t="s">
        <v>2084</v>
      </c>
    </row>
    <row r="564" spans="1:1" x14ac:dyDescent="0.2">
      <c r="A564" s="84" t="s">
        <v>2496</v>
      </c>
    </row>
    <row r="565" spans="1:1" x14ac:dyDescent="0.2">
      <c r="A565" s="84" t="s">
        <v>2167</v>
      </c>
    </row>
    <row r="566" spans="1:1" x14ac:dyDescent="0.2">
      <c r="A566" s="84" t="s">
        <v>2098</v>
      </c>
    </row>
    <row r="567" spans="1:1" x14ac:dyDescent="0.2">
      <c r="A567" s="84" t="s">
        <v>2497</v>
      </c>
    </row>
    <row r="568" spans="1:1" x14ac:dyDescent="0.2">
      <c r="A568" s="84" t="s">
        <v>2359</v>
      </c>
    </row>
    <row r="569" spans="1:1" x14ac:dyDescent="0.2">
      <c r="A569" s="51" t="s">
        <v>1661</v>
      </c>
    </row>
    <row r="570" spans="1:1" ht="15" x14ac:dyDescent="0.2">
      <c r="A570" s="82"/>
    </row>
    <row r="571" spans="1:1" x14ac:dyDescent="0.2">
      <c r="A571" s="83" t="s">
        <v>2306</v>
      </c>
    </row>
    <row r="572" spans="1:1" x14ac:dyDescent="0.2">
      <c r="A572" s="84" t="s">
        <v>2084</v>
      </c>
    </row>
    <row r="573" spans="1:1" x14ac:dyDescent="0.2">
      <c r="A573" s="84" t="s">
        <v>2498</v>
      </c>
    </row>
    <row r="574" spans="1:1" x14ac:dyDescent="0.2">
      <c r="A574" s="84" t="s">
        <v>2499</v>
      </c>
    </row>
    <row r="575" spans="1:1" x14ac:dyDescent="0.2">
      <c r="A575" s="84" t="s">
        <v>2302</v>
      </c>
    </row>
    <row r="576" spans="1:1" x14ac:dyDescent="0.2">
      <c r="A576" s="84" t="s">
        <v>2305</v>
      </c>
    </row>
    <row r="577" spans="1:1" x14ac:dyDescent="0.2">
      <c r="A577" s="84" t="s">
        <v>2336</v>
      </c>
    </row>
    <row r="578" spans="1:1" x14ac:dyDescent="0.2">
      <c r="A578" s="51" t="s">
        <v>1661</v>
      </c>
    </row>
    <row r="579" spans="1:1" ht="15" x14ac:dyDescent="0.2">
      <c r="A579" s="82"/>
    </row>
    <row r="580" spans="1:1" x14ac:dyDescent="0.2">
      <c r="A580" s="83" t="s">
        <v>2310</v>
      </c>
    </row>
    <row r="581" spans="1:1" x14ac:dyDescent="0.2">
      <c r="A581" s="84" t="s">
        <v>2084</v>
      </c>
    </row>
    <row r="582" spans="1:1" x14ac:dyDescent="0.2">
      <c r="A582" s="84" t="s">
        <v>2500</v>
      </c>
    </row>
    <row r="583" spans="1:1" x14ac:dyDescent="0.2">
      <c r="A583" s="84" t="s">
        <v>2167</v>
      </c>
    </row>
    <row r="584" spans="1:1" x14ac:dyDescent="0.2">
      <c r="A584" s="84" t="s">
        <v>2098</v>
      </c>
    </row>
    <row r="585" spans="1:1" x14ac:dyDescent="0.2">
      <c r="A585" s="84" t="s">
        <v>2356</v>
      </c>
    </row>
    <row r="586" spans="1:1" x14ac:dyDescent="0.2">
      <c r="A586" s="84" t="s">
        <v>2404</v>
      </c>
    </row>
    <row r="587" spans="1:1" x14ac:dyDescent="0.2">
      <c r="A587" s="51" t="s">
        <v>1661</v>
      </c>
    </row>
    <row r="588" spans="1:1" ht="15" x14ac:dyDescent="0.2">
      <c r="A588" s="82"/>
    </row>
    <row r="589" spans="1:1" x14ac:dyDescent="0.2">
      <c r="A589" s="83" t="s">
        <v>2312</v>
      </c>
    </row>
    <row r="590" spans="1:1" x14ac:dyDescent="0.2">
      <c r="A590" s="84" t="s">
        <v>2084</v>
      </c>
    </row>
    <row r="591" spans="1:1" x14ac:dyDescent="0.2">
      <c r="A591" s="84" t="s">
        <v>2501</v>
      </c>
    </row>
    <row r="592" spans="1:1" x14ac:dyDescent="0.2">
      <c r="A592" s="84" t="s">
        <v>2502</v>
      </c>
    </row>
    <row r="593" spans="1:1" x14ac:dyDescent="0.2">
      <c r="A593" s="84" t="s">
        <v>2503</v>
      </c>
    </row>
    <row r="594" spans="1:1" x14ac:dyDescent="0.2">
      <c r="A594" s="84" t="s">
        <v>2504</v>
      </c>
    </row>
    <row r="595" spans="1:1" x14ac:dyDescent="0.2">
      <c r="A595" s="84" t="s">
        <v>2450</v>
      </c>
    </row>
    <row r="596" spans="1:1" x14ac:dyDescent="0.2">
      <c r="A596" s="51" t="s">
        <v>1661</v>
      </c>
    </row>
    <row r="597" spans="1:1" ht="15" x14ac:dyDescent="0.2">
      <c r="A597" s="82"/>
    </row>
    <row r="598" spans="1:1" x14ac:dyDescent="0.2">
      <c r="A598" s="83" t="s">
        <v>2317</v>
      </c>
    </row>
    <row r="599" spans="1:1" x14ac:dyDescent="0.2">
      <c r="A599" s="84" t="s">
        <v>2084</v>
      </c>
    </row>
    <row r="600" spans="1:1" x14ac:dyDescent="0.2">
      <c r="A600" s="84" t="s">
        <v>2505</v>
      </c>
    </row>
    <row r="601" spans="1:1" x14ac:dyDescent="0.2">
      <c r="A601" s="84" t="s">
        <v>2506</v>
      </c>
    </row>
    <row r="602" spans="1:1" x14ac:dyDescent="0.2">
      <c r="A602" s="84" t="s">
        <v>2203</v>
      </c>
    </row>
    <row r="603" spans="1:1" x14ac:dyDescent="0.2">
      <c r="A603" s="84" t="s">
        <v>2507</v>
      </c>
    </row>
    <row r="604" spans="1:1" x14ac:dyDescent="0.2">
      <c r="A604" s="84" t="s">
        <v>2508</v>
      </c>
    </row>
    <row r="605" spans="1:1" x14ac:dyDescent="0.2">
      <c r="A605" s="51" t="s">
        <v>1661</v>
      </c>
    </row>
    <row r="606" spans="1:1" ht="15" x14ac:dyDescent="0.2">
      <c r="A606" s="82"/>
    </row>
    <row r="607" spans="1:1" x14ac:dyDescent="0.2">
      <c r="A607" s="83" t="s">
        <v>2321</v>
      </c>
    </row>
    <row r="608" spans="1:1" x14ac:dyDescent="0.2">
      <c r="A608" s="84" t="s">
        <v>2084</v>
      </c>
    </row>
    <row r="609" spans="1:1" x14ac:dyDescent="0.2">
      <c r="A609" s="84" t="s">
        <v>2509</v>
      </c>
    </row>
    <row r="610" spans="1:1" x14ac:dyDescent="0.2">
      <c r="A610" s="84" t="s">
        <v>2510</v>
      </c>
    </row>
    <row r="611" spans="1:1" x14ac:dyDescent="0.2">
      <c r="A611" s="84" t="s">
        <v>2170</v>
      </c>
    </row>
    <row r="612" spans="1:1" x14ac:dyDescent="0.2">
      <c r="A612" s="84" t="s">
        <v>2511</v>
      </c>
    </row>
    <row r="613" spans="1:1" x14ac:dyDescent="0.2">
      <c r="A613" s="84" t="s">
        <v>2512</v>
      </c>
    </row>
    <row r="614" spans="1:1" x14ac:dyDescent="0.2">
      <c r="A614" s="51" t="s">
        <v>1661</v>
      </c>
    </row>
    <row r="615" spans="1:1" ht="15" x14ac:dyDescent="0.2">
      <c r="A615" s="82"/>
    </row>
    <row r="616" spans="1:1" x14ac:dyDescent="0.2">
      <c r="A616" s="83" t="s">
        <v>2325</v>
      </c>
    </row>
    <row r="617" spans="1:1" x14ac:dyDescent="0.2">
      <c r="A617" s="84" t="s">
        <v>2084</v>
      </c>
    </row>
    <row r="618" spans="1:1" x14ac:dyDescent="0.2">
      <c r="A618" s="84" t="s">
        <v>2513</v>
      </c>
    </row>
    <row r="619" spans="1:1" x14ac:dyDescent="0.2">
      <c r="A619" s="84" t="s">
        <v>2514</v>
      </c>
    </row>
    <row r="620" spans="1:1" x14ac:dyDescent="0.2">
      <c r="A620" s="84" t="s">
        <v>2170</v>
      </c>
    </row>
    <row r="621" spans="1:1" x14ac:dyDescent="0.2">
      <c r="A621" s="84" t="s">
        <v>3610</v>
      </c>
    </row>
    <row r="622" spans="1:1" x14ac:dyDescent="0.2">
      <c r="A622" s="84" t="s">
        <v>2460</v>
      </c>
    </row>
    <row r="623" spans="1:1" x14ac:dyDescent="0.2">
      <c r="A623" s="51" t="s">
        <v>1661</v>
      </c>
    </row>
    <row r="624" spans="1:1" ht="15" x14ac:dyDescent="0.2">
      <c r="A624" s="82"/>
    </row>
    <row r="625" spans="1:1" x14ac:dyDescent="0.2">
      <c r="A625" s="83" t="s">
        <v>2329</v>
      </c>
    </row>
    <row r="626" spans="1:1" x14ac:dyDescent="0.2">
      <c r="A626" s="84" t="s">
        <v>2084</v>
      </c>
    </row>
    <row r="627" spans="1:1" x14ac:dyDescent="0.2">
      <c r="A627" s="84" t="s">
        <v>2515</v>
      </c>
    </row>
    <row r="628" spans="1:1" x14ac:dyDescent="0.2">
      <c r="A628" s="84" t="s">
        <v>2516</v>
      </c>
    </row>
    <row r="629" spans="1:1" x14ac:dyDescent="0.2">
      <c r="A629" s="84" t="s">
        <v>2517</v>
      </c>
    </row>
    <row r="630" spans="1:1" x14ac:dyDescent="0.2">
      <c r="A630" s="84" t="s">
        <v>2518</v>
      </c>
    </row>
    <row r="631" spans="1:1" x14ac:dyDescent="0.2">
      <c r="A631" s="84" t="s">
        <v>2276</v>
      </c>
    </row>
    <row r="632" spans="1:1" x14ac:dyDescent="0.2">
      <c r="A632" s="51" t="s">
        <v>1661</v>
      </c>
    </row>
  </sheetData>
  <hyperlinks>
    <hyperlink ref="A11" display="+ Informações sobre Resseguradora"/>
    <hyperlink ref="A20" display="+ Informações sobre Resseguradora"/>
    <hyperlink ref="A29" display="+ Informações sobre Resseguradora"/>
    <hyperlink ref="A38" display="+ Informações sobre Resseguradora"/>
    <hyperlink ref="A47" display="+ Informações sobre Resseguradora"/>
    <hyperlink ref="A56" display="+ Informações sobre Resseguradora"/>
    <hyperlink ref="A65" display="+ Informações sobre Resseguradora"/>
    <hyperlink ref="A74" display="+ Informações sobre Resseguradora"/>
    <hyperlink ref="A83" display="+ Informações sobre Resseguradora"/>
    <hyperlink ref="A92" display="+ Informações sobre Resseguradora"/>
    <hyperlink ref="A101" display="+ Informações sobre Resseguradora"/>
    <hyperlink ref="A110" display="+ Informações sobre Resseguradora"/>
    <hyperlink ref="A119" display="+ Informações sobre Resseguradora"/>
    <hyperlink ref="A128" display="+ Informações sobre Resseguradora"/>
    <hyperlink ref="A137" display="+ Informações sobre Resseguradora"/>
    <hyperlink ref="A146" display="+ Informações sobre Resseguradora"/>
    <hyperlink ref="A155" display="+ Informações sobre Resseguradora"/>
    <hyperlink ref="A164" display="+ Informações sobre Resseguradora"/>
    <hyperlink ref="A173" display="+ Informações sobre Resseguradora"/>
    <hyperlink ref="A182" display="+ Informações sobre Resseguradora"/>
    <hyperlink ref="A191" display="+ Informações sobre Resseguradora"/>
    <hyperlink ref="A200" display="+ Informações sobre Resseguradora"/>
    <hyperlink ref="A209" display="+ Informações sobre Resseguradora"/>
    <hyperlink ref="A218" display="+ Informações sobre Resseguradora"/>
    <hyperlink ref="A227" display="+ Informações sobre Resseguradora"/>
    <hyperlink ref="A236" display="+ Informações sobre Resseguradora"/>
    <hyperlink ref="A245" display="+ Informações sobre Resseguradora"/>
    <hyperlink ref="A254" display="+ Informações sobre Resseguradora"/>
    <hyperlink ref="A263" display="+ Informações sobre Resseguradora"/>
    <hyperlink ref="A272" display="+ Informações sobre Resseguradora"/>
    <hyperlink ref="A281" display="+ Informações sobre Resseguradora"/>
    <hyperlink ref="A290" display="+ Informações sobre Resseguradora"/>
    <hyperlink ref="A299" display="+ Informações sobre Resseguradora"/>
    <hyperlink ref="A308" display="+ Informações sobre Resseguradora"/>
    <hyperlink ref="A317" display="+ Informações sobre Resseguradora"/>
    <hyperlink ref="A326" display="+ Informações sobre Resseguradora"/>
    <hyperlink ref="A335" display="+ Informações sobre Resseguradora"/>
    <hyperlink ref="A344" display="+ Informações sobre Resseguradora"/>
    <hyperlink ref="A353" display="+ Informações sobre Resseguradora"/>
    <hyperlink ref="A362" display="+ Informações sobre Resseguradora"/>
    <hyperlink ref="A371" display="+ Informações sobre Resseguradora"/>
    <hyperlink ref="A380" display="+ Informações sobre Resseguradora"/>
    <hyperlink ref="A389" display="+ Informações sobre Resseguradora"/>
    <hyperlink ref="A398" display="+ Informações sobre Resseguradora"/>
    <hyperlink ref="A407" display="+ Informações sobre Resseguradora"/>
    <hyperlink ref="A416" display="+ Informações sobre Resseguradora"/>
    <hyperlink ref="A425" display="+ Informações sobre Resseguradora"/>
    <hyperlink ref="A434" display="+ Informações sobre Resseguradora"/>
    <hyperlink ref="A443" display="+ Informações sobre Resseguradora"/>
    <hyperlink ref="A452" display="+ Informações sobre Resseguradora"/>
    <hyperlink ref="A461" display="+ Informações sobre Resseguradora"/>
    <hyperlink ref="A470" display="+ Informações sobre Resseguradora"/>
    <hyperlink ref="A479" display="+ Informações sobre Resseguradora"/>
    <hyperlink ref="A488" display="+ Informações sobre Resseguradora"/>
    <hyperlink ref="A497" display="+ Informações sobre Resseguradora"/>
    <hyperlink ref="A506" display="+ Informações sobre Resseguradora"/>
    <hyperlink ref="A515" display="+ Informações sobre Resseguradora"/>
    <hyperlink ref="A524" display="+ Informações sobre Resseguradora"/>
    <hyperlink ref="A533" display="+ Informações sobre Resseguradora"/>
    <hyperlink ref="A542" display="+ Informações sobre Resseguradora"/>
    <hyperlink ref="A551" display="+ Informações sobre Resseguradora"/>
    <hyperlink ref="A560" display="+ Informações sobre Resseguradora"/>
    <hyperlink ref="A569" display="+ Informações sobre Resseguradora"/>
    <hyperlink ref="A578" display="+ Informações sobre Resseguradora"/>
    <hyperlink ref="A587" display="+ Informações sobre Resseguradora"/>
    <hyperlink ref="A596" display="+ Informações sobre Resseguradora"/>
    <hyperlink ref="A605" display="+ Informações sobre Resseguradora"/>
    <hyperlink ref="A614" display="+ Informações sobre Resseguradora"/>
    <hyperlink ref="A623" display="+ Informações sobre Resseguradora"/>
    <hyperlink ref="A632" display="+ Informações sobre Resseguradora"/>
  </hyperlink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L283"/>
  <sheetViews>
    <sheetView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15.85546875" style="7" bestFit="1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3774</v>
      </c>
      <c r="E1" s="43" t="s">
        <v>2519</v>
      </c>
      <c r="F1" s="7">
        <f>COUNTIF(F3:F65536,"&lt;&gt;")</f>
        <v>24</v>
      </c>
      <c r="H1" s="7" t="s">
        <v>3786</v>
      </c>
    </row>
    <row r="2" spans="1:12" ht="15" x14ac:dyDescent="0.2">
      <c r="A2" s="82"/>
      <c r="E2" s="43" t="s">
        <v>1614</v>
      </c>
      <c r="F2" s="43" t="s">
        <v>1615</v>
      </c>
      <c r="G2" s="43" t="s">
        <v>1616</v>
      </c>
      <c r="H2" s="43" t="s">
        <v>1617</v>
      </c>
      <c r="I2" s="43" t="s">
        <v>1618</v>
      </c>
      <c r="J2" s="43" t="s">
        <v>1619</v>
      </c>
      <c r="K2" s="43" t="s">
        <v>1620</v>
      </c>
      <c r="L2" s="43" t="s">
        <v>1621</v>
      </c>
    </row>
    <row r="3" spans="1:12" ht="15" x14ac:dyDescent="0.2">
      <c r="A3" s="82"/>
      <c r="E3" s="7" t="s">
        <v>2520</v>
      </c>
      <c r="F3" s="7" t="s">
        <v>2521</v>
      </c>
      <c r="G3" s="45" t="s">
        <v>2522</v>
      </c>
      <c r="H3" s="7" t="s">
        <v>2523</v>
      </c>
      <c r="I3" s="7" t="s">
        <v>57</v>
      </c>
      <c r="J3" s="7" t="s">
        <v>2524</v>
      </c>
      <c r="K3" s="7" t="s">
        <v>2525</v>
      </c>
      <c r="L3" s="8">
        <v>39766</v>
      </c>
    </row>
    <row r="4" spans="1:12" x14ac:dyDescent="0.2">
      <c r="A4" s="83" t="s">
        <v>2520</v>
      </c>
      <c r="E4" s="7" t="s">
        <v>2526</v>
      </c>
      <c r="F4" s="7" t="s">
        <v>2527</v>
      </c>
      <c r="G4" s="45" t="s">
        <v>2528</v>
      </c>
      <c r="H4" s="7" t="s">
        <v>2529</v>
      </c>
      <c r="I4" s="7" t="s">
        <v>111</v>
      </c>
      <c r="J4" s="7" t="s">
        <v>2530</v>
      </c>
      <c r="K4" s="7" t="s">
        <v>2531</v>
      </c>
      <c r="L4" s="8">
        <v>39525</v>
      </c>
    </row>
    <row r="5" spans="1:12" x14ac:dyDescent="0.2">
      <c r="A5" s="84" t="s">
        <v>2532</v>
      </c>
      <c r="E5" s="7" t="s">
        <v>2533</v>
      </c>
      <c r="F5" s="7" t="s">
        <v>2534</v>
      </c>
      <c r="G5" s="45" t="s">
        <v>2535</v>
      </c>
      <c r="H5" s="7" t="s">
        <v>2536</v>
      </c>
      <c r="I5" s="7" t="s">
        <v>88</v>
      </c>
      <c r="J5" s="7" t="s">
        <v>2537</v>
      </c>
      <c r="K5" s="7" t="s">
        <v>2538</v>
      </c>
      <c r="L5" s="8">
        <v>39673</v>
      </c>
    </row>
    <row r="6" spans="1:12" x14ac:dyDescent="0.2">
      <c r="A6" s="84" t="s">
        <v>2539</v>
      </c>
      <c r="E6" s="7" t="s">
        <v>3611</v>
      </c>
      <c r="F6" s="7" t="s">
        <v>3648</v>
      </c>
      <c r="G6" s="45" t="s">
        <v>3658</v>
      </c>
      <c r="H6" s="7" t="s">
        <v>3781</v>
      </c>
      <c r="I6" s="7" t="s">
        <v>111</v>
      </c>
      <c r="J6" s="7" t="s">
        <v>3649</v>
      </c>
      <c r="K6" s="7" t="s">
        <v>3782</v>
      </c>
      <c r="L6" s="8">
        <v>41785</v>
      </c>
    </row>
    <row r="7" spans="1:12" x14ac:dyDescent="0.2">
      <c r="A7" s="84" t="s">
        <v>2546</v>
      </c>
      <c r="E7" s="7" t="s">
        <v>2540</v>
      </c>
      <c r="F7" s="7" t="s">
        <v>2541</v>
      </c>
      <c r="G7" s="45" t="s">
        <v>2542</v>
      </c>
      <c r="H7" s="7" t="s">
        <v>2543</v>
      </c>
      <c r="I7" s="7" t="s">
        <v>88</v>
      </c>
      <c r="J7" s="7" t="s">
        <v>2544</v>
      </c>
      <c r="K7" s="7" t="s">
        <v>2545</v>
      </c>
      <c r="L7" s="8">
        <v>39568</v>
      </c>
    </row>
    <row r="8" spans="1:12" x14ac:dyDescent="0.2">
      <c r="A8" s="84" t="s">
        <v>2552</v>
      </c>
      <c r="E8" s="7" t="s">
        <v>2547</v>
      </c>
      <c r="F8" s="7" t="s">
        <v>2548</v>
      </c>
      <c r="G8" s="45" t="s">
        <v>2549</v>
      </c>
      <c r="H8" s="7" t="s">
        <v>2550</v>
      </c>
      <c r="I8" s="7" t="s">
        <v>57</v>
      </c>
      <c r="J8" s="7" t="s">
        <v>2551</v>
      </c>
      <c r="K8" s="7" t="s">
        <v>3650</v>
      </c>
      <c r="L8" s="8">
        <v>40561</v>
      </c>
    </row>
    <row r="9" spans="1:12" x14ac:dyDescent="0.2">
      <c r="A9" s="84" t="s">
        <v>2559</v>
      </c>
      <c r="E9" s="7" t="s">
        <v>2553</v>
      </c>
      <c r="F9" s="7" t="s">
        <v>2554</v>
      </c>
      <c r="G9" s="45" t="s">
        <v>2555</v>
      </c>
      <c r="H9" s="7" t="s">
        <v>2556</v>
      </c>
      <c r="I9" s="7" t="s">
        <v>111</v>
      </c>
      <c r="J9" s="7" t="s">
        <v>2557</v>
      </c>
      <c r="K9" s="7" t="s">
        <v>2558</v>
      </c>
      <c r="L9" s="8">
        <v>39680</v>
      </c>
    </row>
    <row r="10" spans="1:12" x14ac:dyDescent="0.2">
      <c r="A10" s="84" t="s">
        <v>1718</v>
      </c>
      <c r="E10" s="7" t="s">
        <v>2565</v>
      </c>
      <c r="F10" s="7" t="s">
        <v>2566</v>
      </c>
      <c r="G10" s="45" t="s">
        <v>2567</v>
      </c>
      <c r="H10" s="7" t="s">
        <v>2568</v>
      </c>
      <c r="I10" s="7" t="s">
        <v>111</v>
      </c>
      <c r="J10" s="7" t="s">
        <v>2569</v>
      </c>
      <c r="K10" s="7" t="s">
        <v>2570</v>
      </c>
      <c r="L10" s="8">
        <v>39542</v>
      </c>
    </row>
    <row r="11" spans="1:12" ht="15" x14ac:dyDescent="0.2">
      <c r="A11" s="82"/>
      <c r="E11" s="7" t="s">
        <v>3783</v>
      </c>
      <c r="F11" s="7" t="s">
        <v>2571</v>
      </c>
      <c r="G11" s="45" t="s">
        <v>2572</v>
      </c>
      <c r="H11" s="7" t="s">
        <v>2573</v>
      </c>
      <c r="I11" s="7" t="s">
        <v>111</v>
      </c>
      <c r="J11" s="7" t="s">
        <v>2574</v>
      </c>
      <c r="K11" s="7" t="s">
        <v>2575</v>
      </c>
      <c r="L11" s="8">
        <v>39595</v>
      </c>
    </row>
    <row r="12" spans="1:12" x14ac:dyDescent="0.2">
      <c r="A12" s="83" t="s">
        <v>2526</v>
      </c>
      <c r="E12" s="7" t="s">
        <v>2578</v>
      </c>
      <c r="F12" s="7" t="s">
        <v>2579</v>
      </c>
      <c r="G12" s="45" t="s">
        <v>2580</v>
      </c>
      <c r="H12" s="7" t="s">
        <v>2581</v>
      </c>
      <c r="I12" s="7" t="s">
        <v>111</v>
      </c>
      <c r="J12" s="7" t="s">
        <v>2119</v>
      </c>
      <c r="K12" s="7" t="s">
        <v>2582</v>
      </c>
      <c r="L12" s="8">
        <v>39525</v>
      </c>
    </row>
    <row r="13" spans="1:12" x14ac:dyDescent="0.2">
      <c r="A13" s="84" t="s">
        <v>2576</v>
      </c>
      <c r="E13" s="7" t="s">
        <v>2584</v>
      </c>
      <c r="F13" s="7" t="s">
        <v>2585</v>
      </c>
      <c r="G13" s="45" t="s">
        <v>2586</v>
      </c>
      <c r="H13" s="7" t="s">
        <v>2587</v>
      </c>
      <c r="I13" s="7" t="s">
        <v>111</v>
      </c>
      <c r="J13" s="7" t="s">
        <v>2588</v>
      </c>
      <c r="K13" s="7" t="s">
        <v>2589</v>
      </c>
      <c r="L13" s="8">
        <v>39946</v>
      </c>
    </row>
    <row r="14" spans="1:12" x14ac:dyDescent="0.2">
      <c r="A14" s="84" t="s">
        <v>2577</v>
      </c>
      <c r="E14" s="7" t="s">
        <v>2591</v>
      </c>
      <c r="F14" s="7" t="s">
        <v>2592</v>
      </c>
      <c r="G14" s="45" t="s">
        <v>2593</v>
      </c>
      <c r="H14" s="7" t="s">
        <v>2594</v>
      </c>
      <c r="I14" s="7" t="s">
        <v>111</v>
      </c>
      <c r="J14" s="7" t="s">
        <v>2159</v>
      </c>
      <c r="K14" s="7" t="s">
        <v>2595</v>
      </c>
      <c r="L14" s="8">
        <v>39645</v>
      </c>
    </row>
    <row r="15" spans="1:12" x14ac:dyDescent="0.2">
      <c r="A15" s="84" t="s">
        <v>2583</v>
      </c>
      <c r="E15" s="7" t="s">
        <v>2603</v>
      </c>
      <c r="F15" s="7" t="s">
        <v>2604</v>
      </c>
      <c r="G15" s="45" t="s">
        <v>2605</v>
      </c>
      <c r="H15" s="7" t="s">
        <v>2606</v>
      </c>
      <c r="I15" s="7" t="s">
        <v>111</v>
      </c>
      <c r="J15" s="7" t="s">
        <v>2607</v>
      </c>
      <c r="K15" s="7" t="s">
        <v>2608</v>
      </c>
      <c r="L15" s="8">
        <v>41036</v>
      </c>
    </row>
    <row r="16" spans="1:12" x14ac:dyDescent="0.2">
      <c r="A16" s="84" t="s">
        <v>2590</v>
      </c>
      <c r="E16" s="7" t="s">
        <v>3778</v>
      </c>
      <c r="F16" s="7" t="s">
        <v>2597</v>
      </c>
      <c r="G16" s="45" t="s">
        <v>2598</v>
      </c>
      <c r="H16" s="7" t="s">
        <v>2599</v>
      </c>
      <c r="I16" s="7" t="s">
        <v>2600</v>
      </c>
      <c r="J16" s="7" t="s">
        <v>917</v>
      </c>
      <c r="K16" s="7" t="s">
        <v>2601</v>
      </c>
      <c r="L16" s="8">
        <v>39595</v>
      </c>
    </row>
    <row r="17" spans="1:12" x14ac:dyDescent="0.2">
      <c r="A17" s="84" t="s">
        <v>2596</v>
      </c>
      <c r="E17" s="7" t="s">
        <v>2609</v>
      </c>
      <c r="F17" s="7" t="s">
        <v>2610</v>
      </c>
      <c r="G17" s="45" t="s">
        <v>2611</v>
      </c>
      <c r="H17" s="7" t="s">
        <v>2612</v>
      </c>
      <c r="I17" s="7" t="s">
        <v>88</v>
      </c>
      <c r="J17" s="7" t="s">
        <v>2613</v>
      </c>
      <c r="K17" s="7" t="s">
        <v>2614</v>
      </c>
      <c r="L17" s="8">
        <v>39525</v>
      </c>
    </row>
    <row r="18" spans="1:12" x14ac:dyDescent="0.2">
      <c r="A18" s="84" t="s">
        <v>2602</v>
      </c>
      <c r="E18" s="7" t="s">
        <v>2615</v>
      </c>
      <c r="F18" s="7" t="s">
        <v>2616</v>
      </c>
      <c r="G18" s="45" t="s">
        <v>2617</v>
      </c>
      <c r="H18" s="7" t="s">
        <v>2618</v>
      </c>
      <c r="I18" s="7" t="s">
        <v>57</v>
      </c>
      <c r="J18" s="7" t="s">
        <v>2619</v>
      </c>
      <c r="K18" s="7" t="s">
        <v>2620</v>
      </c>
      <c r="L18" s="8">
        <v>39556</v>
      </c>
    </row>
    <row r="19" spans="1:12" x14ac:dyDescent="0.2">
      <c r="A19" s="51" t="s">
        <v>815</v>
      </c>
      <c r="E19" s="7" t="s">
        <v>2622</v>
      </c>
      <c r="F19" s="7" t="s">
        <v>2623</v>
      </c>
      <c r="G19" s="45" t="s">
        <v>2624</v>
      </c>
      <c r="H19" s="7" t="s">
        <v>3784</v>
      </c>
      <c r="I19" s="7" t="s">
        <v>111</v>
      </c>
      <c r="J19" s="7" t="s">
        <v>3649</v>
      </c>
      <c r="K19" s="7" t="s">
        <v>3785</v>
      </c>
      <c r="L19" s="8">
        <v>39560</v>
      </c>
    </row>
    <row r="20" spans="1:12" ht="15" x14ac:dyDescent="0.2">
      <c r="A20" s="82"/>
      <c r="E20" s="7" t="s">
        <v>2628</v>
      </c>
      <c r="F20" s="7" t="s">
        <v>2629</v>
      </c>
      <c r="G20" s="45" t="s">
        <v>2630</v>
      </c>
      <c r="H20" s="7" t="s">
        <v>2631</v>
      </c>
      <c r="I20" s="7" t="s">
        <v>57</v>
      </c>
      <c r="J20" s="7" t="s">
        <v>803</v>
      </c>
      <c r="K20" s="7" t="s">
        <v>2632</v>
      </c>
      <c r="L20" s="8">
        <v>40078</v>
      </c>
    </row>
    <row r="21" spans="1:12" x14ac:dyDescent="0.2">
      <c r="A21" s="83" t="s">
        <v>2533</v>
      </c>
      <c r="E21" s="7" t="s">
        <v>2634</v>
      </c>
      <c r="F21" s="7" t="s">
        <v>2635</v>
      </c>
      <c r="G21" s="45" t="s">
        <v>2636</v>
      </c>
      <c r="H21" s="7" t="s">
        <v>2637</v>
      </c>
      <c r="I21" s="7" t="s">
        <v>135</v>
      </c>
      <c r="J21" s="7" t="s">
        <v>2638</v>
      </c>
      <c r="K21" s="7" t="s">
        <v>2639</v>
      </c>
      <c r="L21" s="8">
        <v>40892</v>
      </c>
    </row>
    <row r="22" spans="1:12" x14ac:dyDescent="0.2">
      <c r="A22" s="84" t="s">
        <v>2621</v>
      </c>
      <c r="E22" s="7" t="s">
        <v>3618</v>
      </c>
      <c r="F22" s="7" t="s">
        <v>2560</v>
      </c>
      <c r="G22" s="45" t="s">
        <v>2561</v>
      </c>
      <c r="H22" s="7" t="s">
        <v>2562</v>
      </c>
      <c r="I22" s="7" t="s">
        <v>111</v>
      </c>
      <c r="J22" s="7" t="s">
        <v>2563</v>
      </c>
      <c r="K22" s="7" t="s">
        <v>2564</v>
      </c>
      <c r="L22" s="8">
        <v>39624</v>
      </c>
    </row>
    <row r="23" spans="1:12" x14ac:dyDescent="0.2">
      <c r="A23" s="84" t="s">
        <v>2625</v>
      </c>
      <c r="E23" s="7" t="s">
        <v>2641</v>
      </c>
      <c r="F23" s="7" t="s">
        <v>2642</v>
      </c>
      <c r="G23" s="45" t="s">
        <v>2643</v>
      </c>
      <c r="H23" s="7" t="s">
        <v>2644</v>
      </c>
      <c r="I23" s="7" t="s">
        <v>57</v>
      </c>
      <c r="J23" s="7" t="s">
        <v>2645</v>
      </c>
      <c r="K23" s="7" t="s">
        <v>2646</v>
      </c>
      <c r="L23" s="8">
        <v>40086</v>
      </c>
    </row>
    <row r="24" spans="1:12" x14ac:dyDescent="0.2">
      <c r="A24" s="84" t="s">
        <v>2626</v>
      </c>
      <c r="E24" s="7" t="s">
        <v>2647</v>
      </c>
      <c r="F24" s="7" t="s">
        <v>2648</v>
      </c>
      <c r="G24" s="45" t="s">
        <v>2649</v>
      </c>
      <c r="H24" s="7" t="s">
        <v>2650</v>
      </c>
      <c r="I24" s="7" t="s">
        <v>111</v>
      </c>
      <c r="J24" s="7" t="s">
        <v>3651</v>
      </c>
      <c r="K24" s="7" t="s">
        <v>2651</v>
      </c>
      <c r="L24" s="8">
        <v>39667</v>
      </c>
    </row>
    <row r="25" spans="1:12" x14ac:dyDescent="0.2">
      <c r="A25" s="84" t="s">
        <v>2627</v>
      </c>
      <c r="E25" s="7" t="s">
        <v>2652</v>
      </c>
      <c r="F25" s="7" t="s">
        <v>2653</v>
      </c>
      <c r="G25" s="45" t="s">
        <v>2654</v>
      </c>
      <c r="H25" s="7" t="s">
        <v>2655</v>
      </c>
      <c r="I25" s="7" t="s">
        <v>57</v>
      </c>
      <c r="J25" s="7" t="s">
        <v>1669</v>
      </c>
      <c r="K25" s="7" t="s">
        <v>2656</v>
      </c>
      <c r="L25" s="8">
        <v>39715</v>
      </c>
    </row>
    <row r="26" spans="1:12" x14ac:dyDescent="0.2">
      <c r="A26" s="84" t="s">
        <v>2633</v>
      </c>
      <c r="E26" s="7" t="s">
        <v>2658</v>
      </c>
      <c r="F26" s="7" t="s">
        <v>2659</v>
      </c>
      <c r="G26" s="45" t="s">
        <v>2660</v>
      </c>
      <c r="H26" s="7" t="s">
        <v>2661</v>
      </c>
      <c r="I26" s="7" t="s">
        <v>111</v>
      </c>
      <c r="J26" s="7" t="s">
        <v>2662</v>
      </c>
      <c r="K26" s="7" t="s">
        <v>2663</v>
      </c>
      <c r="L26" s="8">
        <v>39520</v>
      </c>
    </row>
    <row r="27" spans="1:12" x14ac:dyDescent="0.2">
      <c r="A27" s="84" t="s">
        <v>2640</v>
      </c>
      <c r="G27" s="45"/>
      <c r="L27" s="8"/>
    </row>
    <row r="28" spans="1:12" ht="15" x14ac:dyDescent="0.2">
      <c r="A28" s="82"/>
      <c r="G28" s="45"/>
      <c r="L28" s="8"/>
    </row>
    <row r="29" spans="1:12" x14ac:dyDescent="0.2">
      <c r="A29" s="83" t="s">
        <v>3611</v>
      </c>
      <c r="G29" s="45"/>
      <c r="L29" s="8"/>
    </row>
    <row r="30" spans="1:12" x14ac:dyDescent="0.2">
      <c r="A30" s="84" t="s">
        <v>3612</v>
      </c>
      <c r="G30" s="45"/>
      <c r="L30" s="8"/>
    </row>
    <row r="31" spans="1:12" x14ac:dyDescent="0.2">
      <c r="A31" s="84" t="s">
        <v>3613</v>
      </c>
      <c r="G31" s="45"/>
      <c r="L31" s="8"/>
    </row>
    <row r="32" spans="1:12" x14ac:dyDescent="0.2">
      <c r="A32" s="84" t="s">
        <v>3775</v>
      </c>
      <c r="G32" s="45"/>
      <c r="L32" s="8"/>
    </row>
    <row r="33" spans="1:12" x14ac:dyDescent="0.2">
      <c r="A33" s="84" t="s">
        <v>3614</v>
      </c>
      <c r="G33" s="45"/>
      <c r="L33" s="8"/>
    </row>
    <row r="34" spans="1:12" x14ac:dyDescent="0.2">
      <c r="A34" s="84" t="s">
        <v>3776</v>
      </c>
      <c r="G34" s="45"/>
      <c r="L34" s="8"/>
    </row>
    <row r="35" spans="1:12" x14ac:dyDescent="0.2">
      <c r="A35" s="84" t="s">
        <v>3615</v>
      </c>
      <c r="G35" s="45"/>
      <c r="L35" s="8"/>
    </row>
    <row r="36" spans="1:12" ht="15" x14ac:dyDescent="0.2">
      <c r="A36" s="82"/>
      <c r="G36" s="45"/>
      <c r="L36" s="8"/>
    </row>
    <row r="37" spans="1:12" x14ac:dyDescent="0.2">
      <c r="A37" s="83" t="s">
        <v>2540</v>
      </c>
    </row>
    <row r="38" spans="1:12" x14ac:dyDescent="0.2">
      <c r="A38" s="84" t="s">
        <v>2657</v>
      </c>
    </row>
    <row r="39" spans="1:12" x14ac:dyDescent="0.2">
      <c r="A39" s="84" t="s">
        <v>2664</v>
      </c>
    </row>
    <row r="40" spans="1:12" x14ac:dyDescent="0.2">
      <c r="A40" s="84" t="s">
        <v>2665</v>
      </c>
    </row>
    <row r="41" spans="1:12" x14ac:dyDescent="0.2">
      <c r="A41" s="84" t="s">
        <v>2666</v>
      </c>
    </row>
    <row r="42" spans="1:12" x14ac:dyDescent="0.2">
      <c r="A42" s="84" t="s">
        <v>2667</v>
      </c>
    </row>
    <row r="43" spans="1:12" x14ac:dyDescent="0.2">
      <c r="A43" s="84" t="s">
        <v>2668</v>
      </c>
    </row>
    <row r="44" spans="1:12" ht="15" x14ac:dyDescent="0.2">
      <c r="A44" s="82"/>
    </row>
    <row r="45" spans="1:12" x14ac:dyDescent="0.2">
      <c r="A45" s="83" t="s">
        <v>2547</v>
      </c>
    </row>
    <row r="46" spans="1:12" x14ac:dyDescent="0.2">
      <c r="A46" s="84" t="s">
        <v>2669</v>
      </c>
    </row>
    <row r="47" spans="1:12" x14ac:dyDescent="0.2">
      <c r="A47" s="84" t="s">
        <v>2670</v>
      </c>
    </row>
    <row r="48" spans="1:12" x14ac:dyDescent="0.2">
      <c r="A48" s="84" t="s">
        <v>2671</v>
      </c>
    </row>
    <row r="49" spans="1:1" x14ac:dyDescent="0.2">
      <c r="A49" s="84" t="s">
        <v>2672</v>
      </c>
    </row>
    <row r="50" spans="1:1" x14ac:dyDescent="0.2">
      <c r="A50" s="84" t="s">
        <v>3616</v>
      </c>
    </row>
    <row r="51" spans="1:1" x14ac:dyDescent="0.2">
      <c r="A51" s="84" t="s">
        <v>2673</v>
      </c>
    </row>
    <row r="52" spans="1:1" ht="15" x14ac:dyDescent="0.2">
      <c r="A52" s="82"/>
    </row>
    <row r="53" spans="1:1" x14ac:dyDescent="0.2">
      <c r="A53" s="83" t="s">
        <v>2553</v>
      </c>
    </row>
    <row r="54" spans="1:1" x14ac:dyDescent="0.2">
      <c r="A54" s="84" t="s">
        <v>2674</v>
      </c>
    </row>
    <row r="55" spans="1:1" x14ac:dyDescent="0.2">
      <c r="A55" s="84" t="s">
        <v>2675</v>
      </c>
    </row>
    <row r="56" spans="1:1" x14ac:dyDescent="0.2">
      <c r="A56" s="84" t="s">
        <v>2676</v>
      </c>
    </row>
    <row r="57" spans="1:1" x14ac:dyDescent="0.2">
      <c r="A57" s="84" t="s">
        <v>2677</v>
      </c>
    </row>
    <row r="58" spans="1:1" x14ac:dyDescent="0.2">
      <c r="A58" s="84" t="s">
        <v>3617</v>
      </c>
    </row>
    <row r="59" spans="1:1" x14ac:dyDescent="0.2">
      <c r="A59" s="84" t="s">
        <v>2678</v>
      </c>
    </row>
    <row r="60" spans="1:1" ht="15" x14ac:dyDescent="0.2">
      <c r="A60" s="82"/>
    </row>
    <row r="61" spans="1:1" x14ac:dyDescent="0.2">
      <c r="A61" s="83" t="s">
        <v>2565</v>
      </c>
    </row>
    <row r="62" spans="1:1" x14ac:dyDescent="0.2">
      <c r="A62" s="84" t="s">
        <v>2685</v>
      </c>
    </row>
    <row r="63" spans="1:1" x14ac:dyDescent="0.2">
      <c r="A63" s="84" t="s">
        <v>2686</v>
      </c>
    </row>
    <row r="64" spans="1:1" x14ac:dyDescent="0.2">
      <c r="A64" s="84" t="s">
        <v>2687</v>
      </c>
    </row>
    <row r="65" spans="1:1" x14ac:dyDescent="0.2">
      <c r="A65" s="84" t="s">
        <v>2688</v>
      </c>
    </row>
    <row r="66" spans="1:1" x14ac:dyDescent="0.2">
      <c r="A66" s="84" t="s">
        <v>2689</v>
      </c>
    </row>
    <row r="67" spans="1:1" x14ac:dyDescent="0.2">
      <c r="A67" s="84" t="s">
        <v>2690</v>
      </c>
    </row>
    <row r="68" spans="1:1" x14ac:dyDescent="0.2">
      <c r="A68" s="51" t="s">
        <v>815</v>
      </c>
    </row>
    <row r="69" spans="1:1" ht="15" x14ac:dyDescent="0.2">
      <c r="A69" s="82"/>
    </row>
    <row r="70" spans="1:1" x14ac:dyDescent="0.2">
      <c r="A70" s="83" t="s">
        <v>3777</v>
      </c>
    </row>
    <row r="71" spans="1:1" x14ac:dyDescent="0.2">
      <c r="A71" s="84" t="s">
        <v>2691</v>
      </c>
    </row>
    <row r="72" spans="1:1" x14ac:dyDescent="0.2">
      <c r="A72" s="84" t="s">
        <v>2692</v>
      </c>
    </row>
    <row r="73" spans="1:1" x14ac:dyDescent="0.2">
      <c r="A73" s="84" t="s">
        <v>2693</v>
      </c>
    </row>
    <row r="74" spans="1:1" x14ac:dyDescent="0.2">
      <c r="A74" s="84" t="s">
        <v>2694</v>
      </c>
    </row>
    <row r="75" spans="1:1" x14ac:dyDescent="0.2">
      <c r="A75" s="84" t="s">
        <v>2695</v>
      </c>
    </row>
    <row r="76" spans="1:1" x14ac:dyDescent="0.2">
      <c r="A76" s="84" t="s">
        <v>2696</v>
      </c>
    </row>
    <row r="77" spans="1:1" ht="15" x14ac:dyDescent="0.2">
      <c r="A77" s="82"/>
    </row>
    <row r="78" spans="1:1" x14ac:dyDescent="0.2">
      <c r="A78" s="83" t="s">
        <v>2578</v>
      </c>
    </row>
    <row r="79" spans="1:1" x14ac:dyDescent="0.2">
      <c r="A79" s="84" t="s">
        <v>2697</v>
      </c>
    </row>
    <row r="80" spans="1:1" x14ac:dyDescent="0.2">
      <c r="A80" s="84" t="s">
        <v>2698</v>
      </c>
    </row>
    <row r="81" spans="1:1" x14ac:dyDescent="0.2">
      <c r="A81" s="84" t="s">
        <v>2699</v>
      </c>
    </row>
    <row r="82" spans="1:1" x14ac:dyDescent="0.2">
      <c r="A82" s="84" t="s">
        <v>2343</v>
      </c>
    </row>
    <row r="83" spans="1:1" x14ac:dyDescent="0.2">
      <c r="A83" s="84" t="s">
        <v>2700</v>
      </c>
    </row>
    <row r="84" spans="1:1" x14ac:dyDescent="0.2">
      <c r="A84" s="84" t="s">
        <v>2602</v>
      </c>
    </row>
    <row r="85" spans="1:1" x14ac:dyDescent="0.2">
      <c r="A85" s="51" t="s">
        <v>815</v>
      </c>
    </row>
    <row r="86" spans="1:1" ht="15" x14ac:dyDescent="0.2">
      <c r="A86" s="82"/>
    </row>
    <row r="87" spans="1:1" x14ac:dyDescent="0.2">
      <c r="A87" s="83" t="s">
        <v>2584</v>
      </c>
    </row>
    <row r="88" spans="1:1" x14ac:dyDescent="0.2">
      <c r="A88" s="84" t="s">
        <v>2701</v>
      </c>
    </row>
    <row r="89" spans="1:1" x14ac:dyDescent="0.2">
      <c r="A89" s="84" t="s">
        <v>2702</v>
      </c>
    </row>
    <row r="90" spans="1:1" x14ac:dyDescent="0.2">
      <c r="A90" s="84" t="s">
        <v>2703</v>
      </c>
    </row>
    <row r="91" spans="1:1" x14ac:dyDescent="0.2">
      <c r="A91" s="84" t="s">
        <v>2704</v>
      </c>
    </row>
    <row r="92" spans="1:1" x14ac:dyDescent="0.2">
      <c r="A92" s="84" t="s">
        <v>2705</v>
      </c>
    </row>
    <row r="93" spans="1:1" x14ac:dyDescent="0.2">
      <c r="A93" s="84" t="s">
        <v>2706</v>
      </c>
    </row>
    <row r="94" spans="1:1" ht="15" x14ac:dyDescent="0.2">
      <c r="A94" s="82"/>
    </row>
    <row r="95" spans="1:1" x14ac:dyDescent="0.2">
      <c r="A95" s="83" t="s">
        <v>2591</v>
      </c>
    </row>
    <row r="96" spans="1:1" x14ac:dyDescent="0.2">
      <c r="A96" s="84" t="s">
        <v>2707</v>
      </c>
    </row>
    <row r="97" spans="1:1" x14ac:dyDescent="0.2">
      <c r="A97" s="84" t="s">
        <v>2708</v>
      </c>
    </row>
    <row r="98" spans="1:1" x14ac:dyDescent="0.2">
      <c r="A98" s="84" t="s">
        <v>2709</v>
      </c>
    </row>
    <row r="99" spans="1:1" x14ac:dyDescent="0.2">
      <c r="A99" s="84" t="s">
        <v>2376</v>
      </c>
    </row>
    <row r="100" spans="1:1" x14ac:dyDescent="0.2">
      <c r="A100" s="84" t="s">
        <v>2710</v>
      </c>
    </row>
    <row r="101" spans="1:1" x14ac:dyDescent="0.2">
      <c r="A101" s="84" t="s">
        <v>1980</v>
      </c>
    </row>
    <row r="102" spans="1:1" x14ac:dyDescent="0.2">
      <c r="A102" s="51" t="s">
        <v>815</v>
      </c>
    </row>
    <row r="103" spans="1:1" ht="15" x14ac:dyDescent="0.2">
      <c r="A103" s="82"/>
    </row>
    <row r="104" spans="1:1" x14ac:dyDescent="0.2">
      <c r="A104" s="83" t="s">
        <v>2603</v>
      </c>
    </row>
    <row r="105" spans="1:1" x14ac:dyDescent="0.2">
      <c r="A105" s="84" t="s">
        <v>2716</v>
      </c>
    </row>
    <row r="106" spans="1:1" x14ac:dyDescent="0.2">
      <c r="A106" s="84" t="s">
        <v>2717</v>
      </c>
    </row>
    <row r="107" spans="1:1" x14ac:dyDescent="0.2">
      <c r="A107" s="84" t="s">
        <v>2718</v>
      </c>
    </row>
    <row r="108" spans="1:1" x14ac:dyDescent="0.2">
      <c r="A108" s="84" t="s">
        <v>2719</v>
      </c>
    </row>
    <row r="109" spans="1:1" x14ac:dyDescent="0.2">
      <c r="A109" s="84" t="s">
        <v>2720</v>
      </c>
    </row>
    <row r="110" spans="1:1" x14ac:dyDescent="0.2">
      <c r="A110" s="84" t="s">
        <v>2442</v>
      </c>
    </row>
    <row r="111" spans="1:1" ht="15" x14ac:dyDescent="0.2">
      <c r="A111" s="82"/>
    </row>
    <row r="112" spans="1:1" x14ac:dyDescent="0.2">
      <c r="A112" s="83" t="s">
        <v>3778</v>
      </c>
    </row>
    <row r="113" spans="1:1" x14ac:dyDescent="0.2">
      <c r="A113" s="84" t="s">
        <v>2711</v>
      </c>
    </row>
    <row r="114" spans="1:1" x14ac:dyDescent="0.2">
      <c r="A114" s="84" t="s">
        <v>2712</v>
      </c>
    </row>
    <row r="115" spans="1:1" x14ac:dyDescent="0.2">
      <c r="A115" s="84" t="s">
        <v>2713</v>
      </c>
    </row>
    <row r="116" spans="1:1" x14ac:dyDescent="0.2">
      <c r="A116" s="84" t="s">
        <v>2714</v>
      </c>
    </row>
    <row r="117" spans="1:1" x14ac:dyDescent="0.2">
      <c r="A117" s="84" t="s">
        <v>2715</v>
      </c>
    </row>
    <row r="118" spans="1:1" x14ac:dyDescent="0.2">
      <c r="A118" s="84" t="s">
        <v>2696</v>
      </c>
    </row>
    <row r="119" spans="1:1" ht="15" x14ac:dyDescent="0.2">
      <c r="A119" s="82"/>
    </row>
    <row r="120" spans="1:1" x14ac:dyDescent="0.2">
      <c r="A120" s="83" t="s">
        <v>2609</v>
      </c>
    </row>
    <row r="121" spans="1:1" x14ac:dyDescent="0.2">
      <c r="A121" s="84" t="s">
        <v>2721</v>
      </c>
    </row>
    <row r="122" spans="1:1" x14ac:dyDescent="0.2">
      <c r="A122" s="84" t="s">
        <v>2722</v>
      </c>
    </row>
    <row r="123" spans="1:1" x14ac:dyDescent="0.2">
      <c r="A123" s="84" t="s">
        <v>2723</v>
      </c>
    </row>
    <row r="124" spans="1:1" x14ac:dyDescent="0.2">
      <c r="A124" s="84" t="s">
        <v>2724</v>
      </c>
    </row>
    <row r="125" spans="1:1" x14ac:dyDescent="0.2">
      <c r="A125" s="84" t="s">
        <v>2725</v>
      </c>
    </row>
    <row r="126" spans="1:1" x14ac:dyDescent="0.2">
      <c r="A126" s="84" t="s">
        <v>2602</v>
      </c>
    </row>
    <row r="127" spans="1:1" ht="15" x14ac:dyDescent="0.2">
      <c r="A127" s="82"/>
    </row>
    <row r="128" spans="1:1" x14ac:dyDescent="0.2">
      <c r="A128" s="83" t="s">
        <v>2615</v>
      </c>
    </row>
    <row r="129" spans="1:1" x14ac:dyDescent="0.2">
      <c r="A129" s="84" t="s">
        <v>2726</v>
      </c>
    </row>
    <row r="130" spans="1:1" x14ac:dyDescent="0.2">
      <c r="A130" s="84" t="s">
        <v>2727</v>
      </c>
    </row>
    <row r="131" spans="1:1" x14ac:dyDescent="0.2">
      <c r="A131" s="84" t="s">
        <v>2728</v>
      </c>
    </row>
    <row r="132" spans="1:1" x14ac:dyDescent="0.2">
      <c r="A132" s="84" t="s">
        <v>2729</v>
      </c>
    </row>
    <row r="133" spans="1:1" x14ac:dyDescent="0.2">
      <c r="A133" s="84" t="s">
        <v>2730</v>
      </c>
    </row>
    <row r="134" spans="1:1" x14ac:dyDescent="0.2">
      <c r="A134" s="84" t="s">
        <v>2731</v>
      </c>
    </row>
    <row r="135" spans="1:1" x14ac:dyDescent="0.2">
      <c r="A135" s="51" t="s">
        <v>815</v>
      </c>
    </row>
    <row r="136" spans="1:1" ht="15" x14ac:dyDescent="0.2">
      <c r="A136" s="82"/>
    </row>
    <row r="137" spans="1:1" x14ac:dyDescent="0.2">
      <c r="A137" s="83" t="s">
        <v>2622</v>
      </c>
    </row>
    <row r="138" spans="1:1" x14ac:dyDescent="0.2">
      <c r="A138" s="84" t="s">
        <v>2732</v>
      </c>
    </row>
    <row r="139" spans="1:1" x14ac:dyDescent="0.2">
      <c r="A139" s="84" t="s">
        <v>2733</v>
      </c>
    </row>
    <row r="140" spans="1:1" x14ac:dyDescent="0.2">
      <c r="A140" s="84" t="s">
        <v>3779</v>
      </c>
    </row>
    <row r="141" spans="1:1" x14ac:dyDescent="0.2">
      <c r="A141" s="84" t="s">
        <v>3614</v>
      </c>
    </row>
    <row r="142" spans="1:1" x14ac:dyDescent="0.2">
      <c r="A142" s="84" t="s">
        <v>3780</v>
      </c>
    </row>
    <row r="143" spans="1:1" x14ac:dyDescent="0.2">
      <c r="A143" s="84" t="s">
        <v>2734</v>
      </c>
    </row>
    <row r="144" spans="1:1" ht="15" x14ac:dyDescent="0.2">
      <c r="A144" s="82"/>
    </row>
    <row r="145" spans="1:1" x14ac:dyDescent="0.2">
      <c r="A145" s="83" t="s">
        <v>2628</v>
      </c>
    </row>
    <row r="146" spans="1:1" x14ac:dyDescent="0.2">
      <c r="A146" s="84" t="s">
        <v>2735</v>
      </c>
    </row>
    <row r="147" spans="1:1" x14ac:dyDescent="0.2">
      <c r="A147" s="84" t="s">
        <v>2736</v>
      </c>
    </row>
    <row r="148" spans="1:1" x14ac:dyDescent="0.2">
      <c r="A148" s="84" t="s">
        <v>2737</v>
      </c>
    </row>
    <row r="149" spans="1:1" x14ac:dyDescent="0.2">
      <c r="A149" s="84" t="s">
        <v>914</v>
      </c>
    </row>
    <row r="150" spans="1:1" x14ac:dyDescent="0.2">
      <c r="A150" s="84" t="s">
        <v>2738</v>
      </c>
    </row>
    <row r="151" spans="1:1" x14ac:dyDescent="0.2">
      <c r="A151" s="84" t="s">
        <v>2739</v>
      </c>
    </row>
    <row r="152" spans="1:1" ht="15" x14ac:dyDescent="0.2">
      <c r="A152" s="82"/>
    </row>
    <row r="153" spans="1:1" x14ac:dyDescent="0.2">
      <c r="A153" s="83" t="s">
        <v>2634</v>
      </c>
    </row>
    <row r="154" spans="1:1" x14ac:dyDescent="0.2">
      <c r="A154" s="84" t="s">
        <v>2740</v>
      </c>
    </row>
    <row r="155" spans="1:1" x14ac:dyDescent="0.2">
      <c r="A155" s="84" t="s">
        <v>2741</v>
      </c>
    </row>
    <row r="156" spans="1:1" x14ac:dyDescent="0.2">
      <c r="A156" s="84" t="s">
        <v>2742</v>
      </c>
    </row>
    <row r="157" spans="1:1" x14ac:dyDescent="0.2">
      <c r="A157" s="84" t="s">
        <v>2743</v>
      </c>
    </row>
    <row r="158" spans="1:1" x14ac:dyDescent="0.2">
      <c r="A158" s="84" t="s">
        <v>2744</v>
      </c>
    </row>
    <row r="159" spans="1:1" x14ac:dyDescent="0.2">
      <c r="A159" s="84" t="s">
        <v>2745</v>
      </c>
    </row>
    <row r="160" spans="1:1" ht="15" x14ac:dyDescent="0.2">
      <c r="A160" s="82"/>
    </row>
    <row r="161" spans="1:1" x14ac:dyDescent="0.2">
      <c r="A161" s="83" t="s">
        <v>3618</v>
      </c>
    </row>
    <row r="162" spans="1:1" x14ac:dyDescent="0.2">
      <c r="A162" s="84" t="s">
        <v>2679</v>
      </c>
    </row>
    <row r="163" spans="1:1" x14ac:dyDescent="0.2">
      <c r="A163" s="84" t="s">
        <v>2680</v>
      </c>
    </row>
    <row r="164" spans="1:1" x14ac:dyDescent="0.2">
      <c r="A164" s="84" t="s">
        <v>2681</v>
      </c>
    </row>
    <row r="165" spans="1:1" x14ac:dyDescent="0.2">
      <c r="A165" s="84" t="s">
        <v>2682</v>
      </c>
    </row>
    <row r="166" spans="1:1" x14ac:dyDescent="0.2">
      <c r="A166" s="84" t="s">
        <v>2683</v>
      </c>
    </row>
    <row r="167" spans="1:1" x14ac:dyDescent="0.2">
      <c r="A167" s="84" t="s">
        <v>2684</v>
      </c>
    </row>
    <row r="168" spans="1:1" x14ac:dyDescent="0.2">
      <c r="A168" s="51" t="s">
        <v>815</v>
      </c>
    </row>
    <row r="169" spans="1:1" ht="15" x14ac:dyDescent="0.2">
      <c r="A169" s="82"/>
    </row>
    <row r="170" spans="1:1" x14ac:dyDescent="0.2">
      <c r="A170" s="83" t="s">
        <v>2641</v>
      </c>
    </row>
    <row r="171" spans="1:1" x14ac:dyDescent="0.2">
      <c r="A171" s="84" t="s">
        <v>2746</v>
      </c>
    </row>
    <row r="172" spans="1:1" x14ac:dyDescent="0.2">
      <c r="A172" s="84" t="s">
        <v>2747</v>
      </c>
    </row>
    <row r="173" spans="1:1" x14ac:dyDescent="0.2">
      <c r="A173" s="84" t="s">
        <v>2748</v>
      </c>
    </row>
    <row r="174" spans="1:1" x14ac:dyDescent="0.2">
      <c r="A174" s="84" t="s">
        <v>2749</v>
      </c>
    </row>
    <row r="175" spans="1:1" x14ac:dyDescent="0.2">
      <c r="A175" s="84" t="s">
        <v>2750</v>
      </c>
    </row>
    <row r="176" spans="1:1" x14ac:dyDescent="0.2">
      <c r="A176" s="84" t="s">
        <v>2751</v>
      </c>
    </row>
    <row r="177" spans="1:1" ht="15" x14ac:dyDescent="0.2">
      <c r="A177" s="82"/>
    </row>
    <row r="178" spans="1:1" x14ac:dyDescent="0.2">
      <c r="A178" s="83" t="s">
        <v>2647</v>
      </c>
    </row>
    <row r="179" spans="1:1" x14ac:dyDescent="0.2">
      <c r="A179" s="84" t="s">
        <v>2752</v>
      </c>
    </row>
    <row r="180" spans="1:1" x14ac:dyDescent="0.2">
      <c r="A180" s="84" t="s">
        <v>2753</v>
      </c>
    </row>
    <row r="181" spans="1:1" x14ac:dyDescent="0.2">
      <c r="A181" s="84" t="s">
        <v>2754</v>
      </c>
    </row>
    <row r="182" spans="1:1" x14ac:dyDescent="0.2">
      <c r="A182" s="84" t="s">
        <v>3619</v>
      </c>
    </row>
    <row r="183" spans="1:1" x14ac:dyDescent="0.2">
      <c r="A183" s="84" t="s">
        <v>2755</v>
      </c>
    </row>
    <row r="184" spans="1:1" x14ac:dyDescent="0.2">
      <c r="A184" s="84" t="s">
        <v>2460</v>
      </c>
    </row>
    <row r="185" spans="1:1" x14ac:dyDescent="0.2">
      <c r="A185" s="51" t="s">
        <v>815</v>
      </c>
    </row>
    <row r="186" spans="1:1" ht="15" x14ac:dyDescent="0.2">
      <c r="A186" s="82"/>
    </row>
    <row r="187" spans="1:1" x14ac:dyDescent="0.2">
      <c r="A187" s="83" t="s">
        <v>2652</v>
      </c>
    </row>
    <row r="188" spans="1:1" x14ac:dyDescent="0.2">
      <c r="A188" s="84" t="s">
        <v>2756</v>
      </c>
    </row>
    <row r="189" spans="1:1" x14ac:dyDescent="0.2">
      <c r="A189" s="84" t="s">
        <v>2757</v>
      </c>
    </row>
    <row r="190" spans="1:1" x14ac:dyDescent="0.2">
      <c r="A190" s="84" t="s">
        <v>2758</v>
      </c>
    </row>
    <row r="191" spans="1:1" x14ac:dyDescent="0.2">
      <c r="A191" s="84" t="s">
        <v>1726</v>
      </c>
    </row>
    <row r="192" spans="1:1" x14ac:dyDescent="0.2">
      <c r="A192" s="84" t="s">
        <v>2759</v>
      </c>
    </row>
    <row r="193" spans="1:1" x14ac:dyDescent="0.2">
      <c r="A193" s="84" t="s">
        <v>2760</v>
      </c>
    </row>
    <row r="194" spans="1:1" ht="15" x14ac:dyDescent="0.2">
      <c r="A194" s="82"/>
    </row>
    <row r="195" spans="1:1" x14ac:dyDescent="0.2">
      <c r="A195" s="83" t="s">
        <v>2658</v>
      </c>
    </row>
    <row r="196" spans="1:1" x14ac:dyDescent="0.2">
      <c r="A196" s="84" t="s">
        <v>2761</v>
      </c>
    </row>
    <row r="197" spans="1:1" x14ac:dyDescent="0.2">
      <c r="A197" s="84" t="s">
        <v>2762</v>
      </c>
    </row>
    <row r="198" spans="1:1" x14ac:dyDescent="0.2">
      <c r="A198" s="84" t="s">
        <v>2763</v>
      </c>
    </row>
    <row r="199" spans="1:1" x14ac:dyDescent="0.2">
      <c r="A199" s="84" t="s">
        <v>2764</v>
      </c>
    </row>
    <row r="200" spans="1:1" x14ac:dyDescent="0.2">
      <c r="A200" s="84" t="s">
        <v>2765</v>
      </c>
    </row>
    <row r="201" spans="1:1" x14ac:dyDescent="0.2">
      <c r="A201" s="84" t="s">
        <v>2766</v>
      </c>
    </row>
    <row r="202" spans="1:1" ht="15" x14ac:dyDescent="0.2">
      <c r="A202" s="82"/>
    </row>
    <row r="203" spans="1:1" x14ac:dyDescent="0.2">
      <c r="A203" s="83"/>
    </row>
    <row r="204" spans="1:1" x14ac:dyDescent="0.2">
      <c r="A204" s="84"/>
    </row>
    <row r="205" spans="1:1" x14ac:dyDescent="0.2">
      <c r="A205" s="84"/>
    </row>
    <row r="206" spans="1:1" x14ac:dyDescent="0.2">
      <c r="A206" s="84"/>
    </row>
    <row r="207" spans="1:1" x14ac:dyDescent="0.2">
      <c r="A207" s="84"/>
    </row>
    <row r="208" spans="1:1" x14ac:dyDescent="0.2">
      <c r="A208" s="84"/>
    </row>
    <row r="209" spans="1:1" x14ac:dyDescent="0.2">
      <c r="A209" s="84"/>
    </row>
    <row r="210" spans="1:1" ht="15" x14ac:dyDescent="0.2">
      <c r="A210" s="82"/>
    </row>
    <row r="211" spans="1:1" x14ac:dyDescent="0.2">
      <c r="A211" s="83"/>
    </row>
    <row r="212" spans="1:1" x14ac:dyDescent="0.2">
      <c r="A212" s="84"/>
    </row>
    <row r="213" spans="1:1" x14ac:dyDescent="0.2">
      <c r="A213" s="84"/>
    </row>
    <row r="214" spans="1:1" x14ac:dyDescent="0.2">
      <c r="A214" s="84"/>
    </row>
    <row r="215" spans="1:1" x14ac:dyDescent="0.2">
      <c r="A215" s="84"/>
    </row>
    <row r="216" spans="1:1" x14ac:dyDescent="0.2">
      <c r="A216" s="84"/>
    </row>
    <row r="217" spans="1:1" x14ac:dyDescent="0.2">
      <c r="A217" s="84"/>
    </row>
    <row r="218" spans="1:1" ht="15" x14ac:dyDescent="0.2">
      <c r="A218" s="82"/>
    </row>
    <row r="219" spans="1:1" x14ac:dyDescent="0.2">
      <c r="A219" s="83"/>
    </row>
    <row r="220" spans="1:1" x14ac:dyDescent="0.2">
      <c r="A220" s="84"/>
    </row>
    <row r="221" spans="1:1" x14ac:dyDescent="0.2">
      <c r="A221" s="84"/>
    </row>
    <row r="222" spans="1:1" x14ac:dyDescent="0.2">
      <c r="A222" s="84"/>
    </row>
    <row r="223" spans="1:1" x14ac:dyDescent="0.2">
      <c r="A223" s="84"/>
    </row>
    <row r="224" spans="1:1" x14ac:dyDescent="0.2">
      <c r="A224" s="84"/>
    </row>
    <row r="225" spans="1:1" x14ac:dyDescent="0.2">
      <c r="A225" s="84"/>
    </row>
    <row r="226" spans="1:1" ht="15" x14ac:dyDescent="0.2">
      <c r="A226" s="82"/>
    </row>
    <row r="227" spans="1:1" x14ac:dyDescent="0.2">
      <c r="A227" s="83"/>
    </row>
    <row r="228" spans="1:1" x14ac:dyDescent="0.2">
      <c r="A228" s="84"/>
    </row>
    <row r="229" spans="1:1" x14ac:dyDescent="0.2">
      <c r="A229" s="84"/>
    </row>
    <row r="230" spans="1:1" x14ac:dyDescent="0.2">
      <c r="A230" s="84"/>
    </row>
    <row r="231" spans="1:1" x14ac:dyDescent="0.2">
      <c r="A231" s="84"/>
    </row>
    <row r="232" spans="1:1" x14ac:dyDescent="0.2">
      <c r="A232" s="84"/>
    </row>
    <row r="233" spans="1:1" x14ac:dyDescent="0.2">
      <c r="A233" s="84"/>
    </row>
    <row r="234" spans="1:1" x14ac:dyDescent="0.2">
      <c r="A234" s="47"/>
    </row>
    <row r="235" spans="1:1" x14ac:dyDescent="0.2">
      <c r="A235" s="44"/>
    </row>
    <row r="236" spans="1:1" x14ac:dyDescent="0.2">
      <c r="A236" s="46"/>
    </row>
    <row r="237" spans="1:1" x14ac:dyDescent="0.2">
      <c r="A237" s="47"/>
    </row>
    <row r="238" spans="1:1" x14ac:dyDescent="0.2">
      <c r="A238" s="47"/>
    </row>
    <row r="239" spans="1:1" x14ac:dyDescent="0.2">
      <c r="A239" s="47"/>
    </row>
    <row r="240" spans="1:1" x14ac:dyDescent="0.2">
      <c r="A240" s="47"/>
    </row>
    <row r="241" spans="1:1" x14ac:dyDescent="0.2">
      <c r="A241" s="47"/>
    </row>
    <row r="242" spans="1:1" x14ac:dyDescent="0.2">
      <c r="A242" s="47"/>
    </row>
    <row r="243" spans="1:1" x14ac:dyDescent="0.2">
      <c r="A243" s="51"/>
    </row>
    <row r="244" spans="1:1" x14ac:dyDescent="0.2">
      <c r="A244" s="44"/>
    </row>
    <row r="245" spans="1:1" x14ac:dyDescent="0.2">
      <c r="A245" s="46"/>
    </row>
    <row r="246" spans="1:1" x14ac:dyDescent="0.2">
      <c r="A246" s="47"/>
    </row>
    <row r="247" spans="1:1" x14ac:dyDescent="0.2">
      <c r="A247" s="47"/>
    </row>
    <row r="248" spans="1:1" x14ac:dyDescent="0.2">
      <c r="A248" s="47"/>
    </row>
    <row r="249" spans="1:1" x14ac:dyDescent="0.2">
      <c r="A249" s="47"/>
    </row>
    <row r="250" spans="1:1" x14ac:dyDescent="0.2">
      <c r="A250" s="47"/>
    </row>
    <row r="251" spans="1:1" x14ac:dyDescent="0.2">
      <c r="A251" s="47"/>
    </row>
    <row r="252" spans="1:1" x14ac:dyDescent="0.2">
      <c r="A252" s="44"/>
    </row>
    <row r="253" spans="1:1" x14ac:dyDescent="0.2">
      <c r="A253" s="46"/>
    </row>
    <row r="254" spans="1:1" x14ac:dyDescent="0.2">
      <c r="A254" s="47"/>
    </row>
    <row r="255" spans="1:1" x14ac:dyDescent="0.2">
      <c r="A255" s="47"/>
    </row>
    <row r="256" spans="1:1" x14ac:dyDescent="0.2">
      <c r="A256" s="47"/>
    </row>
    <row r="257" spans="1:1" x14ac:dyDescent="0.2">
      <c r="A257" s="47"/>
    </row>
    <row r="258" spans="1:1" x14ac:dyDescent="0.2">
      <c r="A258" s="47"/>
    </row>
    <row r="259" spans="1:1" x14ac:dyDescent="0.2">
      <c r="A259" s="47"/>
    </row>
    <row r="260" spans="1:1" x14ac:dyDescent="0.2">
      <c r="A260" s="47"/>
    </row>
    <row r="261" spans="1:1" x14ac:dyDescent="0.2">
      <c r="A261" s="44"/>
    </row>
    <row r="262" spans="1:1" x14ac:dyDescent="0.2">
      <c r="A262" s="46"/>
    </row>
    <row r="263" spans="1:1" x14ac:dyDescent="0.2">
      <c r="A263" s="47"/>
    </row>
    <row r="264" spans="1:1" x14ac:dyDescent="0.2">
      <c r="A264" s="47"/>
    </row>
    <row r="265" spans="1:1" x14ac:dyDescent="0.2">
      <c r="A265" s="47"/>
    </row>
    <row r="266" spans="1:1" x14ac:dyDescent="0.2">
      <c r="A266" s="47"/>
    </row>
    <row r="267" spans="1:1" x14ac:dyDescent="0.2">
      <c r="A267" s="47"/>
    </row>
    <row r="268" spans="1:1" x14ac:dyDescent="0.2">
      <c r="A268" s="47"/>
    </row>
    <row r="269" spans="1:1" x14ac:dyDescent="0.2">
      <c r="A269" s="44"/>
    </row>
    <row r="270" spans="1:1" x14ac:dyDescent="0.2">
      <c r="A270" s="46"/>
    </row>
    <row r="271" spans="1:1" x14ac:dyDescent="0.2">
      <c r="A271" s="47"/>
    </row>
    <row r="272" spans="1:1" x14ac:dyDescent="0.2">
      <c r="A272" s="47"/>
    </row>
    <row r="273" spans="1:1" x14ac:dyDescent="0.2">
      <c r="A273" s="47"/>
    </row>
    <row r="274" spans="1:1" x14ac:dyDescent="0.2">
      <c r="A274" s="47"/>
    </row>
    <row r="275" spans="1:1" x14ac:dyDescent="0.2">
      <c r="A275" s="47"/>
    </row>
    <row r="276" spans="1:1" x14ac:dyDescent="0.2">
      <c r="A276" s="47"/>
    </row>
    <row r="277" spans="1:1" x14ac:dyDescent="0.2">
      <c r="A277" s="46"/>
    </row>
    <row r="278" spans="1:1" x14ac:dyDescent="0.2">
      <c r="A278" s="47"/>
    </row>
    <row r="279" spans="1:1" x14ac:dyDescent="0.2">
      <c r="A279" s="47"/>
    </row>
    <row r="280" spans="1:1" x14ac:dyDescent="0.2">
      <c r="A280" s="47"/>
    </row>
    <row r="281" spans="1:1" x14ac:dyDescent="0.2">
      <c r="A281" s="47"/>
    </row>
    <row r="282" spans="1:1" x14ac:dyDescent="0.2">
      <c r="A282" s="47"/>
    </row>
    <row r="283" spans="1:1" x14ac:dyDescent="0.2">
      <c r="A283" s="47"/>
    </row>
  </sheetData>
  <hyperlinks>
    <hyperlink ref="A19" display="+ Informações sobre Filiais"/>
    <hyperlink ref="A68" display="+ Informações sobre Filiais"/>
    <hyperlink ref="A85" display="+ Informações sobre Filiais"/>
    <hyperlink ref="A102" display="+ Informações sobre Filiais"/>
    <hyperlink ref="A135" display="+ Informações sobre Filiais"/>
    <hyperlink ref="A168" display="+ Informações sobre Filiais"/>
    <hyperlink ref="A185" display="+ Informações sobre Filiais"/>
  </hyperlink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273"/>
  <sheetViews>
    <sheetView tabSelected="1"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15.85546875" style="7" bestFit="1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2767</v>
      </c>
      <c r="E1" s="43" t="s">
        <v>2768</v>
      </c>
      <c r="F1" s="7">
        <f>COUNTIF(F3:F65536,"&lt;&gt;")</f>
        <v>23</v>
      </c>
      <c r="H1" s="7" t="s">
        <v>3798</v>
      </c>
    </row>
    <row r="2" spans="1:12" ht="15" x14ac:dyDescent="0.2">
      <c r="A2" s="82"/>
      <c r="E2" s="43" t="s">
        <v>1614</v>
      </c>
      <c r="F2" s="43" t="s">
        <v>1615</v>
      </c>
      <c r="G2" s="43" t="s">
        <v>1616</v>
      </c>
      <c r="H2" s="43" t="s">
        <v>1617</v>
      </c>
      <c r="I2" s="43" t="s">
        <v>1618</v>
      </c>
      <c r="J2" s="43" t="s">
        <v>1619</v>
      </c>
      <c r="K2" s="43" t="s">
        <v>1620</v>
      </c>
      <c r="L2" s="43" t="s">
        <v>1621</v>
      </c>
    </row>
    <row r="3" spans="1:12" ht="15" x14ac:dyDescent="0.2">
      <c r="A3" s="82"/>
      <c r="D3" s="7" t="str">
        <f>VLOOKUP(G3,Cedentes!$G$127:$G$149,1,0)</f>
        <v>10014</v>
      </c>
      <c r="E3" s="7" t="s">
        <v>3620</v>
      </c>
      <c r="F3" s="7" t="s">
        <v>638</v>
      </c>
      <c r="G3" s="45" t="s">
        <v>2769</v>
      </c>
      <c r="H3" s="7" t="s">
        <v>639</v>
      </c>
      <c r="I3" s="7" t="s">
        <v>640</v>
      </c>
      <c r="J3" s="7" t="s">
        <v>2770</v>
      </c>
      <c r="K3" s="7" t="s">
        <v>2771</v>
      </c>
      <c r="L3" s="8">
        <v>32105</v>
      </c>
    </row>
    <row r="4" spans="1:12" x14ac:dyDescent="0.2">
      <c r="A4" s="83" t="s">
        <v>3620</v>
      </c>
      <c r="D4" s="7" t="str">
        <f>VLOOKUP(G4,Cedentes!$G$127:$G$149,1,0)</f>
        <v>10065</v>
      </c>
      <c r="E4" s="7" t="s">
        <v>641</v>
      </c>
      <c r="F4" s="7" t="s">
        <v>642</v>
      </c>
      <c r="G4" s="45" t="s">
        <v>2772</v>
      </c>
      <c r="H4" s="7" t="s">
        <v>643</v>
      </c>
      <c r="I4" s="7" t="s">
        <v>193</v>
      </c>
      <c r="J4" s="7" t="s">
        <v>2773</v>
      </c>
      <c r="K4" s="7" t="s">
        <v>2774</v>
      </c>
      <c r="L4" s="8">
        <v>29504</v>
      </c>
    </row>
    <row r="5" spans="1:12" x14ac:dyDescent="0.2">
      <c r="A5" s="84" t="s">
        <v>2775</v>
      </c>
      <c r="D5" s="7" t="str">
        <f>VLOOKUP(G5,Cedentes!$G$127:$G$149,1,0)</f>
        <v>10677</v>
      </c>
      <c r="E5" s="7" t="s">
        <v>644</v>
      </c>
      <c r="F5" s="7" t="s">
        <v>645</v>
      </c>
      <c r="G5" s="45" t="s">
        <v>2776</v>
      </c>
      <c r="H5" s="7" t="s">
        <v>646</v>
      </c>
      <c r="I5" s="7" t="s">
        <v>111</v>
      </c>
      <c r="J5" s="7" t="s">
        <v>2777</v>
      </c>
      <c r="K5" s="7" t="s">
        <v>2778</v>
      </c>
      <c r="L5" s="8">
        <v>32764</v>
      </c>
    </row>
    <row r="6" spans="1:12" x14ac:dyDescent="0.2">
      <c r="A6" s="84" t="s">
        <v>2779</v>
      </c>
      <c r="D6" s="7" t="str">
        <f>VLOOKUP(G6,Cedentes!$G$127:$G$149,1,0)</f>
        <v>10103</v>
      </c>
      <c r="E6" s="7" t="s">
        <v>647</v>
      </c>
      <c r="F6" s="7" t="s">
        <v>648</v>
      </c>
      <c r="G6" s="45" t="s">
        <v>2780</v>
      </c>
      <c r="H6" s="7" t="s">
        <v>649</v>
      </c>
      <c r="I6" s="7" t="s">
        <v>57</v>
      </c>
      <c r="J6" s="7" t="s">
        <v>2781</v>
      </c>
      <c r="K6" s="7" t="s">
        <v>2782</v>
      </c>
      <c r="L6" s="8">
        <v>31222</v>
      </c>
    </row>
    <row r="7" spans="1:12" x14ac:dyDescent="0.2">
      <c r="A7" s="84" t="s">
        <v>2783</v>
      </c>
      <c r="D7" s="7" t="str">
        <f>VLOOKUP(G7,Cedentes!$G$127:$G$149,1,0)</f>
        <v>11134</v>
      </c>
      <c r="E7" s="7" t="s">
        <v>650</v>
      </c>
      <c r="F7" s="7" t="s">
        <v>651</v>
      </c>
      <c r="G7" s="45" t="s">
        <v>2784</v>
      </c>
      <c r="H7" s="7" t="s">
        <v>652</v>
      </c>
      <c r="I7" s="7" t="s">
        <v>193</v>
      </c>
      <c r="J7" s="7" t="s">
        <v>1036</v>
      </c>
      <c r="K7" s="7" t="s">
        <v>2785</v>
      </c>
      <c r="L7" s="8">
        <v>32703</v>
      </c>
    </row>
    <row r="8" spans="1:12" x14ac:dyDescent="0.2">
      <c r="A8" s="84" t="s">
        <v>2786</v>
      </c>
      <c r="D8" s="7" t="str">
        <f>VLOOKUP(G8,Cedentes!$G$127:$G$149,1,0)</f>
        <v>10979</v>
      </c>
      <c r="E8" s="7" t="s">
        <v>653</v>
      </c>
      <c r="F8" s="7" t="s">
        <v>654</v>
      </c>
      <c r="G8" s="45" t="s">
        <v>2787</v>
      </c>
      <c r="H8" s="7" t="s">
        <v>655</v>
      </c>
      <c r="I8" s="7" t="s">
        <v>135</v>
      </c>
      <c r="J8" s="7" t="s">
        <v>2788</v>
      </c>
      <c r="K8" s="7" t="s">
        <v>2789</v>
      </c>
      <c r="L8" s="8">
        <v>29835</v>
      </c>
    </row>
    <row r="9" spans="1:12" x14ac:dyDescent="0.2">
      <c r="A9" s="84" t="s">
        <v>2790</v>
      </c>
      <c r="D9" s="7" t="str">
        <f>VLOOKUP(G9,Cedentes!$G$127:$G$149,1,0)</f>
        <v>10138</v>
      </c>
      <c r="E9" s="7" t="s">
        <v>656</v>
      </c>
      <c r="F9" s="7" t="s">
        <v>657</v>
      </c>
      <c r="G9" s="45" t="s">
        <v>2791</v>
      </c>
      <c r="H9" s="7" t="s">
        <v>658</v>
      </c>
      <c r="I9" s="7" t="s">
        <v>57</v>
      </c>
      <c r="J9" s="7" t="s">
        <v>2792</v>
      </c>
      <c r="K9" s="7" t="s">
        <v>2793</v>
      </c>
      <c r="L9" s="8">
        <v>29578</v>
      </c>
    </row>
    <row r="10" spans="1:12" x14ac:dyDescent="0.2">
      <c r="A10" s="84" t="s">
        <v>2794</v>
      </c>
      <c r="D10" s="7" t="str">
        <f>VLOOKUP(G10,Cedentes!$G$127:$G$149,1,0)</f>
        <v>15580</v>
      </c>
      <c r="E10" s="7" t="s">
        <v>659</v>
      </c>
      <c r="F10" s="7" t="s">
        <v>660</v>
      </c>
      <c r="G10" s="45" t="s">
        <v>2795</v>
      </c>
      <c r="H10" s="7" t="s">
        <v>661</v>
      </c>
      <c r="I10" s="7" t="s">
        <v>142</v>
      </c>
      <c r="J10" s="7" t="s">
        <v>810</v>
      </c>
      <c r="K10" s="7" t="s">
        <v>811</v>
      </c>
      <c r="L10" s="8">
        <v>37493</v>
      </c>
    </row>
    <row r="11" spans="1:12" ht="15" x14ac:dyDescent="0.2">
      <c r="A11" s="82"/>
      <c r="D11" s="7" t="str">
        <f>VLOOKUP(G11,Cedentes!$G$127:$G$149,1,0)</f>
        <v>11070</v>
      </c>
      <c r="E11" s="7" t="s">
        <v>3787</v>
      </c>
      <c r="F11" s="7" t="s">
        <v>701</v>
      </c>
      <c r="G11" s="45" t="s">
        <v>2831</v>
      </c>
      <c r="H11" s="7" t="s">
        <v>702</v>
      </c>
      <c r="I11" s="7" t="s">
        <v>111</v>
      </c>
      <c r="J11" s="7" t="s">
        <v>894</v>
      </c>
      <c r="K11" s="7" t="s">
        <v>2832</v>
      </c>
      <c r="L11" s="8">
        <v>29224</v>
      </c>
    </row>
    <row r="12" spans="1:12" x14ac:dyDescent="0.2">
      <c r="A12" s="83" t="s">
        <v>641</v>
      </c>
      <c r="D12" s="7" t="str">
        <f>VLOOKUP(G12,Cedentes!$G$127:$G$149,1,0)</f>
        <v>10120</v>
      </c>
      <c r="E12" s="7" t="s">
        <v>662</v>
      </c>
      <c r="F12" s="7" t="s">
        <v>663</v>
      </c>
      <c r="G12" s="45" t="s">
        <v>2796</v>
      </c>
      <c r="H12" s="7" t="s">
        <v>664</v>
      </c>
      <c r="I12" s="7" t="s">
        <v>665</v>
      </c>
      <c r="J12" s="7" t="s">
        <v>2797</v>
      </c>
      <c r="K12" s="7" t="s">
        <v>2798</v>
      </c>
      <c r="L12" s="8">
        <v>34053</v>
      </c>
    </row>
    <row r="13" spans="1:12" x14ac:dyDescent="0.2">
      <c r="A13" s="84" t="s">
        <v>2801</v>
      </c>
      <c r="D13" s="7" t="str">
        <f>VLOOKUP(G13,Cedentes!$G$127:$G$149,1,0)</f>
        <v>10413</v>
      </c>
      <c r="E13" s="7" t="s">
        <v>666</v>
      </c>
      <c r="F13" s="7" t="s">
        <v>667</v>
      </c>
      <c r="G13" s="45" t="s">
        <v>2799</v>
      </c>
      <c r="H13" s="7" t="s">
        <v>668</v>
      </c>
      <c r="I13" s="7" t="s">
        <v>135</v>
      </c>
      <c r="J13" s="7" t="s">
        <v>2800</v>
      </c>
      <c r="K13" s="7" t="s">
        <v>3793</v>
      </c>
      <c r="L13" s="8">
        <v>30932</v>
      </c>
    </row>
    <row r="14" spans="1:12" x14ac:dyDescent="0.2">
      <c r="A14" s="84" t="s">
        <v>2803</v>
      </c>
      <c r="D14" s="7" t="str">
        <f>VLOOKUP(G14,Cedentes!$G$127:$G$149,1,0)</f>
        <v>11088</v>
      </c>
      <c r="E14" s="7" t="s">
        <v>669</v>
      </c>
      <c r="F14" s="7" t="s">
        <v>670</v>
      </c>
      <c r="G14" s="45" t="s">
        <v>2802</v>
      </c>
      <c r="H14" s="7" t="s">
        <v>3794</v>
      </c>
      <c r="I14" s="7" t="s">
        <v>193</v>
      </c>
      <c r="J14" s="7" t="s">
        <v>1036</v>
      </c>
      <c r="K14" s="7" t="s">
        <v>3795</v>
      </c>
      <c r="L14" s="8">
        <v>29738</v>
      </c>
    </row>
    <row r="15" spans="1:12" x14ac:dyDescent="0.2">
      <c r="A15" s="84" t="s">
        <v>2805</v>
      </c>
      <c r="D15" s="7" t="str">
        <f>VLOOKUP(G15,Cedentes!$G$127:$G$149,1,0)</f>
        <v>10448</v>
      </c>
      <c r="E15" s="7" t="s">
        <v>672</v>
      </c>
      <c r="F15" s="7" t="s">
        <v>673</v>
      </c>
      <c r="G15" s="45" t="s">
        <v>2804</v>
      </c>
      <c r="H15" s="7" t="s">
        <v>674</v>
      </c>
      <c r="I15" s="7" t="s">
        <v>193</v>
      </c>
      <c r="J15" s="7" t="s">
        <v>897</v>
      </c>
      <c r="K15" s="7" t="s">
        <v>898</v>
      </c>
      <c r="L15" s="8">
        <v>29649</v>
      </c>
    </row>
    <row r="16" spans="1:12" x14ac:dyDescent="0.2">
      <c r="A16" s="84" t="s">
        <v>2809</v>
      </c>
      <c r="D16" s="7" t="str">
        <f>VLOOKUP(G16,Cedentes!$G$127:$G$149,1,0)</f>
        <v>11304</v>
      </c>
      <c r="E16" s="7" t="s">
        <v>675</v>
      </c>
      <c r="F16" s="7" t="s">
        <v>676</v>
      </c>
      <c r="G16" s="45" t="s">
        <v>2806</v>
      </c>
      <c r="H16" s="7" t="s">
        <v>677</v>
      </c>
      <c r="I16" s="7" t="s">
        <v>193</v>
      </c>
      <c r="J16" s="7" t="s">
        <v>2807</v>
      </c>
      <c r="K16" s="7" t="s">
        <v>2808</v>
      </c>
      <c r="L16" s="8">
        <v>34877</v>
      </c>
    </row>
    <row r="17" spans="1:12" x14ac:dyDescent="0.2">
      <c r="A17" s="84" t="s">
        <v>2812</v>
      </c>
      <c r="D17" s="7" t="str">
        <f>VLOOKUP(G17,Cedentes!$G$127:$G$149,1,0)</f>
        <v>10707</v>
      </c>
      <c r="E17" s="7" t="s">
        <v>678</v>
      </c>
      <c r="F17" s="7" t="s">
        <v>679</v>
      </c>
      <c r="G17" s="45" t="s">
        <v>2810</v>
      </c>
      <c r="H17" s="7" t="s">
        <v>680</v>
      </c>
      <c r="I17" s="7" t="s">
        <v>193</v>
      </c>
      <c r="J17" s="7" t="s">
        <v>964</v>
      </c>
      <c r="K17" s="7" t="s">
        <v>2811</v>
      </c>
      <c r="L17" s="8">
        <v>34464</v>
      </c>
    </row>
    <row r="18" spans="1:12" x14ac:dyDescent="0.2">
      <c r="A18" s="84" t="s">
        <v>2816</v>
      </c>
      <c r="D18" s="7" t="str">
        <f>VLOOKUP(G18,Cedentes!$G$127:$G$149,1,0)</f>
        <v>11126</v>
      </c>
      <c r="E18" s="7" t="s">
        <v>681</v>
      </c>
      <c r="F18" s="7" t="s">
        <v>682</v>
      </c>
      <c r="G18" s="45" t="s">
        <v>2813</v>
      </c>
      <c r="H18" s="7" t="s">
        <v>683</v>
      </c>
      <c r="I18" s="7" t="s">
        <v>111</v>
      </c>
      <c r="J18" s="7" t="s">
        <v>2814</v>
      </c>
      <c r="K18" s="7" t="s">
        <v>2815</v>
      </c>
      <c r="L18" s="8">
        <v>29652</v>
      </c>
    </row>
    <row r="19" spans="1:12" x14ac:dyDescent="0.2">
      <c r="A19" s="51" t="s">
        <v>815</v>
      </c>
      <c r="D19" s="7" t="str">
        <f>VLOOKUP(G19,Cedentes!$G$127:$G$149,1,0)</f>
        <v>10961</v>
      </c>
      <c r="E19" s="7" t="s">
        <v>684</v>
      </c>
      <c r="F19" s="7" t="s">
        <v>685</v>
      </c>
      <c r="G19" s="45" t="s">
        <v>2817</v>
      </c>
      <c r="H19" s="7" t="s">
        <v>686</v>
      </c>
      <c r="I19" s="7" t="s">
        <v>77</v>
      </c>
      <c r="J19" s="7" t="s">
        <v>2818</v>
      </c>
      <c r="K19" s="7" t="s">
        <v>2819</v>
      </c>
      <c r="L19" s="8">
        <v>36264</v>
      </c>
    </row>
    <row r="20" spans="1:12" ht="15" x14ac:dyDescent="0.2">
      <c r="A20" s="82"/>
      <c r="D20" s="7" t="str">
        <f>VLOOKUP(G20,Cedentes!$G$127:$G$149,1,0)</f>
        <v>10847</v>
      </c>
      <c r="E20" s="7" t="s">
        <v>687</v>
      </c>
      <c r="F20" s="7" t="s">
        <v>688</v>
      </c>
      <c r="G20" s="45" t="s">
        <v>2820</v>
      </c>
      <c r="H20" s="7" t="s">
        <v>689</v>
      </c>
      <c r="I20" s="7" t="s">
        <v>111</v>
      </c>
      <c r="J20" s="7" t="s">
        <v>2821</v>
      </c>
      <c r="K20" s="7" t="s">
        <v>2822</v>
      </c>
      <c r="L20" s="8">
        <v>34541</v>
      </c>
    </row>
    <row r="21" spans="1:12" x14ac:dyDescent="0.2">
      <c r="A21" s="83" t="s">
        <v>644</v>
      </c>
      <c r="D21" s="7" t="str">
        <f>VLOOKUP(G21,Cedentes!$G$127:$G$149,1,0)</f>
        <v>10898</v>
      </c>
      <c r="E21" s="7" t="s">
        <v>690</v>
      </c>
      <c r="F21" s="7" t="s">
        <v>691</v>
      </c>
      <c r="G21" s="45" t="s">
        <v>2823</v>
      </c>
      <c r="H21" s="7" t="s">
        <v>692</v>
      </c>
      <c r="I21" s="7" t="s">
        <v>111</v>
      </c>
      <c r="J21" s="7" t="s">
        <v>2574</v>
      </c>
      <c r="K21" s="7" t="s">
        <v>2824</v>
      </c>
      <c r="L21" s="8">
        <v>29224</v>
      </c>
    </row>
    <row r="22" spans="1:12" x14ac:dyDescent="0.2">
      <c r="A22" s="84" t="s">
        <v>2826</v>
      </c>
      <c r="D22" s="7" t="str">
        <f>VLOOKUP(G22,Cedentes!$G$127:$G$149,1,0)</f>
        <v>10901</v>
      </c>
      <c r="E22" s="7" t="s">
        <v>693</v>
      </c>
      <c r="F22" s="7" t="s">
        <v>694</v>
      </c>
      <c r="G22" s="45" t="s">
        <v>2825</v>
      </c>
      <c r="H22" s="7" t="s">
        <v>695</v>
      </c>
      <c r="I22" s="7" t="s">
        <v>193</v>
      </c>
      <c r="J22" s="7" t="s">
        <v>897</v>
      </c>
      <c r="K22" s="7" t="s">
        <v>3796</v>
      </c>
      <c r="L22" s="8">
        <v>29504</v>
      </c>
    </row>
    <row r="23" spans="1:12" x14ac:dyDescent="0.2">
      <c r="A23" s="84" t="s">
        <v>2830</v>
      </c>
      <c r="D23" s="7" t="str">
        <f>VLOOKUP(G23,Cedentes!$G$127:$G$149,1,0)</f>
        <v>10987</v>
      </c>
      <c r="E23" s="7" t="s">
        <v>696</v>
      </c>
      <c r="F23" s="7" t="s">
        <v>697</v>
      </c>
      <c r="G23" s="45" t="s">
        <v>2827</v>
      </c>
      <c r="H23" s="7" t="s">
        <v>698</v>
      </c>
      <c r="I23" s="7" t="s">
        <v>699</v>
      </c>
      <c r="J23" s="7" t="s">
        <v>2828</v>
      </c>
      <c r="K23" s="7" t="s">
        <v>2829</v>
      </c>
      <c r="L23" s="8">
        <v>29383</v>
      </c>
    </row>
    <row r="24" spans="1:12" x14ac:dyDescent="0.2">
      <c r="A24" s="84" t="s">
        <v>2833</v>
      </c>
      <c r="D24" s="7" t="str">
        <f>VLOOKUP(G24,Cedentes!$G$127:$G$149,1,0)</f>
        <v>11096</v>
      </c>
      <c r="E24" s="7" t="s">
        <v>703</v>
      </c>
      <c r="F24" s="7" t="s">
        <v>704</v>
      </c>
      <c r="G24" s="45" t="s">
        <v>2834</v>
      </c>
      <c r="H24" s="7" t="s">
        <v>705</v>
      </c>
      <c r="I24" s="7" t="s">
        <v>94</v>
      </c>
      <c r="J24" s="7" t="s">
        <v>2835</v>
      </c>
      <c r="K24" s="7" t="s">
        <v>3797</v>
      </c>
      <c r="L24" s="8">
        <v>29383</v>
      </c>
    </row>
    <row r="25" spans="1:12" x14ac:dyDescent="0.2">
      <c r="A25" s="84" t="s">
        <v>2836</v>
      </c>
      <c r="D25" s="7" t="str">
        <f>VLOOKUP(G25,Cedentes!$G$127:$G$149,1,0)</f>
        <v>10031</v>
      </c>
      <c r="E25" s="7" t="s">
        <v>706</v>
      </c>
      <c r="F25" s="7" t="s">
        <v>707</v>
      </c>
      <c r="G25" s="45" t="s">
        <v>2837</v>
      </c>
      <c r="H25" s="7" t="s">
        <v>708</v>
      </c>
      <c r="I25" s="7" t="s">
        <v>135</v>
      </c>
      <c r="J25" s="7" t="s">
        <v>2838</v>
      </c>
      <c r="K25" s="7" t="s">
        <v>2839</v>
      </c>
      <c r="L25" s="8">
        <v>30289</v>
      </c>
    </row>
    <row r="26" spans="1:12" x14ac:dyDescent="0.2">
      <c r="A26" s="84" t="s">
        <v>2840</v>
      </c>
      <c r="G26" s="45"/>
      <c r="L26" s="8"/>
    </row>
    <row r="27" spans="1:12" x14ac:dyDescent="0.2">
      <c r="A27" s="84" t="s">
        <v>2841</v>
      </c>
      <c r="G27" s="45"/>
      <c r="L27" s="8"/>
    </row>
    <row r="28" spans="1:12" ht="15" x14ac:dyDescent="0.2">
      <c r="A28" s="82"/>
      <c r="G28" s="45"/>
      <c r="L28" s="8"/>
    </row>
    <row r="29" spans="1:12" x14ac:dyDescent="0.2">
      <c r="A29" s="83" t="s">
        <v>647</v>
      </c>
      <c r="G29" s="45"/>
      <c r="L29" s="8"/>
    </row>
    <row r="30" spans="1:12" x14ac:dyDescent="0.2">
      <c r="A30" s="84" t="s">
        <v>2842</v>
      </c>
      <c r="G30" s="45"/>
      <c r="L30" s="8"/>
    </row>
    <row r="31" spans="1:12" x14ac:dyDescent="0.2">
      <c r="A31" s="84" t="s">
        <v>2843</v>
      </c>
      <c r="G31" s="45"/>
      <c r="L31" s="8"/>
    </row>
    <row r="32" spans="1:12" x14ac:dyDescent="0.2">
      <c r="A32" s="84" t="s">
        <v>2844</v>
      </c>
      <c r="G32" s="45"/>
      <c r="L32" s="8"/>
    </row>
    <row r="33" spans="1:12" x14ac:dyDescent="0.2">
      <c r="A33" s="84" t="s">
        <v>2845</v>
      </c>
      <c r="G33" s="45"/>
      <c r="L33" s="8"/>
    </row>
    <row r="34" spans="1:12" x14ac:dyDescent="0.2">
      <c r="A34" s="84" t="s">
        <v>2846</v>
      </c>
      <c r="G34" s="45"/>
      <c r="L34" s="8"/>
    </row>
    <row r="35" spans="1:12" x14ac:dyDescent="0.2">
      <c r="A35" s="84" t="s">
        <v>2847</v>
      </c>
      <c r="G35" s="45"/>
      <c r="L35" s="8"/>
    </row>
    <row r="36" spans="1:12" x14ac:dyDescent="0.2">
      <c r="A36" s="51" t="s">
        <v>815</v>
      </c>
      <c r="G36" s="45"/>
    </row>
    <row r="37" spans="1:12" ht="15" x14ac:dyDescent="0.2">
      <c r="A37" s="82"/>
    </row>
    <row r="38" spans="1:12" x14ac:dyDescent="0.2">
      <c r="A38" s="83" t="s">
        <v>650</v>
      </c>
    </row>
    <row r="39" spans="1:12" x14ac:dyDescent="0.2">
      <c r="A39" s="84" t="s">
        <v>2848</v>
      </c>
    </row>
    <row r="40" spans="1:12" x14ac:dyDescent="0.2">
      <c r="A40" s="84" t="s">
        <v>2849</v>
      </c>
    </row>
    <row r="41" spans="1:12" x14ac:dyDescent="0.2">
      <c r="A41" s="84" t="s">
        <v>2850</v>
      </c>
    </row>
    <row r="42" spans="1:12" x14ac:dyDescent="0.2">
      <c r="A42" s="84" t="s">
        <v>1549</v>
      </c>
    </row>
    <row r="43" spans="1:12" x14ac:dyDescent="0.2">
      <c r="A43" s="84" t="s">
        <v>2851</v>
      </c>
    </row>
    <row r="44" spans="1:12" x14ac:dyDescent="0.2">
      <c r="A44" s="84" t="s">
        <v>2852</v>
      </c>
    </row>
    <row r="45" spans="1:12" ht="15" x14ac:dyDescent="0.2">
      <c r="A45" s="82"/>
    </row>
    <row r="46" spans="1:12" x14ac:dyDescent="0.2">
      <c r="A46" s="83" t="s">
        <v>653</v>
      </c>
    </row>
    <row r="47" spans="1:12" x14ac:dyDescent="0.2">
      <c r="A47" s="84" t="s">
        <v>2853</v>
      </c>
    </row>
    <row r="48" spans="1:12" x14ac:dyDescent="0.2">
      <c r="A48" s="84" t="s">
        <v>2854</v>
      </c>
    </row>
    <row r="49" spans="1:1" x14ac:dyDescent="0.2">
      <c r="A49" s="84" t="s">
        <v>2855</v>
      </c>
    </row>
    <row r="50" spans="1:1" x14ac:dyDescent="0.2">
      <c r="A50" s="84" t="s">
        <v>2856</v>
      </c>
    </row>
    <row r="51" spans="1:1" x14ac:dyDescent="0.2">
      <c r="A51" s="84" t="s">
        <v>2857</v>
      </c>
    </row>
    <row r="52" spans="1:1" x14ac:dyDescent="0.2">
      <c r="A52" s="84" t="s">
        <v>2858</v>
      </c>
    </row>
    <row r="53" spans="1:1" ht="15" x14ac:dyDescent="0.2">
      <c r="A53" s="82"/>
    </row>
    <row r="54" spans="1:1" x14ac:dyDescent="0.2">
      <c r="A54" s="83" t="s">
        <v>656</v>
      </c>
    </row>
    <row r="55" spans="1:1" x14ac:dyDescent="0.2">
      <c r="A55" s="84" t="s">
        <v>2859</v>
      </c>
    </row>
    <row r="56" spans="1:1" x14ac:dyDescent="0.2">
      <c r="A56" s="84" t="s">
        <v>2860</v>
      </c>
    </row>
    <row r="57" spans="1:1" x14ac:dyDescent="0.2">
      <c r="A57" s="84" t="s">
        <v>2861</v>
      </c>
    </row>
    <row r="58" spans="1:1" x14ac:dyDescent="0.2">
      <c r="A58" s="84" t="s">
        <v>2862</v>
      </c>
    </row>
    <row r="59" spans="1:1" x14ac:dyDescent="0.2">
      <c r="A59" s="84" t="s">
        <v>2863</v>
      </c>
    </row>
    <row r="60" spans="1:1" x14ac:dyDescent="0.2">
      <c r="A60" s="84" t="s">
        <v>2864</v>
      </c>
    </row>
    <row r="61" spans="1:1" ht="15" x14ac:dyDescent="0.2">
      <c r="A61" s="82"/>
    </row>
    <row r="62" spans="1:1" x14ac:dyDescent="0.2">
      <c r="A62" s="83" t="s">
        <v>659</v>
      </c>
    </row>
    <row r="63" spans="1:1" x14ac:dyDescent="0.2">
      <c r="A63" s="84" t="s">
        <v>2865</v>
      </c>
    </row>
    <row r="64" spans="1:1" x14ac:dyDescent="0.2">
      <c r="A64" s="84" t="s">
        <v>2866</v>
      </c>
    </row>
    <row r="65" spans="1:1" x14ac:dyDescent="0.2">
      <c r="A65" s="84" t="s">
        <v>2867</v>
      </c>
    </row>
    <row r="66" spans="1:1" x14ac:dyDescent="0.2">
      <c r="A66" s="84" t="s">
        <v>957</v>
      </c>
    </row>
    <row r="67" spans="1:1" x14ac:dyDescent="0.2">
      <c r="A67" s="84" t="s">
        <v>2868</v>
      </c>
    </row>
    <row r="68" spans="1:1" x14ac:dyDescent="0.2">
      <c r="A68" s="84" t="s">
        <v>2869</v>
      </c>
    </row>
    <row r="69" spans="1:1" ht="15" x14ac:dyDescent="0.2">
      <c r="A69" s="82"/>
    </row>
    <row r="70" spans="1:1" x14ac:dyDescent="0.2">
      <c r="A70" s="83" t="s">
        <v>3787</v>
      </c>
    </row>
    <row r="71" spans="1:1" x14ac:dyDescent="0.2">
      <c r="A71" s="84" t="s">
        <v>2932</v>
      </c>
    </row>
    <row r="72" spans="1:1" x14ac:dyDescent="0.2">
      <c r="A72" s="84" t="s">
        <v>2933</v>
      </c>
    </row>
    <row r="73" spans="1:1" x14ac:dyDescent="0.2">
      <c r="A73" s="84" t="s">
        <v>2934</v>
      </c>
    </row>
    <row r="74" spans="1:1" x14ac:dyDescent="0.2">
      <c r="A74" s="84" t="s">
        <v>1233</v>
      </c>
    </row>
    <row r="75" spans="1:1" x14ac:dyDescent="0.2">
      <c r="A75" s="84" t="s">
        <v>2935</v>
      </c>
    </row>
    <row r="76" spans="1:1" x14ac:dyDescent="0.2">
      <c r="A76" s="84" t="s">
        <v>2922</v>
      </c>
    </row>
    <row r="77" spans="1:1" x14ac:dyDescent="0.2">
      <c r="A77" s="51" t="s">
        <v>815</v>
      </c>
    </row>
    <row r="78" spans="1:1" ht="15" x14ac:dyDescent="0.2">
      <c r="A78" s="82"/>
    </row>
    <row r="79" spans="1:1" x14ac:dyDescent="0.2">
      <c r="A79" s="83" t="s">
        <v>662</v>
      </c>
    </row>
    <row r="80" spans="1:1" x14ac:dyDescent="0.2">
      <c r="A80" s="84" t="s">
        <v>2870</v>
      </c>
    </row>
    <row r="81" spans="1:1" x14ac:dyDescent="0.2">
      <c r="A81" s="84" t="s">
        <v>2871</v>
      </c>
    </row>
    <row r="82" spans="1:1" x14ac:dyDescent="0.2">
      <c r="A82" s="84" t="s">
        <v>2872</v>
      </c>
    </row>
    <row r="83" spans="1:1" x14ac:dyDescent="0.2">
      <c r="A83" s="84" t="s">
        <v>2873</v>
      </c>
    </row>
    <row r="84" spans="1:1" x14ac:dyDescent="0.2">
      <c r="A84" s="84" t="s">
        <v>2874</v>
      </c>
    </row>
    <row r="85" spans="1:1" x14ac:dyDescent="0.2">
      <c r="A85" s="84" t="s">
        <v>2875</v>
      </c>
    </row>
    <row r="86" spans="1:1" ht="15" x14ac:dyDescent="0.2">
      <c r="A86" s="82"/>
    </row>
    <row r="87" spans="1:1" x14ac:dyDescent="0.2">
      <c r="A87" s="83" t="s">
        <v>666</v>
      </c>
    </row>
    <row r="88" spans="1:1" x14ac:dyDescent="0.2">
      <c r="A88" s="84" t="s">
        <v>2876</v>
      </c>
    </row>
    <row r="89" spans="1:1" x14ac:dyDescent="0.2">
      <c r="A89" s="84" t="s">
        <v>2877</v>
      </c>
    </row>
    <row r="90" spans="1:1" x14ac:dyDescent="0.2">
      <c r="A90" s="84" t="s">
        <v>2878</v>
      </c>
    </row>
    <row r="91" spans="1:1" x14ac:dyDescent="0.2">
      <c r="A91" s="84" t="s">
        <v>2879</v>
      </c>
    </row>
    <row r="92" spans="1:1" x14ac:dyDescent="0.2">
      <c r="A92" s="84" t="s">
        <v>3788</v>
      </c>
    </row>
    <row r="93" spans="1:1" x14ac:dyDescent="0.2">
      <c r="A93" s="84" t="s">
        <v>2880</v>
      </c>
    </row>
    <row r="94" spans="1:1" x14ac:dyDescent="0.2">
      <c r="A94" s="51" t="s">
        <v>815</v>
      </c>
    </row>
    <row r="95" spans="1:1" ht="15" x14ac:dyDescent="0.2">
      <c r="A95" s="82"/>
    </row>
    <row r="96" spans="1:1" x14ac:dyDescent="0.2">
      <c r="A96" s="83" t="s">
        <v>669</v>
      </c>
    </row>
    <row r="97" spans="1:1" x14ac:dyDescent="0.2">
      <c r="A97" s="84" t="s">
        <v>2881</v>
      </c>
    </row>
    <row r="98" spans="1:1" x14ac:dyDescent="0.2">
      <c r="A98" s="84" t="s">
        <v>2882</v>
      </c>
    </row>
    <row r="99" spans="1:1" x14ac:dyDescent="0.2">
      <c r="A99" s="84" t="s">
        <v>3789</v>
      </c>
    </row>
    <row r="100" spans="1:1" x14ac:dyDescent="0.2">
      <c r="A100" s="84" t="s">
        <v>1549</v>
      </c>
    </row>
    <row r="101" spans="1:1" x14ac:dyDescent="0.2">
      <c r="A101" s="84" t="s">
        <v>3790</v>
      </c>
    </row>
    <row r="102" spans="1:1" x14ac:dyDescent="0.2">
      <c r="A102" s="84" t="s">
        <v>2883</v>
      </c>
    </row>
    <row r="103" spans="1:1" x14ac:dyDescent="0.2">
      <c r="A103" s="51" t="s">
        <v>815</v>
      </c>
    </row>
    <row r="104" spans="1:1" ht="15" x14ac:dyDescent="0.2">
      <c r="A104" s="82"/>
    </row>
    <row r="105" spans="1:1" x14ac:dyDescent="0.2">
      <c r="A105" s="83" t="s">
        <v>672</v>
      </c>
    </row>
    <row r="106" spans="1:1" x14ac:dyDescent="0.2">
      <c r="A106" s="84" t="s">
        <v>2884</v>
      </c>
    </row>
    <row r="107" spans="1:1" x14ac:dyDescent="0.2">
      <c r="A107" s="84" t="s">
        <v>2885</v>
      </c>
    </row>
    <row r="108" spans="1:1" x14ac:dyDescent="0.2">
      <c r="A108" s="84" t="s">
        <v>2886</v>
      </c>
    </row>
    <row r="109" spans="1:1" x14ac:dyDescent="0.2">
      <c r="A109" s="84" t="s">
        <v>1239</v>
      </c>
    </row>
    <row r="110" spans="1:1" x14ac:dyDescent="0.2">
      <c r="A110" s="84" t="s">
        <v>2887</v>
      </c>
    </row>
    <row r="111" spans="1:1" x14ac:dyDescent="0.2">
      <c r="A111" s="84" t="s">
        <v>2888</v>
      </c>
    </row>
    <row r="112" spans="1:1" x14ac:dyDescent="0.2">
      <c r="A112" s="51" t="s">
        <v>815</v>
      </c>
    </row>
    <row r="113" spans="1:1" ht="15" x14ac:dyDescent="0.2">
      <c r="A113" s="82"/>
    </row>
    <row r="114" spans="1:1" x14ac:dyDescent="0.2">
      <c r="A114" s="83" t="s">
        <v>675</v>
      </c>
    </row>
    <row r="115" spans="1:1" x14ac:dyDescent="0.2">
      <c r="A115" s="84" t="s">
        <v>2889</v>
      </c>
    </row>
    <row r="116" spans="1:1" x14ac:dyDescent="0.2">
      <c r="A116" s="84" t="s">
        <v>2890</v>
      </c>
    </row>
    <row r="117" spans="1:1" x14ac:dyDescent="0.2">
      <c r="A117" s="84" t="s">
        <v>2891</v>
      </c>
    </row>
    <row r="118" spans="1:1" x14ac:dyDescent="0.2">
      <c r="A118" s="84" t="s">
        <v>2892</v>
      </c>
    </row>
    <row r="119" spans="1:1" x14ac:dyDescent="0.2">
      <c r="A119" s="84" t="s">
        <v>2893</v>
      </c>
    </row>
    <row r="120" spans="1:1" x14ac:dyDescent="0.2">
      <c r="A120" s="84" t="s">
        <v>2894</v>
      </c>
    </row>
    <row r="121" spans="1:1" ht="15" x14ac:dyDescent="0.2">
      <c r="A121" s="82"/>
    </row>
    <row r="122" spans="1:1" x14ac:dyDescent="0.2">
      <c r="A122" s="83" t="s">
        <v>678</v>
      </c>
    </row>
    <row r="123" spans="1:1" x14ac:dyDescent="0.2">
      <c r="A123" s="84" t="s">
        <v>2895</v>
      </c>
    </row>
    <row r="124" spans="1:1" x14ac:dyDescent="0.2">
      <c r="A124" s="84" t="s">
        <v>2896</v>
      </c>
    </row>
    <row r="125" spans="1:1" x14ac:dyDescent="0.2">
      <c r="A125" s="84" t="s">
        <v>2897</v>
      </c>
    </row>
    <row r="126" spans="1:1" x14ac:dyDescent="0.2">
      <c r="A126" s="84" t="s">
        <v>1397</v>
      </c>
    </row>
    <row r="127" spans="1:1" x14ac:dyDescent="0.2">
      <c r="A127" s="84" t="s">
        <v>2898</v>
      </c>
    </row>
    <row r="128" spans="1:1" x14ac:dyDescent="0.2">
      <c r="A128" s="84" t="s">
        <v>2899</v>
      </c>
    </row>
    <row r="129" spans="1:1" x14ac:dyDescent="0.2">
      <c r="A129" s="51" t="s">
        <v>815</v>
      </c>
    </row>
    <row r="130" spans="1:1" ht="15" x14ac:dyDescent="0.2">
      <c r="A130" s="82"/>
    </row>
    <row r="131" spans="1:1" x14ac:dyDescent="0.2">
      <c r="A131" s="83" t="s">
        <v>681</v>
      </c>
    </row>
    <row r="132" spans="1:1" x14ac:dyDescent="0.2">
      <c r="A132" s="84" t="s">
        <v>2900</v>
      </c>
    </row>
    <row r="133" spans="1:1" x14ac:dyDescent="0.2">
      <c r="A133" s="84" t="s">
        <v>2901</v>
      </c>
    </row>
    <row r="134" spans="1:1" x14ac:dyDescent="0.2">
      <c r="A134" s="84" t="s">
        <v>2902</v>
      </c>
    </row>
    <row r="135" spans="1:1" x14ac:dyDescent="0.2">
      <c r="A135" s="84" t="s">
        <v>2903</v>
      </c>
    </row>
    <row r="136" spans="1:1" x14ac:dyDescent="0.2">
      <c r="A136" s="84" t="s">
        <v>2904</v>
      </c>
    </row>
    <row r="137" spans="1:1" x14ac:dyDescent="0.2">
      <c r="A137" s="84" t="s">
        <v>2905</v>
      </c>
    </row>
    <row r="138" spans="1:1" ht="15" x14ac:dyDescent="0.2">
      <c r="A138" s="82"/>
    </row>
    <row r="139" spans="1:1" x14ac:dyDescent="0.2">
      <c r="A139" s="83" t="s">
        <v>684</v>
      </c>
    </row>
    <row r="140" spans="1:1" x14ac:dyDescent="0.2">
      <c r="A140" s="84" t="s">
        <v>2906</v>
      </c>
    </row>
    <row r="141" spans="1:1" x14ac:dyDescent="0.2">
      <c r="A141" s="84" t="s">
        <v>2907</v>
      </c>
    </row>
    <row r="142" spans="1:1" x14ac:dyDescent="0.2">
      <c r="A142" s="84" t="s">
        <v>2908</v>
      </c>
    </row>
    <row r="143" spans="1:1" x14ac:dyDescent="0.2">
      <c r="A143" s="84" t="s">
        <v>2909</v>
      </c>
    </row>
    <row r="144" spans="1:1" x14ac:dyDescent="0.2">
      <c r="A144" s="84" t="s">
        <v>2910</v>
      </c>
    </row>
    <row r="145" spans="1:1" x14ac:dyDescent="0.2">
      <c r="A145" s="84" t="s">
        <v>2911</v>
      </c>
    </row>
    <row r="146" spans="1:1" x14ac:dyDescent="0.2">
      <c r="A146" s="51" t="s">
        <v>815</v>
      </c>
    </row>
    <row r="147" spans="1:1" ht="15" x14ac:dyDescent="0.2">
      <c r="A147" s="82"/>
    </row>
    <row r="148" spans="1:1" x14ac:dyDescent="0.2">
      <c r="A148" s="83" t="s">
        <v>687</v>
      </c>
    </row>
    <row r="149" spans="1:1" x14ac:dyDescent="0.2">
      <c r="A149" s="84" t="s">
        <v>2912</v>
      </c>
    </row>
    <row r="150" spans="1:1" x14ac:dyDescent="0.2">
      <c r="A150" s="84" t="s">
        <v>2913</v>
      </c>
    </row>
    <row r="151" spans="1:1" x14ac:dyDescent="0.2">
      <c r="A151" s="84" t="s">
        <v>2914</v>
      </c>
    </row>
    <row r="152" spans="1:1" x14ac:dyDescent="0.2">
      <c r="A152" s="84" t="s">
        <v>2915</v>
      </c>
    </row>
    <row r="153" spans="1:1" x14ac:dyDescent="0.2">
      <c r="A153" s="84" t="s">
        <v>2916</v>
      </c>
    </row>
    <row r="154" spans="1:1" x14ac:dyDescent="0.2">
      <c r="A154" s="84" t="s">
        <v>2917</v>
      </c>
    </row>
    <row r="155" spans="1:1" x14ac:dyDescent="0.2">
      <c r="A155" s="51" t="s">
        <v>815</v>
      </c>
    </row>
    <row r="156" spans="1:1" ht="15" x14ac:dyDescent="0.2">
      <c r="A156" s="82"/>
    </row>
    <row r="157" spans="1:1" x14ac:dyDescent="0.2">
      <c r="A157" s="83" t="s">
        <v>690</v>
      </c>
    </row>
    <row r="158" spans="1:1" x14ac:dyDescent="0.2">
      <c r="A158" s="84" t="s">
        <v>2918</v>
      </c>
    </row>
    <row r="159" spans="1:1" x14ac:dyDescent="0.2">
      <c r="A159" s="84" t="s">
        <v>2919</v>
      </c>
    </row>
    <row r="160" spans="1:1" x14ac:dyDescent="0.2">
      <c r="A160" s="84" t="s">
        <v>2920</v>
      </c>
    </row>
    <row r="161" spans="1:1" x14ac:dyDescent="0.2">
      <c r="A161" s="84" t="s">
        <v>2694</v>
      </c>
    </row>
    <row r="162" spans="1:1" x14ac:dyDescent="0.2">
      <c r="A162" s="84" t="s">
        <v>2921</v>
      </c>
    </row>
    <row r="163" spans="1:1" x14ac:dyDescent="0.2">
      <c r="A163" s="84" t="s">
        <v>2922</v>
      </c>
    </row>
    <row r="164" spans="1:1" ht="15" x14ac:dyDescent="0.2">
      <c r="A164" s="82"/>
    </row>
    <row r="165" spans="1:1" x14ac:dyDescent="0.2">
      <c r="A165" s="83" t="s">
        <v>693</v>
      </c>
    </row>
    <row r="166" spans="1:1" x14ac:dyDescent="0.2">
      <c r="A166" s="84" t="s">
        <v>2923</v>
      </c>
    </row>
    <row r="167" spans="1:1" x14ac:dyDescent="0.2">
      <c r="A167" s="84" t="s">
        <v>2924</v>
      </c>
    </row>
    <row r="168" spans="1:1" x14ac:dyDescent="0.2">
      <c r="A168" s="84" t="s">
        <v>2925</v>
      </c>
    </row>
    <row r="169" spans="1:1" x14ac:dyDescent="0.2">
      <c r="A169" s="84" t="s">
        <v>1239</v>
      </c>
    </row>
    <row r="170" spans="1:1" x14ac:dyDescent="0.2">
      <c r="A170" s="84" t="s">
        <v>3791</v>
      </c>
    </row>
    <row r="171" spans="1:1" x14ac:dyDescent="0.2">
      <c r="A171" s="84" t="s">
        <v>2816</v>
      </c>
    </row>
    <row r="172" spans="1:1" ht="15" x14ac:dyDescent="0.2">
      <c r="A172" s="82"/>
    </row>
    <row r="173" spans="1:1" x14ac:dyDescent="0.2">
      <c r="A173" s="83" t="s">
        <v>696</v>
      </c>
    </row>
    <row r="174" spans="1:1" x14ac:dyDescent="0.2">
      <c r="A174" s="84" t="s">
        <v>2926</v>
      </c>
    </row>
    <row r="175" spans="1:1" x14ac:dyDescent="0.2">
      <c r="A175" s="84" t="s">
        <v>2927</v>
      </c>
    </row>
    <row r="176" spans="1:1" x14ac:dyDescent="0.2">
      <c r="A176" s="84" t="s">
        <v>2928</v>
      </c>
    </row>
    <row r="177" spans="1:1" x14ac:dyDescent="0.2">
      <c r="A177" s="84" t="s">
        <v>2929</v>
      </c>
    </row>
    <row r="178" spans="1:1" x14ac:dyDescent="0.2">
      <c r="A178" s="84" t="s">
        <v>2930</v>
      </c>
    </row>
    <row r="179" spans="1:1" x14ac:dyDescent="0.2">
      <c r="A179" s="84" t="s">
        <v>2931</v>
      </c>
    </row>
    <row r="180" spans="1:1" ht="15" x14ac:dyDescent="0.2">
      <c r="A180" s="82"/>
    </row>
    <row r="181" spans="1:1" x14ac:dyDescent="0.2">
      <c r="A181" s="83" t="s">
        <v>703</v>
      </c>
    </row>
    <row r="182" spans="1:1" x14ac:dyDescent="0.2">
      <c r="A182" s="84" t="s">
        <v>2936</v>
      </c>
    </row>
    <row r="183" spans="1:1" x14ac:dyDescent="0.2">
      <c r="A183" s="84" t="s">
        <v>2937</v>
      </c>
    </row>
    <row r="184" spans="1:1" x14ac:dyDescent="0.2">
      <c r="A184" s="84" t="s">
        <v>2938</v>
      </c>
    </row>
    <row r="185" spans="1:1" x14ac:dyDescent="0.2">
      <c r="A185" s="84" t="s">
        <v>2939</v>
      </c>
    </row>
    <row r="186" spans="1:1" x14ac:dyDescent="0.2">
      <c r="A186" s="84" t="s">
        <v>3792</v>
      </c>
    </row>
    <row r="187" spans="1:1" x14ac:dyDescent="0.2">
      <c r="A187" s="84" t="s">
        <v>2931</v>
      </c>
    </row>
    <row r="188" spans="1:1" ht="15" x14ac:dyDescent="0.2">
      <c r="A188" s="82"/>
    </row>
    <row r="189" spans="1:1" x14ac:dyDescent="0.2">
      <c r="A189" s="83" t="s">
        <v>706</v>
      </c>
    </row>
    <row r="190" spans="1:1" x14ac:dyDescent="0.2">
      <c r="A190" s="84" t="s">
        <v>2940</v>
      </c>
    </row>
    <row r="191" spans="1:1" x14ac:dyDescent="0.2">
      <c r="A191" s="84" t="s">
        <v>2941</v>
      </c>
    </row>
    <row r="192" spans="1:1" x14ac:dyDescent="0.2">
      <c r="A192" s="84" t="s">
        <v>2942</v>
      </c>
    </row>
    <row r="193" spans="1:1" x14ac:dyDescent="0.2">
      <c r="A193" s="84" t="s">
        <v>2943</v>
      </c>
    </row>
    <row r="194" spans="1:1" x14ac:dyDescent="0.2">
      <c r="A194" s="84" t="s">
        <v>2944</v>
      </c>
    </row>
    <row r="195" spans="1:1" x14ac:dyDescent="0.2">
      <c r="A195" s="84" t="s">
        <v>2945</v>
      </c>
    </row>
    <row r="196" spans="1:1" x14ac:dyDescent="0.2">
      <c r="A196" s="51" t="s">
        <v>815</v>
      </c>
    </row>
    <row r="197" spans="1:1" x14ac:dyDescent="0.2">
      <c r="A197" s="44"/>
    </row>
    <row r="198" spans="1:1" x14ac:dyDescent="0.2">
      <c r="A198" s="46"/>
    </row>
    <row r="199" spans="1:1" x14ac:dyDescent="0.2">
      <c r="A199" s="47"/>
    </row>
    <row r="200" spans="1:1" x14ac:dyDescent="0.2">
      <c r="A200" s="47"/>
    </row>
    <row r="201" spans="1:1" x14ac:dyDescent="0.2">
      <c r="A201" s="47"/>
    </row>
    <row r="202" spans="1:1" x14ac:dyDescent="0.2">
      <c r="A202" s="47"/>
    </row>
    <row r="203" spans="1:1" x14ac:dyDescent="0.2">
      <c r="A203" s="47"/>
    </row>
    <row r="204" spans="1:1" x14ac:dyDescent="0.2">
      <c r="A204" s="47"/>
    </row>
    <row r="205" spans="1:1" x14ac:dyDescent="0.2">
      <c r="A205" s="51"/>
    </row>
    <row r="206" spans="1:1" x14ac:dyDescent="0.2">
      <c r="A206" s="46"/>
    </row>
    <row r="207" spans="1:1" x14ac:dyDescent="0.2">
      <c r="A207" s="47"/>
    </row>
    <row r="208" spans="1:1" x14ac:dyDescent="0.2">
      <c r="A208" s="47"/>
    </row>
    <row r="209" spans="1:1" x14ac:dyDescent="0.2">
      <c r="A209" s="47"/>
    </row>
    <row r="210" spans="1:1" x14ac:dyDescent="0.2">
      <c r="A210" s="47"/>
    </row>
    <row r="211" spans="1:1" x14ac:dyDescent="0.2">
      <c r="A211" s="47"/>
    </row>
    <row r="212" spans="1:1" x14ac:dyDescent="0.2">
      <c r="A212" s="47"/>
    </row>
    <row r="213" spans="1:1" x14ac:dyDescent="0.2">
      <c r="A213" s="51"/>
    </row>
    <row r="214" spans="1:1" x14ac:dyDescent="0.2">
      <c r="A214" s="53"/>
    </row>
    <row r="215" spans="1:1" x14ac:dyDescent="0.2">
      <c r="A215" s="53"/>
    </row>
    <row r="216" spans="1:1" x14ac:dyDescent="0.2">
      <c r="A216" s="53"/>
    </row>
    <row r="217" spans="1:1" x14ac:dyDescent="0.2">
      <c r="A217" s="44"/>
    </row>
    <row r="218" spans="1:1" x14ac:dyDescent="0.2">
      <c r="A218" s="54"/>
    </row>
    <row r="219" spans="1:1" x14ac:dyDescent="0.2">
      <c r="A219" s="53"/>
    </row>
    <row r="220" spans="1:1" x14ac:dyDescent="0.2">
      <c r="A220" s="53"/>
    </row>
    <row r="221" spans="1:1" x14ac:dyDescent="0.2">
      <c r="A221" s="53"/>
    </row>
    <row r="222" spans="1:1" x14ac:dyDescent="0.2">
      <c r="A222" s="53"/>
    </row>
    <row r="223" spans="1:1" x14ac:dyDescent="0.2">
      <c r="A223" s="53"/>
    </row>
    <row r="224" spans="1:1" x14ac:dyDescent="0.2">
      <c r="A224" s="53"/>
    </row>
    <row r="225" spans="1:1" x14ac:dyDescent="0.2">
      <c r="A225" s="44"/>
    </row>
    <row r="226" spans="1:1" x14ac:dyDescent="0.2">
      <c r="A226" s="54"/>
    </row>
    <row r="227" spans="1:1" x14ac:dyDescent="0.2">
      <c r="A227" s="53"/>
    </row>
    <row r="228" spans="1:1" x14ac:dyDescent="0.2">
      <c r="A228" s="53"/>
    </row>
    <row r="229" spans="1:1" x14ac:dyDescent="0.2">
      <c r="A229" s="53"/>
    </row>
    <row r="230" spans="1:1" x14ac:dyDescent="0.2">
      <c r="A230" s="53"/>
    </row>
    <row r="231" spans="1:1" x14ac:dyDescent="0.2">
      <c r="A231" s="53"/>
    </row>
    <row r="232" spans="1:1" x14ac:dyDescent="0.2">
      <c r="A232" s="53"/>
    </row>
    <row r="233" spans="1:1" x14ac:dyDescent="0.2">
      <c r="A233" s="44"/>
    </row>
    <row r="234" spans="1:1" x14ac:dyDescent="0.2">
      <c r="A234" s="54"/>
    </row>
    <row r="235" spans="1:1" x14ac:dyDescent="0.2">
      <c r="A235" s="53"/>
    </row>
    <row r="236" spans="1:1" x14ac:dyDescent="0.2">
      <c r="A236" s="53"/>
    </row>
    <row r="237" spans="1:1" x14ac:dyDescent="0.2">
      <c r="A237" s="53"/>
    </row>
    <row r="238" spans="1:1" x14ac:dyDescent="0.2">
      <c r="A238" s="53"/>
    </row>
    <row r="239" spans="1:1" x14ac:dyDescent="0.2">
      <c r="A239" s="53"/>
    </row>
    <row r="240" spans="1:1" x14ac:dyDescent="0.2">
      <c r="A240" s="53"/>
    </row>
    <row r="241" spans="1:1" x14ac:dyDescent="0.2">
      <c r="A241" s="44"/>
    </row>
    <row r="242" spans="1:1" x14ac:dyDescent="0.2">
      <c r="A242" s="54"/>
    </row>
    <row r="243" spans="1:1" x14ac:dyDescent="0.2">
      <c r="A243" s="53"/>
    </row>
    <row r="244" spans="1:1" x14ac:dyDescent="0.2">
      <c r="A244" s="53"/>
    </row>
    <row r="245" spans="1:1" x14ac:dyDescent="0.2">
      <c r="A245" s="53"/>
    </row>
    <row r="246" spans="1:1" x14ac:dyDescent="0.2">
      <c r="A246" s="53"/>
    </row>
    <row r="247" spans="1:1" x14ac:dyDescent="0.2">
      <c r="A247" s="53"/>
    </row>
    <row r="248" spans="1:1" x14ac:dyDescent="0.2">
      <c r="A248" s="53"/>
    </row>
    <row r="249" spans="1:1" x14ac:dyDescent="0.2">
      <c r="A249" s="44"/>
    </row>
    <row r="250" spans="1:1" x14ac:dyDescent="0.2">
      <c r="A250" s="54"/>
    </row>
    <row r="251" spans="1:1" x14ac:dyDescent="0.2">
      <c r="A251" s="53"/>
    </row>
    <row r="252" spans="1:1" x14ac:dyDescent="0.2">
      <c r="A252" s="53"/>
    </row>
    <row r="253" spans="1:1" x14ac:dyDescent="0.2">
      <c r="A253" s="53"/>
    </row>
    <row r="254" spans="1:1" x14ac:dyDescent="0.2">
      <c r="A254" s="53"/>
    </row>
    <row r="255" spans="1:1" x14ac:dyDescent="0.2">
      <c r="A255" s="53"/>
    </row>
    <row r="256" spans="1:1" x14ac:dyDescent="0.2">
      <c r="A256" s="53"/>
    </row>
    <row r="257" spans="1:1" x14ac:dyDescent="0.2">
      <c r="A257" s="55"/>
    </row>
    <row r="258" spans="1:1" x14ac:dyDescent="0.2">
      <c r="A258" s="44"/>
    </row>
    <row r="259" spans="1:1" x14ac:dyDescent="0.2">
      <c r="A259" s="54"/>
    </row>
    <row r="260" spans="1:1" x14ac:dyDescent="0.2">
      <c r="A260" s="53"/>
    </row>
    <row r="261" spans="1:1" x14ac:dyDescent="0.2">
      <c r="A261" s="53"/>
    </row>
    <row r="262" spans="1:1" x14ac:dyDescent="0.2">
      <c r="A262" s="53"/>
    </row>
    <row r="263" spans="1:1" x14ac:dyDescent="0.2">
      <c r="A263" s="53"/>
    </row>
    <row r="264" spans="1:1" x14ac:dyDescent="0.2">
      <c r="A264" s="53"/>
    </row>
    <row r="265" spans="1:1" x14ac:dyDescent="0.2">
      <c r="A265" s="53"/>
    </row>
    <row r="266" spans="1:1" x14ac:dyDescent="0.2">
      <c r="A266" s="44"/>
    </row>
    <row r="267" spans="1:1" x14ac:dyDescent="0.2">
      <c r="A267" s="54"/>
    </row>
    <row r="268" spans="1:1" x14ac:dyDescent="0.2">
      <c r="A268" s="53"/>
    </row>
    <row r="269" spans="1:1" x14ac:dyDescent="0.2">
      <c r="A269" s="53"/>
    </row>
    <row r="270" spans="1:1" x14ac:dyDescent="0.2">
      <c r="A270" s="53"/>
    </row>
    <row r="271" spans="1:1" x14ac:dyDescent="0.2">
      <c r="A271" s="53"/>
    </row>
    <row r="272" spans="1:1" x14ac:dyDescent="0.2">
      <c r="A272" s="53"/>
    </row>
    <row r="273" spans="1:1" x14ac:dyDescent="0.2">
      <c r="A273" s="53"/>
    </row>
  </sheetData>
  <hyperlinks>
    <hyperlink ref="A19" display="+ Informações sobre Filiais"/>
    <hyperlink ref="A36" display="+ Informações sobre Filiais"/>
    <hyperlink ref="A77" display="+ Informações sobre Filiais"/>
    <hyperlink ref="A94" display="+ Informações sobre Filiais"/>
    <hyperlink ref="A103" display="+ Informações sobre Filiais"/>
    <hyperlink ref="A112" display="+ Informações sobre Filiais"/>
    <hyperlink ref="A129" display="+ Informações sobre Filiais"/>
    <hyperlink ref="A146" display="+ Informações sobre Filiais"/>
    <hyperlink ref="A155" display="+ Informações sobre Filiais"/>
    <hyperlink ref="A196" display="+ Informações sobre Filiais"/>
  </hyperlinks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L273"/>
  <sheetViews>
    <sheetView topLeftCell="D1" zoomScale="85" workbookViewId="0">
      <selection activeCell="D1" sqref="D1"/>
    </sheetView>
  </sheetViews>
  <sheetFormatPr defaultRowHeight="12.75" x14ac:dyDescent="0.2"/>
  <cols>
    <col min="1" max="1" width="37.140625" style="7" hidden="1" customWidth="1"/>
    <col min="2" max="3" width="8" style="7" hidden="1" customWidth="1"/>
    <col min="4" max="4" width="8" style="7" customWidth="1"/>
    <col min="5" max="5" width="50.42578125" style="7" customWidth="1"/>
    <col min="6" max="6" width="17.28515625" style="7" customWidth="1"/>
    <col min="7" max="7" width="11" style="7" customWidth="1"/>
    <col min="8" max="8" width="31.7109375" style="7" customWidth="1"/>
    <col min="9" max="9" width="15.85546875" style="7" bestFit="1" customWidth="1"/>
    <col min="10" max="10" width="10" style="7" customWidth="1"/>
    <col min="11" max="11" width="15.85546875" style="7" customWidth="1"/>
    <col min="12" max="12" width="31.5703125" style="7" customWidth="1"/>
    <col min="13" max="13" width="33.42578125" style="7" customWidth="1"/>
    <col min="14" max="16384" width="9.140625" style="7"/>
  </cols>
  <sheetData>
    <row r="1" spans="1:12" ht="23.25" customHeight="1" x14ac:dyDescent="0.2">
      <c r="A1" s="81" t="s">
        <v>3462</v>
      </c>
      <c r="E1" s="43" t="s">
        <v>2946</v>
      </c>
      <c r="F1" s="7">
        <f>COUNTIF(F3:F65536,"&lt;&gt;")</f>
        <v>20</v>
      </c>
      <c r="H1" s="7" t="s">
        <v>3806</v>
      </c>
    </row>
    <row r="2" spans="1:12" ht="15" x14ac:dyDescent="0.2">
      <c r="A2" s="82"/>
      <c r="E2" s="43" t="s">
        <v>1614</v>
      </c>
      <c r="F2" s="43" t="s">
        <v>1615</v>
      </c>
      <c r="G2" s="43" t="s">
        <v>1616</v>
      </c>
      <c r="H2" s="43" t="s">
        <v>1617</v>
      </c>
      <c r="I2" s="43" t="s">
        <v>1618</v>
      </c>
      <c r="J2" s="43" t="s">
        <v>1619</v>
      </c>
      <c r="K2" s="43" t="s">
        <v>1620</v>
      </c>
      <c r="L2" s="43" t="s">
        <v>1621</v>
      </c>
    </row>
    <row r="3" spans="1:12" ht="15" x14ac:dyDescent="0.2">
      <c r="A3" s="82"/>
      <c r="D3" s="7" t="str">
        <f>VLOOKUP(G3,Cedentes!$G$150:$G$169,1,0)</f>
        <v>24813</v>
      </c>
      <c r="E3" s="7" t="s">
        <v>730</v>
      </c>
      <c r="F3" s="7" t="s">
        <v>731</v>
      </c>
      <c r="G3" s="45" t="s">
        <v>2947</v>
      </c>
      <c r="H3" s="7" t="s">
        <v>732</v>
      </c>
      <c r="I3" s="7" t="s">
        <v>733</v>
      </c>
      <c r="J3" s="7" t="s">
        <v>2948</v>
      </c>
      <c r="K3" s="7" t="s">
        <v>2949</v>
      </c>
      <c r="L3" s="8">
        <v>40463</v>
      </c>
    </row>
    <row r="4" spans="1:12" x14ac:dyDescent="0.2">
      <c r="A4" s="83" t="s">
        <v>730</v>
      </c>
      <c r="D4" s="7" t="str">
        <f>VLOOKUP(G4,Cedentes!$G$150:$G$169,1,0)</f>
        <v>23540</v>
      </c>
      <c r="E4" s="7" t="s">
        <v>734</v>
      </c>
      <c r="F4" s="7" t="s">
        <v>735</v>
      </c>
      <c r="G4" s="45" t="s">
        <v>2950</v>
      </c>
      <c r="H4" s="7" t="s">
        <v>736</v>
      </c>
      <c r="I4" s="7" t="s">
        <v>193</v>
      </c>
      <c r="J4" s="7" t="s">
        <v>2773</v>
      </c>
      <c r="K4" s="7" t="s">
        <v>2951</v>
      </c>
      <c r="L4" s="8">
        <v>35252</v>
      </c>
    </row>
    <row r="5" spans="1:12" x14ac:dyDescent="0.2">
      <c r="A5" s="84" t="s">
        <v>2952</v>
      </c>
      <c r="D5" s="7" t="str">
        <f>VLOOKUP(G5,Cedentes!$G$150:$G$169,1,0)</f>
        <v>23345</v>
      </c>
      <c r="E5" s="7" t="s">
        <v>737</v>
      </c>
      <c r="F5" s="7" t="s">
        <v>738</v>
      </c>
      <c r="G5" s="45" t="s">
        <v>2953</v>
      </c>
      <c r="H5" s="7" t="s">
        <v>153</v>
      </c>
      <c r="I5" s="7" t="s">
        <v>57</v>
      </c>
      <c r="J5" s="7" t="s">
        <v>840</v>
      </c>
      <c r="K5" s="7" t="s">
        <v>841</v>
      </c>
      <c r="L5" s="8">
        <v>35391</v>
      </c>
    </row>
    <row r="6" spans="1:12" x14ac:dyDescent="0.2">
      <c r="A6" s="84" t="s">
        <v>2954</v>
      </c>
      <c r="D6" s="7" t="str">
        <f>VLOOKUP(G6,Cedentes!$G$150:$G$169,1,0)</f>
        <v>22926</v>
      </c>
      <c r="E6" s="7" t="s">
        <v>3621</v>
      </c>
      <c r="F6" s="7" t="s">
        <v>740</v>
      </c>
      <c r="G6" s="45" t="s">
        <v>2955</v>
      </c>
      <c r="H6" s="7" t="s">
        <v>741</v>
      </c>
      <c r="I6" s="7" t="s">
        <v>57</v>
      </c>
      <c r="J6" s="7" t="s">
        <v>2956</v>
      </c>
      <c r="K6" s="7" t="s">
        <v>3803</v>
      </c>
      <c r="L6" s="8">
        <v>38580</v>
      </c>
    </row>
    <row r="7" spans="1:12" x14ac:dyDescent="0.2">
      <c r="A7" s="84" t="s">
        <v>2957</v>
      </c>
      <c r="D7" s="7" t="str">
        <f>VLOOKUP(G7,Cedentes!$G$150:$G$169,1,0)</f>
        <v>23566</v>
      </c>
      <c r="E7" s="7" t="s">
        <v>742</v>
      </c>
      <c r="F7" s="7" t="s">
        <v>743</v>
      </c>
      <c r="G7" s="45" t="s">
        <v>2958</v>
      </c>
      <c r="H7" s="7" t="s">
        <v>153</v>
      </c>
      <c r="I7" s="7" t="s">
        <v>57</v>
      </c>
      <c r="J7" s="7" t="s">
        <v>840</v>
      </c>
      <c r="K7" s="7" t="s">
        <v>841</v>
      </c>
      <c r="L7" s="8">
        <v>30876</v>
      </c>
    </row>
    <row r="8" spans="1:12" x14ac:dyDescent="0.2">
      <c r="A8" s="84" t="s">
        <v>2959</v>
      </c>
      <c r="D8" s="7" t="str">
        <f>VLOOKUP(G8,Cedentes!$G$150:$G$169,1,0)</f>
        <v>20141</v>
      </c>
      <c r="E8" s="7" t="s">
        <v>744</v>
      </c>
      <c r="F8" s="7" t="s">
        <v>745</v>
      </c>
      <c r="G8" s="45" t="s">
        <v>2960</v>
      </c>
      <c r="H8" s="7" t="s">
        <v>746</v>
      </c>
      <c r="I8" s="7" t="s">
        <v>111</v>
      </c>
      <c r="J8" s="7" t="s">
        <v>2961</v>
      </c>
      <c r="K8" s="7" t="s">
        <v>2962</v>
      </c>
      <c r="L8" s="8">
        <v>34988</v>
      </c>
    </row>
    <row r="9" spans="1:12" x14ac:dyDescent="0.2">
      <c r="A9" s="84" t="s">
        <v>2963</v>
      </c>
      <c r="D9" s="7" t="str">
        <f>VLOOKUP(G9,Cedentes!$G$150:$G$169,1,0)</f>
        <v>25585</v>
      </c>
      <c r="E9" s="7" t="s">
        <v>747</v>
      </c>
      <c r="F9" s="7" t="s">
        <v>748</v>
      </c>
      <c r="G9" s="45" t="s">
        <v>2964</v>
      </c>
      <c r="H9" s="7" t="s">
        <v>749</v>
      </c>
      <c r="I9" s="7" t="s">
        <v>184</v>
      </c>
      <c r="J9" s="7" t="s">
        <v>854</v>
      </c>
      <c r="K9" s="7" t="s">
        <v>855</v>
      </c>
      <c r="L9" s="8">
        <v>37106</v>
      </c>
    </row>
    <row r="10" spans="1:12" x14ac:dyDescent="0.2">
      <c r="A10" s="84" t="s">
        <v>2965</v>
      </c>
      <c r="D10" s="7" t="str">
        <f>VLOOKUP(G10,Cedentes!$G$150:$G$169,1,0)</f>
        <v>21491</v>
      </c>
      <c r="E10" s="7" t="s">
        <v>750</v>
      </c>
      <c r="F10" s="7" t="s">
        <v>751</v>
      </c>
      <c r="G10" s="45" t="s">
        <v>2966</v>
      </c>
      <c r="H10" s="7" t="s">
        <v>752</v>
      </c>
      <c r="I10" s="7" t="s">
        <v>111</v>
      </c>
      <c r="J10" s="7" t="s">
        <v>857</v>
      </c>
      <c r="K10" s="7" t="s">
        <v>860</v>
      </c>
      <c r="L10" s="8">
        <v>40731</v>
      </c>
    </row>
    <row r="11" spans="1:12" ht="15" x14ac:dyDescent="0.2">
      <c r="A11" s="82"/>
      <c r="D11" s="7" t="str">
        <f>VLOOKUP(G11,Cedentes!$G$150:$G$169,1,0)</f>
        <v>21628</v>
      </c>
      <c r="E11" s="7" t="s">
        <v>753</v>
      </c>
      <c r="F11" s="7" t="s">
        <v>754</v>
      </c>
      <c r="G11" s="45" t="s">
        <v>2967</v>
      </c>
      <c r="H11" s="7" t="s">
        <v>755</v>
      </c>
      <c r="I11" s="7" t="s">
        <v>57</v>
      </c>
      <c r="J11" s="7" t="s">
        <v>862</v>
      </c>
      <c r="K11" s="7" t="s">
        <v>865</v>
      </c>
      <c r="L11" s="8">
        <v>40135</v>
      </c>
    </row>
    <row r="12" spans="1:12" x14ac:dyDescent="0.2">
      <c r="A12" s="83" t="s">
        <v>734</v>
      </c>
      <c r="D12" s="7" t="str">
        <f>VLOOKUP(G12,Cedentes!$G$150:$G$169,1,0)</f>
        <v>21661</v>
      </c>
      <c r="E12" s="7" t="s">
        <v>756</v>
      </c>
      <c r="F12" s="7" t="s">
        <v>757</v>
      </c>
      <c r="G12" s="45" t="s">
        <v>2968</v>
      </c>
      <c r="H12" s="7" t="s">
        <v>758</v>
      </c>
      <c r="I12" s="7" t="s">
        <v>57</v>
      </c>
      <c r="J12" s="7" t="s">
        <v>942</v>
      </c>
      <c r="K12" s="7" t="s">
        <v>2969</v>
      </c>
      <c r="L12" s="8">
        <v>36288</v>
      </c>
    </row>
    <row r="13" spans="1:12" x14ac:dyDescent="0.2">
      <c r="A13" s="84" t="s">
        <v>2970</v>
      </c>
      <c r="D13" s="7" t="str">
        <f>VLOOKUP(G13,Cedentes!$G$150:$G$169,1,0)</f>
        <v>27995</v>
      </c>
      <c r="E13" s="7" t="s">
        <v>759</v>
      </c>
      <c r="F13" s="7" t="s">
        <v>760</v>
      </c>
      <c r="G13" s="45" t="s">
        <v>2971</v>
      </c>
      <c r="H13" s="7" t="s">
        <v>314</v>
      </c>
      <c r="I13" s="7" t="s">
        <v>94</v>
      </c>
      <c r="J13" s="7" t="s">
        <v>923</v>
      </c>
      <c r="K13" s="7" t="s">
        <v>924</v>
      </c>
      <c r="L13" s="8">
        <v>36585</v>
      </c>
    </row>
    <row r="14" spans="1:12" x14ac:dyDescent="0.2">
      <c r="A14" s="84" t="s">
        <v>2972</v>
      </c>
      <c r="D14" s="7" t="str">
        <f>VLOOKUP(G14,Cedentes!$G$150:$G$169,1,0)</f>
        <v>26158</v>
      </c>
      <c r="E14" s="7" t="s">
        <v>761</v>
      </c>
      <c r="F14" s="7" t="s">
        <v>762</v>
      </c>
      <c r="G14" s="45" t="s">
        <v>2973</v>
      </c>
      <c r="H14" s="7" t="s">
        <v>314</v>
      </c>
      <c r="I14" s="7" t="s">
        <v>94</v>
      </c>
      <c r="J14" s="7" t="s">
        <v>923</v>
      </c>
      <c r="K14" s="7" t="s">
        <v>924</v>
      </c>
      <c r="L14" s="8">
        <v>38379</v>
      </c>
    </row>
    <row r="15" spans="1:12" x14ac:dyDescent="0.2">
      <c r="A15" s="84" t="s">
        <v>2974</v>
      </c>
      <c r="D15" s="7" t="str">
        <f>VLOOKUP(G15,Cedentes!$G$150:$G$169,1,0)</f>
        <v>21334</v>
      </c>
      <c r="E15" s="7" t="s">
        <v>763</v>
      </c>
      <c r="F15" s="7" t="s">
        <v>764</v>
      </c>
      <c r="G15" s="45" t="s">
        <v>2975</v>
      </c>
      <c r="H15" s="7" t="s">
        <v>765</v>
      </c>
      <c r="I15" s="7" t="s">
        <v>111</v>
      </c>
      <c r="J15" s="7" t="s">
        <v>877</v>
      </c>
      <c r="K15" s="7" t="s">
        <v>878</v>
      </c>
      <c r="L15" s="8">
        <v>35677</v>
      </c>
    </row>
    <row r="16" spans="1:12" x14ac:dyDescent="0.2">
      <c r="A16" s="84" t="s">
        <v>2809</v>
      </c>
      <c r="D16" s="7" t="str">
        <f>VLOOKUP(G16,Cedentes!$G$150:$G$169,1,0)</f>
        <v>21318</v>
      </c>
      <c r="E16" s="7" t="s">
        <v>766</v>
      </c>
      <c r="F16" s="7" t="s">
        <v>767</v>
      </c>
      <c r="G16" s="45" t="s">
        <v>2976</v>
      </c>
      <c r="H16" s="7" t="s">
        <v>3804</v>
      </c>
      <c r="I16" s="7" t="s">
        <v>193</v>
      </c>
      <c r="J16" s="7" t="s">
        <v>919</v>
      </c>
      <c r="K16" s="7" t="s">
        <v>934</v>
      </c>
      <c r="L16" s="8">
        <v>37498</v>
      </c>
    </row>
    <row r="17" spans="1:12" x14ac:dyDescent="0.2">
      <c r="A17" s="84" t="s">
        <v>2977</v>
      </c>
      <c r="D17" s="7" t="str">
        <f>VLOOKUP(G17,Cedentes!$G$150:$G$169,1,0)</f>
        <v>26026</v>
      </c>
      <c r="E17" s="7" t="s">
        <v>769</v>
      </c>
      <c r="F17" s="7" t="s">
        <v>770</v>
      </c>
      <c r="G17" s="45" t="s">
        <v>2978</v>
      </c>
      <c r="H17" s="7" t="s">
        <v>771</v>
      </c>
      <c r="I17" s="7" t="s">
        <v>57</v>
      </c>
      <c r="J17" s="7" t="s">
        <v>2979</v>
      </c>
      <c r="K17" s="7" t="s">
        <v>2980</v>
      </c>
      <c r="L17" s="8">
        <v>16601</v>
      </c>
    </row>
    <row r="18" spans="1:12" x14ac:dyDescent="0.2">
      <c r="A18" s="84" t="s">
        <v>2981</v>
      </c>
      <c r="D18" s="7" t="str">
        <f>VLOOKUP(G18,Cedentes!$G$150:$G$169,1,0)</f>
        <v>28258</v>
      </c>
      <c r="E18" s="7" t="s">
        <v>772</v>
      </c>
      <c r="F18" s="7" t="s">
        <v>773</v>
      </c>
      <c r="G18" s="45" t="s">
        <v>2982</v>
      </c>
      <c r="H18" s="7" t="s">
        <v>774</v>
      </c>
      <c r="I18" s="7" t="s">
        <v>57</v>
      </c>
      <c r="J18" s="7" t="s">
        <v>803</v>
      </c>
      <c r="K18" s="7" t="s">
        <v>961</v>
      </c>
      <c r="L18" s="8">
        <v>39436</v>
      </c>
    </row>
    <row r="19" spans="1:12" ht="15" x14ac:dyDescent="0.2">
      <c r="A19" s="82"/>
      <c r="D19" s="7" t="str">
        <f>VLOOKUP(G19,Cedentes!$G$150:$G$169,1,0)</f>
        <v>28878</v>
      </c>
      <c r="E19" s="7" t="s">
        <v>775</v>
      </c>
      <c r="F19" s="7" t="s">
        <v>3652</v>
      </c>
      <c r="G19" s="45" t="s">
        <v>2983</v>
      </c>
      <c r="H19" s="7" t="s">
        <v>3653</v>
      </c>
      <c r="I19" s="7" t="s">
        <v>57</v>
      </c>
      <c r="J19" s="7" t="s">
        <v>990</v>
      </c>
      <c r="K19" s="7" t="s">
        <v>988</v>
      </c>
      <c r="L19" s="8">
        <v>40975</v>
      </c>
    </row>
    <row r="20" spans="1:12" x14ac:dyDescent="0.2">
      <c r="A20" s="83" t="s">
        <v>737</v>
      </c>
      <c r="D20" s="7" t="str">
        <f>VLOOKUP(G20,Cedentes!$G$150:$G$169,1,0)</f>
        <v>29319</v>
      </c>
      <c r="E20" s="7" t="s">
        <v>777</v>
      </c>
      <c r="F20" s="7" t="s">
        <v>778</v>
      </c>
      <c r="G20" s="45" t="s">
        <v>2984</v>
      </c>
      <c r="H20" s="7" t="s">
        <v>779</v>
      </c>
      <c r="I20" s="7" t="s">
        <v>57</v>
      </c>
      <c r="J20" s="7" t="s">
        <v>1063</v>
      </c>
      <c r="K20" s="7" t="s">
        <v>3468</v>
      </c>
      <c r="L20" s="8">
        <v>36151</v>
      </c>
    </row>
    <row r="21" spans="1:12" x14ac:dyDescent="0.2">
      <c r="A21" s="84" t="s">
        <v>2985</v>
      </c>
      <c r="D21" s="7" t="str">
        <f>VLOOKUP(G21,Cedentes!$G$150:$G$169,1,0)</f>
        <v>28932</v>
      </c>
      <c r="E21" s="7" t="s">
        <v>780</v>
      </c>
      <c r="F21" s="7" t="s">
        <v>781</v>
      </c>
      <c r="G21" s="45" t="s">
        <v>2986</v>
      </c>
      <c r="H21" s="7" t="s">
        <v>782</v>
      </c>
      <c r="I21" s="7" t="s">
        <v>111</v>
      </c>
      <c r="J21" s="7" t="s">
        <v>1026</v>
      </c>
      <c r="K21" s="7" t="s">
        <v>2987</v>
      </c>
      <c r="L21" s="8">
        <v>38286</v>
      </c>
    </row>
    <row r="22" spans="1:12" x14ac:dyDescent="0.2">
      <c r="A22" s="84" t="s">
        <v>2988</v>
      </c>
      <c r="D22" s="7" t="str">
        <f>VLOOKUP(G22,Cedentes!$G$150:$G$169,1,0)</f>
        <v>22683</v>
      </c>
      <c r="E22" s="7" t="s">
        <v>3464</v>
      </c>
      <c r="F22" s="7" t="s">
        <v>3469</v>
      </c>
      <c r="G22" s="45" t="s">
        <v>3482</v>
      </c>
      <c r="H22" s="7" t="s">
        <v>3805</v>
      </c>
      <c r="I22" s="7" t="s">
        <v>57</v>
      </c>
      <c r="J22" s="7" t="s">
        <v>2332</v>
      </c>
      <c r="K22" s="7" t="s">
        <v>3471</v>
      </c>
      <c r="L22" s="8" t="s">
        <v>38</v>
      </c>
    </row>
    <row r="23" spans="1:12" x14ac:dyDescent="0.2">
      <c r="A23" s="84" t="s">
        <v>1113</v>
      </c>
      <c r="G23" s="45"/>
      <c r="L23" s="8"/>
    </row>
    <row r="24" spans="1:12" x14ac:dyDescent="0.2">
      <c r="A24" s="84" t="s">
        <v>1114</v>
      </c>
      <c r="G24" s="45"/>
      <c r="L24" s="8"/>
    </row>
    <row r="25" spans="1:12" x14ac:dyDescent="0.2">
      <c r="A25" s="84" t="s">
        <v>1115</v>
      </c>
      <c r="G25" s="45"/>
      <c r="L25" s="8"/>
    </row>
    <row r="26" spans="1:12" x14ac:dyDescent="0.2">
      <c r="A26" s="84" t="s">
        <v>2989</v>
      </c>
      <c r="G26" s="45"/>
      <c r="L26" s="8"/>
    </row>
    <row r="27" spans="1:12" ht="15" x14ac:dyDescent="0.2">
      <c r="A27" s="82"/>
      <c r="G27" s="45"/>
      <c r="L27" s="8"/>
    </row>
    <row r="28" spans="1:12" x14ac:dyDescent="0.2">
      <c r="A28" s="83" t="s">
        <v>3621</v>
      </c>
      <c r="G28" s="45"/>
      <c r="L28" s="8"/>
    </row>
    <row r="29" spans="1:12" x14ac:dyDescent="0.2">
      <c r="A29" s="84" t="s">
        <v>2990</v>
      </c>
      <c r="G29" s="45"/>
      <c r="L29" s="8"/>
    </row>
    <row r="30" spans="1:12" x14ac:dyDescent="0.2">
      <c r="A30" s="84" t="s">
        <v>2991</v>
      </c>
      <c r="G30" s="45"/>
      <c r="L30" s="8"/>
    </row>
    <row r="31" spans="1:12" x14ac:dyDescent="0.2">
      <c r="A31" s="84" t="s">
        <v>2992</v>
      </c>
      <c r="G31" s="45"/>
      <c r="L31" s="8"/>
    </row>
    <row r="32" spans="1:12" x14ac:dyDescent="0.2">
      <c r="A32" s="84" t="s">
        <v>2993</v>
      </c>
      <c r="G32" s="45"/>
      <c r="L32" s="8"/>
    </row>
    <row r="33" spans="1:12" x14ac:dyDescent="0.2">
      <c r="A33" s="84" t="s">
        <v>3799</v>
      </c>
      <c r="G33" s="45"/>
      <c r="L33" s="8"/>
    </row>
    <row r="34" spans="1:12" x14ac:dyDescent="0.2">
      <c r="A34" s="84" t="s">
        <v>2994</v>
      </c>
      <c r="G34" s="45"/>
      <c r="L34" s="8"/>
    </row>
    <row r="35" spans="1:12" ht="15" x14ac:dyDescent="0.2">
      <c r="A35" s="82"/>
      <c r="G35" s="45"/>
      <c r="L35" s="8"/>
    </row>
    <row r="36" spans="1:12" x14ac:dyDescent="0.2">
      <c r="A36" s="83" t="s">
        <v>742</v>
      </c>
      <c r="G36" s="45"/>
    </row>
    <row r="37" spans="1:12" x14ac:dyDescent="0.2">
      <c r="A37" s="84" t="s">
        <v>2995</v>
      </c>
    </row>
    <row r="38" spans="1:12" x14ac:dyDescent="0.2">
      <c r="A38" s="84" t="s">
        <v>2996</v>
      </c>
    </row>
    <row r="39" spans="1:12" x14ac:dyDescent="0.2">
      <c r="A39" s="84" t="s">
        <v>1113</v>
      </c>
    </row>
    <row r="40" spans="1:12" x14ac:dyDescent="0.2">
      <c r="A40" s="84" t="s">
        <v>1114</v>
      </c>
    </row>
    <row r="41" spans="1:12" x14ac:dyDescent="0.2">
      <c r="A41" s="84" t="s">
        <v>1115</v>
      </c>
    </row>
    <row r="42" spans="1:12" x14ac:dyDescent="0.2">
      <c r="A42" s="84" t="s">
        <v>2997</v>
      </c>
    </row>
    <row r="43" spans="1:12" x14ac:dyDescent="0.2">
      <c r="A43" s="51" t="s">
        <v>815</v>
      </c>
    </row>
    <row r="44" spans="1:12" ht="15" x14ac:dyDescent="0.2">
      <c r="A44" s="82"/>
    </row>
    <row r="45" spans="1:12" x14ac:dyDescent="0.2">
      <c r="A45" s="83" t="s">
        <v>744</v>
      </c>
    </row>
    <row r="46" spans="1:12" x14ac:dyDescent="0.2">
      <c r="A46" s="84" t="s">
        <v>2998</v>
      </c>
    </row>
    <row r="47" spans="1:12" x14ac:dyDescent="0.2">
      <c r="A47" s="84" t="s">
        <v>2999</v>
      </c>
    </row>
    <row r="48" spans="1:12" x14ac:dyDescent="0.2">
      <c r="A48" s="84" t="s">
        <v>3000</v>
      </c>
    </row>
    <row r="49" spans="1:1" x14ac:dyDescent="0.2">
      <c r="A49" s="84" t="s">
        <v>3001</v>
      </c>
    </row>
    <row r="50" spans="1:1" x14ac:dyDescent="0.2">
      <c r="A50" s="84" t="s">
        <v>3002</v>
      </c>
    </row>
    <row r="51" spans="1:1" x14ac:dyDescent="0.2">
      <c r="A51" s="84" t="s">
        <v>3003</v>
      </c>
    </row>
    <row r="52" spans="1:1" ht="15" x14ac:dyDescent="0.2">
      <c r="A52" s="82"/>
    </row>
    <row r="53" spans="1:1" x14ac:dyDescent="0.2">
      <c r="A53" s="83" t="s">
        <v>747</v>
      </c>
    </row>
    <row r="54" spans="1:1" x14ac:dyDescent="0.2">
      <c r="A54" s="84" t="s">
        <v>3004</v>
      </c>
    </row>
    <row r="55" spans="1:1" x14ac:dyDescent="0.2">
      <c r="A55" s="84" t="s">
        <v>3005</v>
      </c>
    </row>
    <row r="56" spans="1:1" x14ac:dyDescent="0.2">
      <c r="A56" s="84" t="s">
        <v>3006</v>
      </c>
    </row>
    <row r="57" spans="1:1" x14ac:dyDescent="0.2">
      <c r="A57" s="84" t="s">
        <v>1144</v>
      </c>
    </row>
    <row r="58" spans="1:1" x14ac:dyDescent="0.2">
      <c r="A58" s="84" t="s">
        <v>1145</v>
      </c>
    </row>
    <row r="59" spans="1:1" x14ac:dyDescent="0.2">
      <c r="A59" s="84" t="s">
        <v>3007</v>
      </c>
    </row>
    <row r="60" spans="1:1" ht="15" x14ac:dyDescent="0.2">
      <c r="A60" s="82"/>
    </row>
    <row r="61" spans="1:1" x14ac:dyDescent="0.2">
      <c r="A61" s="83" t="s">
        <v>750</v>
      </c>
    </row>
    <row r="62" spans="1:1" x14ac:dyDescent="0.2">
      <c r="A62" s="84" t="s">
        <v>3008</v>
      </c>
    </row>
    <row r="63" spans="1:1" x14ac:dyDescent="0.2">
      <c r="A63" s="84" t="s">
        <v>3009</v>
      </c>
    </row>
    <row r="64" spans="1:1" x14ac:dyDescent="0.2">
      <c r="A64" s="84" t="s">
        <v>3010</v>
      </c>
    </row>
    <row r="65" spans="1:1" x14ac:dyDescent="0.2">
      <c r="A65" s="84" t="s">
        <v>1153</v>
      </c>
    </row>
    <row r="66" spans="1:1" x14ac:dyDescent="0.2">
      <c r="A66" s="84" t="s">
        <v>3011</v>
      </c>
    </row>
    <row r="67" spans="1:1" x14ac:dyDescent="0.2">
      <c r="A67" s="84" t="s">
        <v>2478</v>
      </c>
    </row>
    <row r="68" spans="1:1" ht="15" x14ac:dyDescent="0.2">
      <c r="A68" s="82"/>
    </row>
    <row r="69" spans="1:1" x14ac:dyDescent="0.2">
      <c r="A69" s="83" t="s">
        <v>753</v>
      </c>
    </row>
    <row r="70" spans="1:1" x14ac:dyDescent="0.2">
      <c r="A70" s="84" t="s">
        <v>3012</v>
      </c>
    </row>
    <row r="71" spans="1:1" x14ac:dyDescent="0.2">
      <c r="A71" s="84" t="s">
        <v>3013</v>
      </c>
    </row>
    <row r="72" spans="1:1" x14ac:dyDescent="0.2">
      <c r="A72" s="84" t="s">
        <v>3014</v>
      </c>
    </row>
    <row r="73" spans="1:1" x14ac:dyDescent="0.2">
      <c r="A73" s="84" t="s">
        <v>1163</v>
      </c>
    </row>
    <row r="74" spans="1:1" x14ac:dyDescent="0.2">
      <c r="A74" s="84" t="s">
        <v>3015</v>
      </c>
    </row>
    <row r="75" spans="1:1" x14ac:dyDescent="0.2">
      <c r="A75" s="84" t="s">
        <v>2450</v>
      </c>
    </row>
    <row r="76" spans="1:1" ht="15" x14ac:dyDescent="0.2">
      <c r="A76" s="82"/>
    </row>
    <row r="77" spans="1:1" x14ac:dyDescent="0.2">
      <c r="A77" s="83" t="s">
        <v>756</v>
      </c>
    </row>
    <row r="78" spans="1:1" x14ac:dyDescent="0.2">
      <c r="A78" s="84" t="s">
        <v>3016</v>
      </c>
    </row>
    <row r="79" spans="1:1" x14ac:dyDescent="0.2">
      <c r="A79" s="84" t="s">
        <v>3017</v>
      </c>
    </row>
    <row r="80" spans="1:1" x14ac:dyDescent="0.2">
      <c r="A80" s="84" t="s">
        <v>3018</v>
      </c>
    </row>
    <row r="81" spans="1:1" x14ac:dyDescent="0.2">
      <c r="A81" s="84" t="s">
        <v>1338</v>
      </c>
    </row>
    <row r="82" spans="1:1" x14ac:dyDescent="0.2">
      <c r="A82" s="84" t="s">
        <v>3019</v>
      </c>
    </row>
    <row r="83" spans="1:1" x14ac:dyDescent="0.2">
      <c r="A83" s="84" t="s">
        <v>3020</v>
      </c>
    </row>
    <row r="84" spans="1:1" ht="15" x14ac:dyDescent="0.2">
      <c r="A84" s="82"/>
    </row>
    <row r="85" spans="1:1" x14ac:dyDescent="0.2">
      <c r="A85" s="83" t="s">
        <v>759</v>
      </c>
    </row>
    <row r="86" spans="1:1" x14ac:dyDescent="0.2">
      <c r="A86" s="84" t="s">
        <v>3021</v>
      </c>
    </row>
    <row r="87" spans="1:1" x14ac:dyDescent="0.2">
      <c r="A87" s="84" t="s">
        <v>3022</v>
      </c>
    </row>
    <row r="88" spans="1:1" x14ac:dyDescent="0.2">
      <c r="A88" s="84" t="s">
        <v>1301</v>
      </c>
    </row>
    <row r="89" spans="1:1" x14ac:dyDescent="0.2">
      <c r="A89" s="84" t="s">
        <v>1302</v>
      </c>
    </row>
    <row r="90" spans="1:1" x14ac:dyDescent="0.2">
      <c r="A90" s="84" t="s">
        <v>1303</v>
      </c>
    </row>
    <row r="91" spans="1:1" x14ac:dyDescent="0.2">
      <c r="A91" s="84" t="s">
        <v>3023</v>
      </c>
    </row>
    <row r="92" spans="1:1" ht="15" x14ac:dyDescent="0.2">
      <c r="A92" s="82"/>
    </row>
    <row r="93" spans="1:1" x14ac:dyDescent="0.2">
      <c r="A93" s="83" t="s">
        <v>761</v>
      </c>
    </row>
    <row r="94" spans="1:1" x14ac:dyDescent="0.2">
      <c r="A94" s="84" t="s">
        <v>3024</v>
      </c>
    </row>
    <row r="95" spans="1:1" x14ac:dyDescent="0.2">
      <c r="A95" s="84" t="s">
        <v>3025</v>
      </c>
    </row>
    <row r="96" spans="1:1" x14ac:dyDescent="0.2">
      <c r="A96" s="84" t="s">
        <v>1301</v>
      </c>
    </row>
    <row r="97" spans="1:1" x14ac:dyDescent="0.2">
      <c r="A97" s="84" t="s">
        <v>1302</v>
      </c>
    </row>
    <row r="98" spans="1:1" x14ac:dyDescent="0.2">
      <c r="A98" s="84" t="s">
        <v>1303</v>
      </c>
    </row>
    <row r="99" spans="1:1" x14ac:dyDescent="0.2">
      <c r="A99" s="84" t="s">
        <v>3026</v>
      </c>
    </row>
    <row r="100" spans="1:1" ht="15" x14ac:dyDescent="0.2">
      <c r="A100" s="82"/>
    </row>
    <row r="101" spans="1:1" x14ac:dyDescent="0.2">
      <c r="A101" s="83" t="s">
        <v>763</v>
      </c>
    </row>
    <row r="102" spans="1:1" x14ac:dyDescent="0.2">
      <c r="A102" s="84" t="s">
        <v>3027</v>
      </c>
    </row>
    <row r="103" spans="1:1" x14ac:dyDescent="0.2">
      <c r="A103" s="84" t="s">
        <v>3028</v>
      </c>
    </row>
    <row r="104" spans="1:1" x14ac:dyDescent="0.2">
      <c r="A104" s="84" t="s">
        <v>3029</v>
      </c>
    </row>
    <row r="105" spans="1:1" x14ac:dyDescent="0.2">
      <c r="A105" s="84" t="s">
        <v>1193</v>
      </c>
    </row>
    <row r="106" spans="1:1" x14ac:dyDescent="0.2">
      <c r="A106" s="84" t="s">
        <v>1194</v>
      </c>
    </row>
    <row r="107" spans="1:1" x14ac:dyDescent="0.2">
      <c r="A107" s="84" t="s">
        <v>3030</v>
      </c>
    </row>
    <row r="108" spans="1:1" x14ac:dyDescent="0.2">
      <c r="A108" s="51" t="s">
        <v>815</v>
      </c>
    </row>
    <row r="109" spans="1:1" ht="15" x14ac:dyDescent="0.2">
      <c r="A109" s="82"/>
    </row>
    <row r="110" spans="1:1" x14ac:dyDescent="0.2">
      <c r="A110" s="83" t="s">
        <v>766</v>
      </c>
    </row>
    <row r="111" spans="1:1" x14ac:dyDescent="0.2">
      <c r="A111" s="84" t="s">
        <v>3031</v>
      </c>
    </row>
    <row r="112" spans="1:1" x14ac:dyDescent="0.2">
      <c r="A112" s="84" t="s">
        <v>3032</v>
      </c>
    </row>
    <row r="113" spans="1:1" x14ac:dyDescent="0.2">
      <c r="A113" s="84" t="s">
        <v>3800</v>
      </c>
    </row>
    <row r="114" spans="1:1" x14ac:dyDescent="0.2">
      <c r="A114" s="84" t="s">
        <v>1290</v>
      </c>
    </row>
    <row r="115" spans="1:1" x14ac:dyDescent="0.2">
      <c r="A115" s="84" t="s">
        <v>1324</v>
      </c>
    </row>
    <row r="116" spans="1:1" x14ac:dyDescent="0.2">
      <c r="A116" s="84" t="s">
        <v>3033</v>
      </c>
    </row>
    <row r="117" spans="1:1" ht="15" x14ac:dyDescent="0.2">
      <c r="A117" s="82"/>
    </row>
    <row r="118" spans="1:1" x14ac:dyDescent="0.2">
      <c r="A118" s="83" t="s">
        <v>769</v>
      </c>
    </row>
    <row r="119" spans="1:1" x14ac:dyDescent="0.2">
      <c r="A119" s="84" t="s">
        <v>3034</v>
      </c>
    </row>
    <row r="120" spans="1:1" x14ac:dyDescent="0.2">
      <c r="A120" s="84" t="s">
        <v>3035</v>
      </c>
    </row>
    <row r="121" spans="1:1" x14ac:dyDescent="0.2">
      <c r="A121" s="84" t="s">
        <v>3036</v>
      </c>
    </row>
    <row r="122" spans="1:1" x14ac:dyDescent="0.2">
      <c r="A122" s="84" t="s">
        <v>3037</v>
      </c>
    </row>
    <row r="123" spans="1:1" x14ac:dyDescent="0.2">
      <c r="A123" s="84" t="s">
        <v>3801</v>
      </c>
    </row>
    <row r="124" spans="1:1" x14ac:dyDescent="0.2">
      <c r="A124" s="84" t="s">
        <v>3038</v>
      </c>
    </row>
    <row r="125" spans="1:1" x14ac:dyDescent="0.2">
      <c r="A125" s="51" t="s">
        <v>815</v>
      </c>
    </row>
    <row r="126" spans="1:1" ht="15" x14ac:dyDescent="0.2">
      <c r="A126" s="82"/>
    </row>
    <row r="127" spans="1:1" x14ac:dyDescent="0.2">
      <c r="A127" s="83" t="s">
        <v>772</v>
      </c>
    </row>
    <row r="128" spans="1:1" x14ac:dyDescent="0.2">
      <c r="A128" s="84" t="s">
        <v>3039</v>
      </c>
    </row>
    <row r="129" spans="1:1" x14ac:dyDescent="0.2">
      <c r="A129" s="84" t="s">
        <v>3040</v>
      </c>
    </row>
    <row r="130" spans="1:1" x14ac:dyDescent="0.2">
      <c r="A130" s="84" t="s">
        <v>3041</v>
      </c>
    </row>
    <row r="131" spans="1:1" x14ac:dyDescent="0.2">
      <c r="A131" s="84" t="s">
        <v>914</v>
      </c>
    </row>
    <row r="132" spans="1:1" x14ac:dyDescent="0.2">
      <c r="A132" s="84" t="s">
        <v>1380</v>
      </c>
    </row>
    <row r="133" spans="1:1" x14ac:dyDescent="0.2">
      <c r="A133" s="84" t="s">
        <v>3042</v>
      </c>
    </row>
    <row r="134" spans="1:1" ht="15" x14ac:dyDescent="0.2">
      <c r="A134" s="82"/>
    </row>
    <row r="135" spans="1:1" x14ac:dyDescent="0.2">
      <c r="A135" s="83" t="s">
        <v>775</v>
      </c>
    </row>
    <row r="136" spans="1:1" x14ac:dyDescent="0.2">
      <c r="A136" s="84" t="s">
        <v>3622</v>
      </c>
    </row>
    <row r="137" spans="1:1" x14ac:dyDescent="0.2">
      <c r="A137" s="84" t="s">
        <v>3043</v>
      </c>
    </row>
    <row r="138" spans="1:1" x14ac:dyDescent="0.2">
      <c r="A138" s="84" t="s">
        <v>3623</v>
      </c>
    </row>
    <row r="139" spans="1:1" x14ac:dyDescent="0.2">
      <c r="A139" s="84" t="s">
        <v>1438</v>
      </c>
    </row>
    <row r="140" spans="1:1" x14ac:dyDescent="0.2">
      <c r="A140" s="84" t="s">
        <v>1434</v>
      </c>
    </row>
    <row r="141" spans="1:1" x14ac:dyDescent="0.2">
      <c r="A141" s="84" t="s">
        <v>3044</v>
      </c>
    </row>
    <row r="142" spans="1:1" ht="15" x14ac:dyDescent="0.2">
      <c r="A142" s="82"/>
    </row>
    <row r="143" spans="1:1" x14ac:dyDescent="0.2">
      <c r="A143" s="83" t="s">
        <v>777</v>
      </c>
    </row>
    <row r="144" spans="1:1" x14ac:dyDescent="0.2">
      <c r="A144" s="84" t="s">
        <v>3045</v>
      </c>
    </row>
    <row r="145" spans="1:1" x14ac:dyDescent="0.2">
      <c r="A145" s="84" t="s">
        <v>3046</v>
      </c>
    </row>
    <row r="146" spans="1:1" x14ac:dyDescent="0.2">
      <c r="A146" s="84" t="s">
        <v>3047</v>
      </c>
    </row>
    <row r="147" spans="1:1" x14ac:dyDescent="0.2">
      <c r="A147" s="84" t="s">
        <v>1602</v>
      </c>
    </row>
    <row r="148" spans="1:1" x14ac:dyDescent="0.2">
      <c r="A148" s="84" t="s">
        <v>3463</v>
      </c>
    </row>
    <row r="149" spans="1:1" x14ac:dyDescent="0.2">
      <c r="A149" s="84" t="s">
        <v>3048</v>
      </c>
    </row>
    <row r="150" spans="1:1" ht="15" x14ac:dyDescent="0.2">
      <c r="A150" s="82"/>
    </row>
    <row r="151" spans="1:1" x14ac:dyDescent="0.2">
      <c r="A151" s="83" t="s">
        <v>780</v>
      </c>
    </row>
    <row r="152" spans="1:1" x14ac:dyDescent="0.2">
      <c r="A152" s="84" t="s">
        <v>3049</v>
      </c>
    </row>
    <row r="153" spans="1:1" x14ac:dyDescent="0.2">
      <c r="A153" s="84" t="s">
        <v>3050</v>
      </c>
    </row>
    <row r="154" spans="1:1" x14ac:dyDescent="0.2">
      <c r="A154" s="84" t="s">
        <v>3051</v>
      </c>
    </row>
    <row r="155" spans="1:1" x14ac:dyDescent="0.2">
      <c r="A155" s="84" t="s">
        <v>1525</v>
      </c>
    </row>
    <row r="156" spans="1:1" x14ac:dyDescent="0.2">
      <c r="A156" s="84" t="s">
        <v>3052</v>
      </c>
    </row>
    <row r="157" spans="1:1" x14ac:dyDescent="0.2">
      <c r="A157" s="84" t="s">
        <v>3053</v>
      </c>
    </row>
    <row r="158" spans="1:1" x14ac:dyDescent="0.2">
      <c r="A158" s="51" t="s">
        <v>815</v>
      </c>
    </row>
    <row r="159" spans="1:1" ht="15" x14ac:dyDescent="0.2">
      <c r="A159" s="82"/>
    </row>
    <row r="160" spans="1:1" x14ac:dyDescent="0.2">
      <c r="A160" s="83" t="s">
        <v>3464</v>
      </c>
    </row>
    <row r="161" spans="1:1" x14ac:dyDescent="0.2">
      <c r="A161" s="84" t="s">
        <v>3465</v>
      </c>
    </row>
    <row r="162" spans="1:1" x14ac:dyDescent="0.2">
      <c r="A162" s="84" t="s">
        <v>3466</v>
      </c>
    </row>
    <row r="163" spans="1:1" x14ac:dyDescent="0.2">
      <c r="A163" s="84" t="s">
        <v>3802</v>
      </c>
    </row>
    <row r="164" spans="1:1" x14ac:dyDescent="0.2">
      <c r="A164" s="84" t="s">
        <v>2517</v>
      </c>
    </row>
    <row r="165" spans="1:1" x14ac:dyDescent="0.2">
      <c r="A165" s="84" t="s">
        <v>3467</v>
      </c>
    </row>
    <row r="166" spans="1:1" x14ac:dyDescent="0.2">
      <c r="A166" s="84" t="s">
        <v>834</v>
      </c>
    </row>
    <row r="167" spans="1:1" x14ac:dyDescent="0.2">
      <c r="A167" s="53"/>
    </row>
    <row r="168" spans="1:1" x14ac:dyDescent="0.2">
      <c r="A168" s="53"/>
    </row>
    <row r="169" spans="1:1" x14ac:dyDescent="0.2">
      <c r="A169" s="53"/>
    </row>
    <row r="170" spans="1:1" x14ac:dyDescent="0.2">
      <c r="A170" s="53"/>
    </row>
    <row r="171" spans="1:1" x14ac:dyDescent="0.2">
      <c r="A171" s="53"/>
    </row>
    <row r="172" spans="1:1" x14ac:dyDescent="0.2">
      <c r="A172" s="44"/>
    </row>
    <row r="173" spans="1:1" x14ac:dyDescent="0.2">
      <c r="A173" s="54"/>
    </row>
    <row r="174" spans="1:1" x14ac:dyDescent="0.2">
      <c r="A174" s="53"/>
    </row>
    <row r="175" spans="1:1" x14ac:dyDescent="0.2">
      <c r="A175" s="53"/>
    </row>
    <row r="176" spans="1:1" x14ac:dyDescent="0.2">
      <c r="A176" s="53"/>
    </row>
    <row r="177" spans="1:1" x14ac:dyDescent="0.2">
      <c r="A177" s="53"/>
    </row>
    <row r="178" spans="1:1" x14ac:dyDescent="0.2">
      <c r="A178" s="53"/>
    </row>
    <row r="179" spans="1:1" x14ac:dyDescent="0.2">
      <c r="A179" s="53"/>
    </row>
    <row r="180" spans="1:1" x14ac:dyDescent="0.2">
      <c r="A180" s="44"/>
    </row>
    <row r="181" spans="1:1" x14ac:dyDescent="0.2">
      <c r="A181" s="54"/>
    </row>
    <row r="182" spans="1:1" x14ac:dyDescent="0.2">
      <c r="A182" s="53"/>
    </row>
    <row r="183" spans="1:1" x14ac:dyDescent="0.2">
      <c r="A183" s="53"/>
    </row>
    <row r="184" spans="1:1" x14ac:dyDescent="0.2">
      <c r="A184" s="53"/>
    </row>
    <row r="185" spans="1:1" x14ac:dyDescent="0.2">
      <c r="A185" s="53"/>
    </row>
    <row r="186" spans="1:1" x14ac:dyDescent="0.2">
      <c r="A186" s="53"/>
    </row>
    <row r="187" spans="1:1" x14ac:dyDescent="0.2">
      <c r="A187" s="53"/>
    </row>
    <row r="188" spans="1:1" x14ac:dyDescent="0.2">
      <c r="A188" s="44"/>
    </row>
    <row r="189" spans="1:1" x14ac:dyDescent="0.2">
      <c r="A189" s="54"/>
    </row>
    <row r="190" spans="1:1" x14ac:dyDescent="0.2">
      <c r="A190" s="53"/>
    </row>
    <row r="191" spans="1:1" x14ac:dyDescent="0.2">
      <c r="A191" s="53"/>
    </row>
    <row r="192" spans="1:1" x14ac:dyDescent="0.2">
      <c r="A192" s="53"/>
    </row>
    <row r="193" spans="1:1" x14ac:dyDescent="0.2">
      <c r="A193" s="53"/>
    </row>
    <row r="194" spans="1:1" x14ac:dyDescent="0.2">
      <c r="A194" s="53"/>
    </row>
    <row r="195" spans="1:1" x14ac:dyDescent="0.2">
      <c r="A195" s="53"/>
    </row>
    <row r="196" spans="1:1" x14ac:dyDescent="0.2">
      <c r="A196" s="55"/>
    </row>
    <row r="197" spans="1:1" x14ac:dyDescent="0.2">
      <c r="A197" s="44"/>
    </row>
    <row r="198" spans="1:1" x14ac:dyDescent="0.2">
      <c r="A198" s="54"/>
    </row>
    <row r="199" spans="1:1" x14ac:dyDescent="0.2">
      <c r="A199" s="53"/>
    </row>
    <row r="200" spans="1:1" x14ac:dyDescent="0.2">
      <c r="A200" s="53"/>
    </row>
    <row r="201" spans="1:1" x14ac:dyDescent="0.2">
      <c r="A201" s="53"/>
    </row>
    <row r="202" spans="1:1" x14ac:dyDescent="0.2">
      <c r="A202" s="53"/>
    </row>
    <row r="203" spans="1:1" x14ac:dyDescent="0.2">
      <c r="A203" s="53"/>
    </row>
    <row r="204" spans="1:1" x14ac:dyDescent="0.2">
      <c r="A204" s="53"/>
    </row>
    <row r="205" spans="1:1" x14ac:dyDescent="0.2">
      <c r="A205" s="55"/>
    </row>
    <row r="206" spans="1:1" x14ac:dyDescent="0.2">
      <c r="A206" s="44"/>
    </row>
    <row r="207" spans="1:1" x14ac:dyDescent="0.2">
      <c r="A207" s="54"/>
    </row>
    <row r="208" spans="1:1" x14ac:dyDescent="0.2">
      <c r="A208" s="53"/>
    </row>
    <row r="209" spans="1:1" x14ac:dyDescent="0.2">
      <c r="A209" s="53"/>
    </row>
    <row r="210" spans="1:1" x14ac:dyDescent="0.2">
      <c r="A210" s="53"/>
    </row>
    <row r="211" spans="1:1" x14ac:dyDescent="0.2">
      <c r="A211" s="53"/>
    </row>
    <row r="212" spans="1:1" x14ac:dyDescent="0.2">
      <c r="A212" s="53"/>
    </row>
    <row r="213" spans="1:1" x14ac:dyDescent="0.2">
      <c r="A213" s="53"/>
    </row>
    <row r="214" spans="1:1" x14ac:dyDescent="0.2">
      <c r="A214" s="53"/>
    </row>
    <row r="215" spans="1:1" x14ac:dyDescent="0.2">
      <c r="A215" s="53"/>
    </row>
    <row r="216" spans="1:1" x14ac:dyDescent="0.2">
      <c r="A216" s="53"/>
    </row>
    <row r="217" spans="1:1" x14ac:dyDescent="0.2">
      <c r="A217" s="44"/>
    </row>
    <row r="218" spans="1:1" x14ac:dyDescent="0.2">
      <c r="A218" s="54"/>
    </row>
    <row r="219" spans="1:1" x14ac:dyDescent="0.2">
      <c r="A219" s="53"/>
    </row>
    <row r="220" spans="1:1" x14ac:dyDescent="0.2">
      <c r="A220" s="53"/>
    </row>
    <row r="221" spans="1:1" x14ac:dyDescent="0.2">
      <c r="A221" s="53"/>
    </row>
    <row r="222" spans="1:1" x14ac:dyDescent="0.2">
      <c r="A222" s="53"/>
    </row>
    <row r="223" spans="1:1" x14ac:dyDescent="0.2">
      <c r="A223" s="53"/>
    </row>
    <row r="224" spans="1:1" x14ac:dyDescent="0.2">
      <c r="A224" s="53"/>
    </row>
    <row r="225" spans="1:1" x14ac:dyDescent="0.2">
      <c r="A225" s="44"/>
    </row>
    <row r="226" spans="1:1" x14ac:dyDescent="0.2">
      <c r="A226" s="54"/>
    </row>
    <row r="227" spans="1:1" x14ac:dyDescent="0.2">
      <c r="A227" s="53"/>
    </row>
    <row r="228" spans="1:1" x14ac:dyDescent="0.2">
      <c r="A228" s="53"/>
    </row>
    <row r="229" spans="1:1" x14ac:dyDescent="0.2">
      <c r="A229" s="53"/>
    </row>
    <row r="230" spans="1:1" x14ac:dyDescent="0.2">
      <c r="A230" s="53"/>
    </row>
    <row r="231" spans="1:1" x14ac:dyDescent="0.2">
      <c r="A231" s="53"/>
    </row>
    <row r="232" spans="1:1" x14ac:dyDescent="0.2">
      <c r="A232" s="53"/>
    </row>
    <row r="233" spans="1:1" x14ac:dyDescent="0.2">
      <c r="A233" s="44"/>
    </row>
    <row r="234" spans="1:1" x14ac:dyDescent="0.2">
      <c r="A234" s="54"/>
    </row>
    <row r="235" spans="1:1" x14ac:dyDescent="0.2">
      <c r="A235" s="53"/>
    </row>
    <row r="236" spans="1:1" x14ac:dyDescent="0.2">
      <c r="A236" s="53"/>
    </row>
    <row r="237" spans="1:1" x14ac:dyDescent="0.2">
      <c r="A237" s="53"/>
    </row>
    <row r="238" spans="1:1" x14ac:dyDescent="0.2">
      <c r="A238" s="53"/>
    </row>
    <row r="239" spans="1:1" x14ac:dyDescent="0.2">
      <c r="A239" s="53"/>
    </row>
    <row r="240" spans="1:1" x14ac:dyDescent="0.2">
      <c r="A240" s="53"/>
    </row>
    <row r="241" spans="1:1" x14ac:dyDescent="0.2">
      <c r="A241" s="44"/>
    </row>
    <row r="242" spans="1:1" x14ac:dyDescent="0.2">
      <c r="A242" s="54"/>
    </row>
    <row r="243" spans="1:1" x14ac:dyDescent="0.2">
      <c r="A243" s="53"/>
    </row>
    <row r="244" spans="1:1" x14ac:dyDescent="0.2">
      <c r="A244" s="53"/>
    </row>
    <row r="245" spans="1:1" x14ac:dyDescent="0.2">
      <c r="A245" s="53"/>
    </row>
    <row r="246" spans="1:1" x14ac:dyDescent="0.2">
      <c r="A246" s="53"/>
    </row>
    <row r="247" spans="1:1" x14ac:dyDescent="0.2">
      <c r="A247" s="53"/>
    </row>
    <row r="248" spans="1:1" x14ac:dyDescent="0.2">
      <c r="A248" s="53"/>
    </row>
    <row r="249" spans="1:1" x14ac:dyDescent="0.2">
      <c r="A249" s="44"/>
    </row>
    <row r="250" spans="1:1" x14ac:dyDescent="0.2">
      <c r="A250" s="54"/>
    </row>
    <row r="251" spans="1:1" x14ac:dyDescent="0.2">
      <c r="A251" s="53"/>
    </row>
    <row r="252" spans="1:1" x14ac:dyDescent="0.2">
      <c r="A252" s="53"/>
    </row>
    <row r="253" spans="1:1" x14ac:dyDescent="0.2">
      <c r="A253" s="53"/>
    </row>
    <row r="254" spans="1:1" x14ac:dyDescent="0.2">
      <c r="A254" s="53"/>
    </row>
    <row r="255" spans="1:1" x14ac:dyDescent="0.2">
      <c r="A255" s="53"/>
    </row>
    <row r="256" spans="1:1" x14ac:dyDescent="0.2">
      <c r="A256" s="53"/>
    </row>
    <row r="257" spans="1:1" x14ac:dyDescent="0.2">
      <c r="A257" s="55"/>
    </row>
    <row r="258" spans="1:1" x14ac:dyDescent="0.2">
      <c r="A258" s="44"/>
    </row>
    <row r="259" spans="1:1" x14ac:dyDescent="0.2">
      <c r="A259" s="54"/>
    </row>
    <row r="260" spans="1:1" x14ac:dyDescent="0.2">
      <c r="A260" s="53"/>
    </row>
    <row r="261" spans="1:1" x14ac:dyDescent="0.2">
      <c r="A261" s="53"/>
    </row>
    <row r="262" spans="1:1" x14ac:dyDescent="0.2">
      <c r="A262" s="53"/>
    </row>
    <row r="263" spans="1:1" x14ac:dyDescent="0.2">
      <c r="A263" s="53"/>
    </row>
    <row r="264" spans="1:1" x14ac:dyDescent="0.2">
      <c r="A264" s="53"/>
    </row>
    <row r="265" spans="1:1" x14ac:dyDescent="0.2">
      <c r="A265" s="53"/>
    </row>
    <row r="266" spans="1:1" x14ac:dyDescent="0.2">
      <c r="A266" s="44"/>
    </row>
    <row r="267" spans="1:1" x14ac:dyDescent="0.2">
      <c r="A267" s="54"/>
    </row>
    <row r="268" spans="1:1" x14ac:dyDescent="0.2">
      <c r="A268" s="53"/>
    </row>
    <row r="269" spans="1:1" x14ac:dyDescent="0.2">
      <c r="A269" s="53"/>
    </row>
    <row r="270" spans="1:1" x14ac:dyDescent="0.2">
      <c r="A270" s="53"/>
    </row>
    <row r="271" spans="1:1" x14ac:dyDescent="0.2">
      <c r="A271" s="53"/>
    </row>
    <row r="272" spans="1:1" x14ac:dyDescent="0.2">
      <c r="A272" s="53"/>
    </row>
    <row r="273" spans="1:1" x14ac:dyDescent="0.2">
      <c r="A273" s="53"/>
    </row>
  </sheetData>
  <hyperlinks>
    <hyperlink ref="A43" display="+ Informações sobre Filiais"/>
    <hyperlink ref="A108" display="+ Informações sobre Filiais"/>
    <hyperlink ref="A125" display="+ Informações sobre Filiais"/>
    <hyperlink ref="A158" display="+ Informações sobre Filiais"/>
  </hyperlink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0.79998168889431442"/>
  </sheetPr>
  <dimension ref="A1:L132"/>
  <sheetViews>
    <sheetView workbookViewId="0">
      <pane ySplit="11" topLeftCell="A12" activePane="bottomLeft" state="frozen"/>
      <selection sqref="A1:A1048576"/>
      <selection pane="bottomLeft" activeCell="A12" sqref="A12"/>
    </sheetView>
  </sheetViews>
  <sheetFormatPr defaultRowHeight="12.75" x14ac:dyDescent="0.2"/>
  <cols>
    <col min="1" max="1" width="9.140625" style="6"/>
    <col min="2" max="2" width="51.7109375" style="6" customWidth="1"/>
    <col min="3" max="3" width="11.5703125" style="6" bestFit="1" customWidth="1"/>
    <col min="4" max="4" width="20" style="56" bestFit="1" customWidth="1"/>
    <col min="5" max="6" width="9.140625" style="56"/>
    <col min="7" max="7" width="14.5703125" style="56" bestFit="1" customWidth="1"/>
    <col min="8" max="8" width="9.140625" style="6"/>
    <col min="9" max="9" width="13.5703125" style="57" bestFit="1" customWidth="1"/>
    <col min="10" max="16384" width="9.140625" style="6"/>
  </cols>
  <sheetData>
    <row r="1" spans="1:12" x14ac:dyDescent="0.2">
      <c r="J1" s="6" t="s">
        <v>3054</v>
      </c>
    </row>
    <row r="2" spans="1:12" x14ac:dyDescent="0.2">
      <c r="J2" s="58" t="s">
        <v>3055</v>
      </c>
      <c r="K2" s="58" t="s">
        <v>3056</v>
      </c>
      <c r="L2" s="58" t="s">
        <v>28</v>
      </c>
    </row>
    <row r="3" spans="1:12" x14ac:dyDescent="0.2">
      <c r="I3" s="59" t="s">
        <v>3057</v>
      </c>
      <c r="J3" s="60">
        <f t="shared" ref="J3:K8" si="0">COUNTIF($G:$G,J$2&amp;$I3)</f>
        <v>14</v>
      </c>
      <c r="K3" s="60">
        <f t="shared" si="0"/>
        <v>2</v>
      </c>
      <c r="L3" s="58">
        <f t="shared" ref="L3:L8" si="1">K3+J3</f>
        <v>16</v>
      </c>
    </row>
    <row r="4" spans="1:12" ht="9" customHeight="1" x14ac:dyDescent="0.2">
      <c r="I4" s="61" t="s">
        <v>3058</v>
      </c>
      <c r="J4" s="62">
        <f t="shared" si="0"/>
        <v>0</v>
      </c>
      <c r="K4" s="62">
        <f t="shared" si="0"/>
        <v>0</v>
      </c>
      <c r="L4" s="62">
        <f t="shared" si="1"/>
        <v>0</v>
      </c>
    </row>
    <row r="5" spans="1:12" x14ac:dyDescent="0.2">
      <c r="I5" s="59" t="s">
        <v>3059</v>
      </c>
      <c r="J5" s="60">
        <f t="shared" si="0"/>
        <v>13</v>
      </c>
      <c r="K5" s="60">
        <f t="shared" si="0"/>
        <v>20</v>
      </c>
      <c r="L5" s="58">
        <f t="shared" si="1"/>
        <v>33</v>
      </c>
    </row>
    <row r="6" spans="1:12" ht="9" customHeight="1" x14ac:dyDescent="0.2">
      <c r="I6" s="61" t="s">
        <v>3060</v>
      </c>
      <c r="J6" s="62">
        <f t="shared" si="0"/>
        <v>0</v>
      </c>
      <c r="K6" s="62">
        <f t="shared" si="0"/>
        <v>0</v>
      </c>
      <c r="L6" s="62">
        <f t="shared" si="1"/>
        <v>0</v>
      </c>
    </row>
    <row r="7" spans="1:12" x14ac:dyDescent="0.2">
      <c r="I7" s="59" t="s">
        <v>3061</v>
      </c>
      <c r="J7" s="60">
        <f t="shared" si="0"/>
        <v>27</v>
      </c>
      <c r="K7" s="60">
        <f t="shared" si="0"/>
        <v>43</v>
      </c>
      <c r="L7" s="58">
        <f t="shared" si="1"/>
        <v>70</v>
      </c>
    </row>
    <row r="8" spans="1:12" ht="9" customHeight="1" x14ac:dyDescent="0.2">
      <c r="I8" s="61" t="s">
        <v>3062</v>
      </c>
      <c r="J8" s="62">
        <f t="shared" si="0"/>
        <v>0</v>
      </c>
      <c r="K8" s="62">
        <f t="shared" si="0"/>
        <v>0</v>
      </c>
      <c r="L8" s="62">
        <f t="shared" si="1"/>
        <v>0</v>
      </c>
    </row>
    <row r="9" spans="1:12" x14ac:dyDescent="0.2">
      <c r="K9" s="6" t="s">
        <v>3063</v>
      </c>
      <c r="L9" s="63">
        <f>SUM(L3:L8)</f>
        <v>119</v>
      </c>
    </row>
    <row r="10" spans="1:12" x14ac:dyDescent="0.2">
      <c r="F10" s="64">
        <f>COUNTIF($F$12:$F$65554,"Inativa")</f>
        <v>0</v>
      </c>
      <c r="G10" s="64">
        <f>COUNTIF($G$12:$G$65554,"&lt;&gt;")</f>
        <v>119</v>
      </c>
    </row>
    <row r="11" spans="1:12" x14ac:dyDescent="0.2">
      <c r="B11" s="43" t="s">
        <v>1614</v>
      </c>
      <c r="C11" s="43" t="s">
        <v>1616</v>
      </c>
      <c r="D11" s="65" t="s">
        <v>3064</v>
      </c>
      <c r="E11" s="65" t="s">
        <v>3065</v>
      </c>
      <c r="F11" s="65" t="s">
        <v>3066</v>
      </c>
      <c r="G11" s="65" t="s">
        <v>3067</v>
      </c>
      <c r="J11" s="66" t="s">
        <v>3068</v>
      </c>
      <c r="K11" s="60">
        <f>J3+K3+J5+J7+K7+K5</f>
        <v>119</v>
      </c>
    </row>
    <row r="12" spans="1:12" x14ac:dyDescent="0.2">
      <c r="A12" s="6" t="str">
        <f>VLOOKUP(C12,'Ress. Locais'!$G:$G,1,0)</f>
        <v>38253</v>
      </c>
      <c r="B12" s="7" t="s">
        <v>3069</v>
      </c>
      <c r="C12" s="45" t="s">
        <v>1623</v>
      </c>
      <c r="D12" s="56" t="s">
        <v>3055</v>
      </c>
      <c r="E12" s="56" t="s">
        <v>3057</v>
      </c>
      <c r="F12" s="56" t="str">
        <f t="shared" ref="F12:F27" si="2">IF(ISERROR(FIND("INATIVA",B12,1)),"","Inativa")</f>
        <v/>
      </c>
      <c r="G12" s="56" t="str">
        <f t="shared" ref="G12:G27" si="3">D12&amp;E12&amp;F12</f>
        <v>SLocal</v>
      </c>
      <c r="H12" s="6" t="str">
        <f>IF(ISERROR(VLOOKUP(C12,'Ress. Locais'!$G:$G,1,0)),"Excluir!","")</f>
        <v/>
      </c>
    </row>
    <row r="13" spans="1:12" x14ac:dyDescent="0.2">
      <c r="A13" s="6" t="str">
        <f>VLOOKUP(C13,'Ress. Locais'!$G:$G,1,0)</f>
        <v>38741</v>
      </c>
      <c r="B13" s="7" t="s">
        <v>1625</v>
      </c>
      <c r="C13" s="45" t="s">
        <v>1627</v>
      </c>
      <c r="D13" s="56" t="s">
        <v>3055</v>
      </c>
      <c r="E13" s="56" t="s">
        <v>3057</v>
      </c>
      <c r="F13" s="56" t="str">
        <f t="shared" si="2"/>
        <v/>
      </c>
      <c r="G13" s="56" t="str">
        <f t="shared" si="3"/>
        <v>SLocal</v>
      </c>
      <c r="H13" s="6" t="str">
        <f>IF(ISERROR(VLOOKUP(C13,'Ress. Locais'!$G:$G,1,0)),"Excluir!","")</f>
        <v/>
      </c>
      <c r="I13" s="67" t="s">
        <v>3070</v>
      </c>
      <c r="J13" s="67">
        <f>J3+J5+J7</f>
        <v>54</v>
      </c>
      <c r="K13" s="68"/>
      <c r="L13" s="68"/>
    </row>
    <row r="14" spans="1:12" x14ac:dyDescent="0.2">
      <c r="A14" s="6" t="str">
        <f>VLOOKUP(C14,'Ress. Locais'!$G:$G,1,0)</f>
        <v>30074</v>
      </c>
      <c r="B14" s="7" t="s">
        <v>1629</v>
      </c>
      <c r="C14" s="45" t="s">
        <v>1631</v>
      </c>
      <c r="D14" s="56" t="s">
        <v>3055</v>
      </c>
      <c r="E14" s="56" t="s">
        <v>3057</v>
      </c>
      <c r="F14" s="56" t="str">
        <f t="shared" si="2"/>
        <v/>
      </c>
      <c r="G14" s="56" t="str">
        <f t="shared" si="3"/>
        <v>SLocal</v>
      </c>
      <c r="H14" s="6" t="str">
        <f>IF(ISERROR(VLOOKUP(C14,'Ress. Locais'!$G:$G,1,0)),"Excluir!","")</f>
        <v/>
      </c>
      <c r="I14" s="69"/>
      <c r="J14" s="68"/>
      <c r="K14" s="68"/>
      <c r="L14" s="68"/>
    </row>
    <row r="15" spans="1:12" x14ac:dyDescent="0.2">
      <c r="A15" s="6" t="str">
        <f>VLOOKUP(C15,'Ress. Locais'!$G:$G,1,0)</f>
        <v>34819</v>
      </c>
      <c r="B15" s="7" t="s">
        <v>1636</v>
      </c>
      <c r="C15" s="45" t="s">
        <v>1638</v>
      </c>
      <c r="D15" s="56" t="s">
        <v>3055</v>
      </c>
      <c r="E15" s="56" t="s">
        <v>3057</v>
      </c>
      <c r="F15" s="56" t="str">
        <f t="shared" si="2"/>
        <v/>
      </c>
      <c r="G15" s="56" t="str">
        <f t="shared" si="3"/>
        <v>SLocal</v>
      </c>
      <c r="H15" s="6" t="str">
        <f>IF(ISERROR(VLOOKUP(C15,'Ress. Locais'!$G:$G,1,0)),"Excluir!","")</f>
        <v/>
      </c>
      <c r="I15" s="69"/>
      <c r="J15" s="68"/>
      <c r="K15" s="68"/>
      <c r="L15" s="68"/>
    </row>
    <row r="16" spans="1:12" x14ac:dyDescent="0.2">
      <c r="A16" s="6" t="str">
        <f>VLOOKUP(C16,'Ress. Locais'!$G:$G,1,0)</f>
        <v>36099</v>
      </c>
      <c r="B16" s="7" t="s">
        <v>3728</v>
      </c>
      <c r="C16" s="7" t="s">
        <v>3741</v>
      </c>
      <c r="D16" s="56" t="s">
        <v>3055</v>
      </c>
      <c r="E16" s="56" t="s">
        <v>3057</v>
      </c>
      <c r="F16" s="56" t="str">
        <f t="shared" si="2"/>
        <v/>
      </c>
      <c r="G16" s="56" t="str">
        <f t="shared" si="3"/>
        <v>SLocal</v>
      </c>
      <c r="H16" s="6" t="str">
        <f>IF(ISERROR(VLOOKUP(C16,'Ress. Locais'!$G:$G,1,0)),"Excluir!","")</f>
        <v/>
      </c>
      <c r="I16" s="69"/>
      <c r="J16" s="68"/>
      <c r="K16" s="68"/>
      <c r="L16" s="68"/>
    </row>
    <row r="17" spans="1:12" x14ac:dyDescent="0.2">
      <c r="A17" s="6" t="str">
        <f>VLOOKUP(C17,'Ress. Locais'!$G:$G,1,0)</f>
        <v>37052</v>
      </c>
      <c r="B17" s="7" t="s">
        <v>1642</v>
      </c>
      <c r="C17" s="45" t="s">
        <v>1644</v>
      </c>
      <c r="D17" s="56" t="s">
        <v>3056</v>
      </c>
      <c r="E17" s="56" t="s">
        <v>3057</v>
      </c>
      <c r="F17" s="56" t="str">
        <f t="shared" si="2"/>
        <v/>
      </c>
      <c r="G17" s="56" t="str">
        <f t="shared" si="3"/>
        <v>NLocal</v>
      </c>
      <c r="H17" s="6" t="str">
        <f>IF(ISERROR(VLOOKUP(C17,'Ress. Locais'!$G:$G,1,0)),"Excluir!","")</f>
        <v/>
      </c>
      <c r="J17" s="68"/>
      <c r="K17" s="68"/>
      <c r="L17" s="68"/>
    </row>
    <row r="18" spans="1:12" x14ac:dyDescent="0.2">
      <c r="A18" s="6" t="str">
        <f>VLOOKUP(C18,'Ress. Locais'!$G:$G,1,0)</f>
        <v>31623</v>
      </c>
      <c r="B18" s="7" t="s">
        <v>1646</v>
      </c>
      <c r="C18" s="45" t="s">
        <v>1648</v>
      </c>
      <c r="D18" s="56" t="s">
        <v>3055</v>
      </c>
      <c r="E18" s="56" t="s">
        <v>3057</v>
      </c>
      <c r="F18" s="56" t="str">
        <f t="shared" si="2"/>
        <v/>
      </c>
      <c r="G18" s="56" t="str">
        <f t="shared" si="3"/>
        <v>SLocal</v>
      </c>
      <c r="H18" s="6" t="str">
        <f>IF(ISERROR(VLOOKUP(C18,'Ress. Locais'!$G:$G,1,0)),"Excluir!","")</f>
        <v/>
      </c>
      <c r="I18" s="69"/>
      <c r="J18" s="68"/>
    </row>
    <row r="19" spans="1:12" x14ac:dyDescent="0.2">
      <c r="A19" s="6" t="str">
        <f>VLOOKUP(C19,'Ress. Locais'!$G:$G,1,0)</f>
        <v>38873</v>
      </c>
      <c r="B19" s="7" t="s">
        <v>1652</v>
      </c>
      <c r="C19" s="45" t="s">
        <v>1654</v>
      </c>
      <c r="D19" s="56" t="s">
        <v>3056</v>
      </c>
      <c r="E19" s="56" t="s">
        <v>3057</v>
      </c>
      <c r="F19" s="56" t="str">
        <f t="shared" si="2"/>
        <v/>
      </c>
      <c r="G19" s="56" t="str">
        <f t="shared" si="3"/>
        <v>NLocal</v>
      </c>
      <c r="H19" s="6" t="str">
        <f>IF(ISERROR(VLOOKUP(C19,'Ress. Locais'!$G:$G,1,0)),"Excluir!","")</f>
        <v/>
      </c>
      <c r="I19" s="69"/>
      <c r="J19" s="68"/>
    </row>
    <row r="20" spans="1:12" x14ac:dyDescent="0.2">
      <c r="A20" s="6" t="str">
        <f>VLOOKUP(C20,'Ress. Locais'!$G:$G,1,0)</f>
        <v>33294</v>
      </c>
      <c r="B20" s="7" t="s">
        <v>1656</v>
      </c>
      <c r="C20" s="45" t="s">
        <v>1658</v>
      </c>
      <c r="D20" s="56" t="s">
        <v>3055</v>
      </c>
      <c r="E20" s="56" t="s">
        <v>3057</v>
      </c>
      <c r="F20" s="56" t="str">
        <f t="shared" si="2"/>
        <v/>
      </c>
      <c r="G20" s="56" t="str">
        <f t="shared" si="3"/>
        <v>SLocal</v>
      </c>
      <c r="H20" s="6" t="str">
        <f>IF(ISERROR(VLOOKUP(C20,'Ress. Locais'!$G:$G,1,0)),"Excluir!","")</f>
        <v/>
      </c>
      <c r="I20" s="70" t="s">
        <v>3071</v>
      </c>
      <c r="J20" s="68"/>
    </row>
    <row r="21" spans="1:12" x14ac:dyDescent="0.2">
      <c r="A21" s="6" t="str">
        <f>VLOOKUP(C21,'Ress. Locais'!$G:$G,1,0)</f>
        <v>39764</v>
      </c>
      <c r="B21" s="7" t="s">
        <v>3592</v>
      </c>
      <c r="C21" s="7" t="s">
        <v>1663</v>
      </c>
      <c r="D21" s="56" t="s">
        <v>3055</v>
      </c>
      <c r="E21" s="56" t="s">
        <v>3057</v>
      </c>
      <c r="F21" s="56" t="str">
        <f t="shared" si="2"/>
        <v/>
      </c>
      <c r="G21" s="56" t="str">
        <f t="shared" si="3"/>
        <v>SLocal</v>
      </c>
      <c r="H21" s="6" t="str">
        <f>IF(ISERROR(VLOOKUP(C21,'Ress. Locais'!$G:$G,1,0)),"Excluir!","")</f>
        <v/>
      </c>
      <c r="I21" s="57" t="s">
        <v>3072</v>
      </c>
      <c r="J21" s="6">
        <f>COUNTIF('Ress. Locais'!E3:E65536,"&lt;&gt;")</f>
        <v>16</v>
      </c>
    </row>
    <row r="22" spans="1:12" x14ac:dyDescent="0.2">
      <c r="A22" s="6" t="str">
        <f>VLOOKUP(C22,'Ress. Locais'!$G:$G,1,0)</f>
        <v>37729</v>
      </c>
      <c r="B22" s="7" t="s">
        <v>1665</v>
      </c>
      <c r="C22" s="45" t="s">
        <v>1667</v>
      </c>
      <c r="D22" s="56" t="s">
        <v>3055</v>
      </c>
      <c r="E22" s="56" t="s">
        <v>3057</v>
      </c>
      <c r="F22" s="56" t="str">
        <f t="shared" si="2"/>
        <v/>
      </c>
      <c r="G22" s="56" t="str">
        <f t="shared" si="3"/>
        <v>SLocal</v>
      </c>
      <c r="H22" s="6" t="str">
        <f>IF(ISERROR(VLOOKUP(C22,'Ress. Locais'!$G:$G,1,0)),"Excluir!","")</f>
        <v/>
      </c>
      <c r="I22" s="69" t="s">
        <v>3073</v>
      </c>
      <c r="J22" s="6">
        <f>COUNTIF('Ress. Admitidas'!E3:E65536,"&lt;&gt;")</f>
        <v>33</v>
      </c>
    </row>
    <row r="23" spans="1:12" x14ac:dyDescent="0.2">
      <c r="A23" s="6" t="str">
        <f>VLOOKUP(C23,'Ress. Locais'!$G:$G,1,0)</f>
        <v>31551</v>
      </c>
      <c r="B23" s="7" t="s">
        <v>3732</v>
      </c>
      <c r="C23" s="45" t="s">
        <v>3744</v>
      </c>
      <c r="D23" s="56" t="s">
        <v>3055</v>
      </c>
      <c r="E23" s="56" t="s">
        <v>3057</v>
      </c>
      <c r="F23" s="56" t="str">
        <f t="shared" si="2"/>
        <v/>
      </c>
      <c r="G23" s="56" t="str">
        <f t="shared" si="3"/>
        <v>SLocal</v>
      </c>
      <c r="H23" s="6" t="str">
        <f>IF(ISERROR(VLOOKUP(C23,'Ress. Locais'!$G:$G,1,0)),"Excluir!","")</f>
        <v/>
      </c>
      <c r="I23" s="69" t="s">
        <v>3074</v>
      </c>
      <c r="J23" s="6">
        <f>COUNTIF('Ress. Eventuais'!E3:E65536,"&lt;&gt;")</f>
        <v>70</v>
      </c>
    </row>
    <row r="24" spans="1:12" x14ac:dyDescent="0.2">
      <c r="A24" s="6" t="str">
        <f>VLOOKUP(C24,'Ress. Locais'!$G:$G,1,0)</f>
        <v>38270</v>
      </c>
      <c r="B24" s="7" t="s">
        <v>1671</v>
      </c>
      <c r="C24" s="7" t="s">
        <v>1673</v>
      </c>
      <c r="D24" s="56" t="s">
        <v>3055</v>
      </c>
      <c r="E24" s="56" t="s">
        <v>3057</v>
      </c>
      <c r="F24" s="56" t="str">
        <f t="shared" si="2"/>
        <v/>
      </c>
      <c r="G24" s="56" t="str">
        <f t="shared" si="3"/>
        <v>SLocal</v>
      </c>
      <c r="H24" s="6" t="str">
        <f>IF(ISERROR(VLOOKUP(C24,'Ress. Locais'!$G:$G,1,0)),"Excluir!","")</f>
        <v/>
      </c>
      <c r="I24" s="69"/>
      <c r="J24" s="71">
        <f>SUM(J21:J23)</f>
        <v>119</v>
      </c>
    </row>
    <row r="25" spans="1:12" x14ac:dyDescent="0.2">
      <c r="A25" s="6" t="str">
        <f>VLOOKUP(C25,'Ress. Locais'!$G:$G,1,0)</f>
        <v>30201</v>
      </c>
      <c r="B25" s="7" t="s">
        <v>3595</v>
      </c>
      <c r="C25" s="45" t="s">
        <v>1677</v>
      </c>
      <c r="D25" s="56" t="s">
        <v>3055</v>
      </c>
      <c r="E25" s="56" t="s">
        <v>3057</v>
      </c>
      <c r="F25" s="56" t="str">
        <f t="shared" si="2"/>
        <v/>
      </c>
      <c r="G25" s="56" t="str">
        <f t="shared" si="3"/>
        <v>SLocal</v>
      </c>
      <c r="H25" s="6" t="str">
        <f>IF(ISERROR(VLOOKUP(C25,'Ress. Locais'!$G:$G,1,0)),"Excluir!","")</f>
        <v/>
      </c>
      <c r="I25" s="72" t="str">
        <f>'Ress. Locais'!H1</f>
        <v>Última atualização feita em 19.09.2014 às 14:06:25</v>
      </c>
    </row>
    <row r="26" spans="1:12" x14ac:dyDescent="0.2">
      <c r="A26" s="6" t="str">
        <f>VLOOKUP(C26,'Ress. Locais'!$G:$G,1,0)</f>
        <v>34665</v>
      </c>
      <c r="B26" s="7" t="s">
        <v>1682</v>
      </c>
      <c r="C26" s="45" t="s">
        <v>1684</v>
      </c>
      <c r="D26" s="56" t="s">
        <v>3055</v>
      </c>
      <c r="E26" s="56" t="s">
        <v>3057</v>
      </c>
      <c r="F26" s="56" t="str">
        <f t="shared" si="2"/>
        <v/>
      </c>
      <c r="G26" s="56" t="str">
        <f t="shared" si="3"/>
        <v>SLocal</v>
      </c>
      <c r="H26" s="6" t="str">
        <f>IF(ISERROR(VLOOKUP(C26,'Ress. Locais'!$G:$G,1,0)),"Excluir!","")</f>
        <v/>
      </c>
    </row>
    <row r="27" spans="1:12" x14ac:dyDescent="0.2">
      <c r="A27" s="6" t="str">
        <f>VLOOKUP(C27,'Ress. Locais'!$G:$G,1,0)</f>
        <v>32875</v>
      </c>
      <c r="B27" s="7" t="s">
        <v>3596</v>
      </c>
      <c r="C27" s="7" t="s">
        <v>1688</v>
      </c>
      <c r="D27" s="56" t="s">
        <v>3055</v>
      </c>
      <c r="E27" s="56" t="s">
        <v>3057</v>
      </c>
      <c r="F27" s="56" t="str">
        <f t="shared" si="2"/>
        <v/>
      </c>
      <c r="G27" s="56" t="str">
        <f t="shared" si="3"/>
        <v>SLocal</v>
      </c>
      <c r="H27" s="6" t="str">
        <f>IF(ISERROR(VLOOKUP(C27,'Ress. Locais'!$G:$G,1,0)),"Excluir!","")</f>
        <v/>
      </c>
    </row>
    <row r="28" spans="1:12" x14ac:dyDescent="0.2">
      <c r="B28" s="7"/>
      <c r="C28" s="7"/>
    </row>
    <row r="29" spans="1:12" x14ac:dyDescent="0.2">
      <c r="A29" s="6" t="str">
        <f>VLOOKUP(C29,'Ress. Eventuais'!$G:$G,1,0)</f>
        <v>54666</v>
      </c>
      <c r="B29" s="7" t="s">
        <v>2074</v>
      </c>
      <c r="C29" s="45" t="s">
        <v>2075</v>
      </c>
      <c r="D29" s="56" t="s">
        <v>3056</v>
      </c>
      <c r="E29" s="56" t="s">
        <v>3061</v>
      </c>
      <c r="F29" s="56" t="str">
        <f t="shared" ref="F29:F60" si="4">IF(ISERROR(FIND("INATIVA",B29,1)),"","Inativa")</f>
        <v/>
      </c>
      <c r="G29" s="56" t="str">
        <f t="shared" ref="G29:G60" si="5">D29&amp;E29&amp;F29</f>
        <v>NEventual</v>
      </c>
      <c r="H29" s="6" t="str">
        <f>IF(ISERROR(VLOOKUP(C29,'Ress. Eventuais'!$G:$G,1,0)),"Excluir!","")</f>
        <v/>
      </c>
    </row>
    <row r="30" spans="1:12" x14ac:dyDescent="0.2">
      <c r="A30" s="6" t="str">
        <f>VLOOKUP(C30,'Ress. Eventuais'!$G:$G,1,0)</f>
        <v>50806</v>
      </c>
      <c r="B30" s="7" t="s">
        <v>2079</v>
      </c>
      <c r="C30" s="52" t="s">
        <v>2080</v>
      </c>
      <c r="D30" s="73" t="s">
        <v>3055</v>
      </c>
      <c r="E30" s="56" t="s">
        <v>3061</v>
      </c>
      <c r="F30" s="56" t="str">
        <f t="shared" si="4"/>
        <v/>
      </c>
      <c r="G30" s="56" t="str">
        <f t="shared" si="5"/>
        <v>SEventual</v>
      </c>
      <c r="H30" s="6" t="str">
        <f>IF(ISERROR(VLOOKUP(C30,'Ress. Eventuais'!$G:$G,1,0)),"Excluir!","")</f>
        <v/>
      </c>
    </row>
    <row r="31" spans="1:12" x14ac:dyDescent="0.2">
      <c r="A31" s="6" t="str">
        <f>VLOOKUP(C31,'Ress. Eventuais'!$G:$G,1,0)</f>
        <v>50857</v>
      </c>
      <c r="B31" s="7" t="s">
        <v>2085</v>
      </c>
      <c r="C31" s="45" t="s">
        <v>2086</v>
      </c>
      <c r="D31" s="56" t="s">
        <v>3056</v>
      </c>
      <c r="E31" s="56" t="s">
        <v>3061</v>
      </c>
      <c r="F31" s="56" t="str">
        <f t="shared" si="4"/>
        <v/>
      </c>
      <c r="G31" s="56" t="str">
        <f t="shared" si="5"/>
        <v>NEventual</v>
      </c>
      <c r="H31" s="6" t="str">
        <f>IF(ISERROR(VLOOKUP(C31,'Ress. Eventuais'!$G:$G,1,0)),"Excluir!","")</f>
        <v/>
      </c>
    </row>
    <row r="32" spans="1:12" x14ac:dyDescent="0.2">
      <c r="A32" s="6" t="str">
        <f>VLOOKUP(C32,'Ress. Eventuais'!$G:$G,1,0)</f>
        <v>58050</v>
      </c>
      <c r="B32" s="7" t="s">
        <v>3763</v>
      </c>
      <c r="C32" s="45" t="s">
        <v>3770</v>
      </c>
      <c r="D32" s="56" t="s">
        <v>3055</v>
      </c>
      <c r="E32" s="56" t="s">
        <v>3061</v>
      </c>
      <c r="F32" s="56" t="str">
        <f t="shared" si="4"/>
        <v/>
      </c>
      <c r="G32" s="56" t="str">
        <f t="shared" si="5"/>
        <v>SEventual</v>
      </c>
      <c r="H32" s="6" t="str">
        <f>IF(ISERROR(VLOOKUP(C32,'Ress. Eventuais'!$G:$G,1,0)),"Excluir!","")</f>
        <v/>
      </c>
    </row>
    <row r="33" spans="1:8" x14ac:dyDescent="0.2">
      <c r="A33" s="6" t="str">
        <f>VLOOKUP(C33,'Ress. Eventuais'!$G:$G,1,0)</f>
        <v>56286</v>
      </c>
      <c r="B33" s="7" t="s">
        <v>3459</v>
      </c>
      <c r="C33" s="45" t="s">
        <v>2090</v>
      </c>
      <c r="D33" s="56" t="s">
        <v>3056</v>
      </c>
      <c r="E33" s="56" t="s">
        <v>3061</v>
      </c>
      <c r="F33" s="56" t="str">
        <f t="shared" si="4"/>
        <v/>
      </c>
      <c r="G33" s="56" t="str">
        <f t="shared" si="5"/>
        <v>NEventual</v>
      </c>
      <c r="H33" s="6" t="str">
        <f>IF(ISERROR(VLOOKUP(C33,'Ress. Eventuais'!$G:$G,1,0)),"Excluir!","")</f>
        <v/>
      </c>
    </row>
    <row r="34" spans="1:8" x14ac:dyDescent="0.2">
      <c r="A34" s="6" t="str">
        <f>VLOOKUP(C34,'Ress. Eventuais'!$G:$G,1,0)</f>
        <v>50601</v>
      </c>
      <c r="B34" s="7" t="s">
        <v>2094</v>
      </c>
      <c r="C34" s="52" t="s">
        <v>2095</v>
      </c>
      <c r="D34" s="73" t="s">
        <v>3055</v>
      </c>
      <c r="E34" s="56" t="s">
        <v>3061</v>
      </c>
      <c r="F34" s="56" t="str">
        <f t="shared" si="4"/>
        <v/>
      </c>
      <c r="G34" s="56" t="str">
        <f t="shared" si="5"/>
        <v>SEventual</v>
      </c>
      <c r="H34" s="6" t="str">
        <f>IF(ISERROR(VLOOKUP(C34,'Ress. Eventuais'!$G:$G,1,0)),"Excluir!","")</f>
        <v/>
      </c>
    </row>
    <row r="35" spans="1:8" x14ac:dyDescent="0.2">
      <c r="A35" s="6" t="str">
        <f>VLOOKUP(C35,'Ress. Eventuais'!$G:$G,1,0)</f>
        <v>52434</v>
      </c>
      <c r="B35" s="7" t="s">
        <v>3601</v>
      </c>
      <c r="C35" s="45" t="s">
        <v>2099</v>
      </c>
      <c r="D35" s="56" t="s">
        <v>3056</v>
      </c>
      <c r="E35" s="56" t="s">
        <v>3061</v>
      </c>
      <c r="F35" s="56" t="str">
        <f t="shared" si="4"/>
        <v/>
      </c>
      <c r="G35" s="56" t="str">
        <f t="shared" si="5"/>
        <v>NEventual</v>
      </c>
      <c r="H35" s="6" t="str">
        <f>IF(ISERROR(VLOOKUP(C35,'Ress. Eventuais'!$G:$G,1,0)),"Excluir!","")</f>
        <v/>
      </c>
    </row>
    <row r="36" spans="1:8" x14ac:dyDescent="0.2">
      <c r="A36" s="6" t="str">
        <f>VLOOKUP(C36,'Ress. Eventuais'!$G:$G,1,0)</f>
        <v>50091</v>
      </c>
      <c r="B36" s="7" t="s">
        <v>2102</v>
      </c>
      <c r="C36" s="45" t="s">
        <v>2103</v>
      </c>
      <c r="D36" s="56" t="s">
        <v>3056</v>
      </c>
      <c r="E36" s="56" t="s">
        <v>3061</v>
      </c>
      <c r="F36" s="56" t="str">
        <f t="shared" si="4"/>
        <v/>
      </c>
      <c r="G36" s="56" t="str">
        <f t="shared" si="5"/>
        <v>NEventual</v>
      </c>
      <c r="H36" s="6" t="str">
        <f>IF(ISERROR(VLOOKUP(C36,'Ress. Eventuais'!$G:$G,1,0)),"Excluir!","")</f>
        <v/>
      </c>
    </row>
    <row r="37" spans="1:8" x14ac:dyDescent="0.2">
      <c r="A37" s="6" t="str">
        <f>VLOOKUP(C37,'Ress. Eventuais'!$G:$G,1,0)</f>
        <v>58181</v>
      </c>
      <c r="B37" s="7" t="s">
        <v>2107</v>
      </c>
      <c r="C37" s="52" t="s">
        <v>2108</v>
      </c>
      <c r="D37" s="73" t="s">
        <v>3056</v>
      </c>
      <c r="E37" s="73" t="s">
        <v>3061</v>
      </c>
      <c r="F37" s="56" t="str">
        <f t="shared" si="4"/>
        <v/>
      </c>
      <c r="G37" s="73" t="str">
        <f t="shared" si="5"/>
        <v>NEventual</v>
      </c>
      <c r="H37" s="6" t="str">
        <f>IF(ISERROR(VLOOKUP(C37,'Ress. Eventuais'!$G:$G,1,0)),"Excluir!","")</f>
        <v/>
      </c>
    </row>
    <row r="38" spans="1:8" x14ac:dyDescent="0.2">
      <c r="A38" s="6" t="str">
        <f>VLOOKUP(C38,'Ress. Eventuais'!$G:$G,1,0)</f>
        <v>56766</v>
      </c>
      <c r="B38" s="7" t="s">
        <v>2111</v>
      </c>
      <c r="C38" s="45" t="s">
        <v>2112</v>
      </c>
      <c r="D38" s="56" t="s">
        <v>3056</v>
      </c>
      <c r="E38" s="56" t="s">
        <v>3061</v>
      </c>
      <c r="F38" s="56" t="str">
        <f t="shared" si="4"/>
        <v/>
      </c>
      <c r="G38" s="56" t="str">
        <f t="shared" si="5"/>
        <v>NEventual</v>
      </c>
      <c r="H38" s="6" t="str">
        <f>IF(ISERROR(VLOOKUP(C38,'Ress. Eventuais'!$G:$G,1,0)),"Excluir!","")</f>
        <v/>
      </c>
    </row>
    <row r="39" spans="1:8" x14ac:dyDescent="0.2">
      <c r="A39" s="6" t="str">
        <f>VLOOKUP(C39,'Ress. Eventuais'!$G:$G,1,0)</f>
        <v>54950</v>
      </c>
      <c r="B39" s="7" t="s">
        <v>2116</v>
      </c>
      <c r="C39" s="45" t="s">
        <v>2117</v>
      </c>
      <c r="D39" s="56" t="s">
        <v>3055</v>
      </c>
      <c r="E39" s="56" t="s">
        <v>3061</v>
      </c>
      <c r="F39" s="56" t="str">
        <f t="shared" si="4"/>
        <v/>
      </c>
      <c r="G39" s="56" t="str">
        <f t="shared" si="5"/>
        <v>SEventual</v>
      </c>
      <c r="H39" s="6" t="str">
        <f>IF(ISERROR(VLOOKUP(C39,'Ress. Eventuais'!$G:$G,1,0)),"Excluir!","")</f>
        <v/>
      </c>
    </row>
    <row r="40" spans="1:8" x14ac:dyDescent="0.2">
      <c r="A40" s="6" t="str">
        <f>VLOOKUP(C40,'Ress. Eventuais'!$G:$G,1,0)</f>
        <v>52876</v>
      </c>
      <c r="B40" s="7" t="s">
        <v>2121</v>
      </c>
      <c r="C40" s="45" t="s">
        <v>2122</v>
      </c>
      <c r="D40" s="56" t="s">
        <v>3056</v>
      </c>
      <c r="E40" s="56" t="s">
        <v>3061</v>
      </c>
      <c r="F40" s="56" t="str">
        <f t="shared" si="4"/>
        <v/>
      </c>
      <c r="G40" s="56" t="str">
        <f t="shared" si="5"/>
        <v>NEventual</v>
      </c>
      <c r="H40" s="6" t="str">
        <f>IF(ISERROR(VLOOKUP(C40,'Ress. Eventuais'!$G:$G,1,0)),"Excluir!","")</f>
        <v/>
      </c>
    </row>
    <row r="41" spans="1:8" x14ac:dyDescent="0.2">
      <c r="A41" s="6" t="str">
        <f>VLOOKUP(C41,'Ress. Eventuais'!$G:$G,1,0)</f>
        <v>57746</v>
      </c>
      <c r="B41" s="7" t="s">
        <v>2123</v>
      </c>
      <c r="C41" s="45" t="s">
        <v>2124</v>
      </c>
      <c r="D41" s="56" t="s">
        <v>3056</v>
      </c>
      <c r="E41" s="56" t="s">
        <v>3061</v>
      </c>
      <c r="F41" s="56" t="str">
        <f t="shared" si="4"/>
        <v/>
      </c>
      <c r="G41" s="56" t="str">
        <f t="shared" si="5"/>
        <v>NEventual</v>
      </c>
      <c r="H41" s="6" t="str">
        <f>IF(ISERROR(VLOOKUP(C41,'Ress. Eventuais'!$G:$G,1,0)),"Excluir!","")</f>
        <v/>
      </c>
    </row>
    <row r="42" spans="1:8" x14ac:dyDescent="0.2">
      <c r="A42" s="6" t="str">
        <f>VLOOKUP(C42,'Ress. Eventuais'!$G:$G,1,0)</f>
        <v>56090</v>
      </c>
      <c r="B42" s="7" t="s">
        <v>2128</v>
      </c>
      <c r="C42" s="45" t="s">
        <v>2129</v>
      </c>
      <c r="D42" s="56" t="s">
        <v>3056</v>
      </c>
      <c r="E42" s="56" t="s">
        <v>3061</v>
      </c>
      <c r="F42" s="56" t="str">
        <f t="shared" si="4"/>
        <v/>
      </c>
      <c r="G42" s="56" t="str">
        <f t="shared" si="5"/>
        <v>NEventual</v>
      </c>
      <c r="H42" s="6" t="str">
        <f>IF(ISERROR(VLOOKUP(C42,'Ress. Eventuais'!$G:$G,1,0)),"Excluir!","")</f>
        <v/>
      </c>
    </row>
    <row r="43" spans="1:8" x14ac:dyDescent="0.2">
      <c r="A43" s="6" t="str">
        <f>VLOOKUP(C43,'Ress. Eventuais'!$G:$G,1,0)</f>
        <v>56812</v>
      </c>
      <c r="B43" s="7" t="s">
        <v>2132</v>
      </c>
      <c r="C43" s="45" t="s">
        <v>2133</v>
      </c>
      <c r="D43" s="56" t="s">
        <v>3055</v>
      </c>
      <c r="E43" s="56" t="s">
        <v>3061</v>
      </c>
      <c r="F43" s="56" t="str">
        <f t="shared" si="4"/>
        <v/>
      </c>
      <c r="G43" s="56" t="str">
        <f t="shared" si="5"/>
        <v>SEventual</v>
      </c>
      <c r="H43" s="6" t="str">
        <f>IF(ISERROR(VLOOKUP(C43,'Ress. Eventuais'!$G:$G,1,0)),"Excluir!","")</f>
        <v/>
      </c>
    </row>
    <row r="44" spans="1:8" x14ac:dyDescent="0.2">
      <c r="A44" s="6" t="str">
        <f>VLOOKUP(C44,'Ress. Eventuais'!$G:$G,1,0)</f>
        <v>56898</v>
      </c>
      <c r="B44" s="7" t="s">
        <v>2136</v>
      </c>
      <c r="C44" s="45" t="s">
        <v>2137</v>
      </c>
      <c r="D44" s="56" t="s">
        <v>3056</v>
      </c>
      <c r="E44" s="56" t="s">
        <v>3061</v>
      </c>
      <c r="F44" s="56" t="str">
        <f t="shared" si="4"/>
        <v/>
      </c>
      <c r="G44" s="56" t="str">
        <f t="shared" si="5"/>
        <v>NEventual</v>
      </c>
      <c r="H44" s="6" t="str">
        <f>IF(ISERROR(VLOOKUP(C44,'Ress. Eventuais'!$G:$G,1,0)),"Excluir!","")</f>
        <v/>
      </c>
    </row>
    <row r="45" spans="1:8" x14ac:dyDescent="0.2">
      <c r="A45" s="6" t="str">
        <f>VLOOKUP(C45,'Ress. Eventuais'!$G:$G,1,0)</f>
        <v>50938</v>
      </c>
      <c r="B45" s="7" t="s">
        <v>2139</v>
      </c>
      <c r="C45" s="45" t="s">
        <v>2140</v>
      </c>
      <c r="D45" s="56" t="s">
        <v>3055</v>
      </c>
      <c r="E45" s="56" t="s">
        <v>3061</v>
      </c>
      <c r="F45" s="56" t="str">
        <f t="shared" si="4"/>
        <v/>
      </c>
      <c r="G45" s="56" t="str">
        <f t="shared" si="5"/>
        <v>SEventual</v>
      </c>
      <c r="H45" s="6" t="str">
        <f>IF(ISERROR(VLOOKUP(C45,'Ress. Eventuais'!$G:$G,1,0)),"Excluir!","")</f>
        <v/>
      </c>
    </row>
    <row r="46" spans="1:8" x14ac:dyDescent="0.2">
      <c r="A46" s="6" t="str">
        <f>VLOOKUP(C46,'Ress. Eventuais'!$G:$G,1,0)</f>
        <v>56120</v>
      </c>
      <c r="B46" s="7" t="s">
        <v>3602</v>
      </c>
      <c r="C46" s="45" t="s">
        <v>3656</v>
      </c>
      <c r="D46" s="56" t="s">
        <v>3055</v>
      </c>
      <c r="E46" s="56" t="s">
        <v>3061</v>
      </c>
      <c r="F46" s="56" t="str">
        <f t="shared" si="4"/>
        <v/>
      </c>
      <c r="G46" s="56" t="str">
        <f t="shared" si="5"/>
        <v>SEventual</v>
      </c>
      <c r="H46" s="6" t="str">
        <f>IF(ISERROR(VLOOKUP(C46,'Ress. Eventuais'!$G:$G,1,0)),"Excluir!","")</f>
        <v/>
      </c>
    </row>
    <row r="47" spans="1:8" x14ac:dyDescent="0.2">
      <c r="A47" s="6" t="str">
        <f>VLOOKUP(C47,'Ress. Eventuais'!$G:$G,1,0)</f>
        <v>51772</v>
      </c>
      <c r="B47" s="7" t="s">
        <v>2145</v>
      </c>
      <c r="C47" s="45" t="s">
        <v>2146</v>
      </c>
      <c r="D47" s="56" t="s">
        <v>3055</v>
      </c>
      <c r="E47" s="56" t="s">
        <v>3061</v>
      </c>
      <c r="F47" s="56" t="str">
        <f t="shared" si="4"/>
        <v/>
      </c>
      <c r="G47" s="56" t="str">
        <f t="shared" si="5"/>
        <v>SEventual</v>
      </c>
      <c r="H47" s="6" t="str">
        <f>IF(ISERROR(VLOOKUP(C47,'Ress. Eventuais'!$G:$G,1,0)),"Excluir!","")</f>
        <v/>
      </c>
    </row>
    <row r="48" spans="1:8" x14ac:dyDescent="0.2">
      <c r="A48" s="6" t="str">
        <f>VLOOKUP(C48,'Ress. Eventuais'!$G:$G,1,0)</f>
        <v>52850</v>
      </c>
      <c r="B48" s="7" t="s">
        <v>2147</v>
      </c>
      <c r="C48" s="52" t="s">
        <v>2148</v>
      </c>
      <c r="D48" s="73" t="s">
        <v>3056</v>
      </c>
      <c r="E48" s="73" t="s">
        <v>3061</v>
      </c>
      <c r="F48" s="56" t="str">
        <f t="shared" si="4"/>
        <v/>
      </c>
      <c r="G48" s="73" t="str">
        <f t="shared" si="5"/>
        <v>NEventual</v>
      </c>
      <c r="H48" s="6" t="str">
        <f>IF(ISERROR(VLOOKUP(C48,'Ress. Eventuais'!$G:$G,1,0)),"Excluir!","")</f>
        <v/>
      </c>
    </row>
    <row r="49" spans="1:9" x14ac:dyDescent="0.2">
      <c r="A49" s="6" t="str">
        <f>VLOOKUP(C49,'Ress. Eventuais'!$G:$G,1,0)</f>
        <v>59536</v>
      </c>
      <c r="B49" s="7" t="s">
        <v>2152</v>
      </c>
      <c r="C49" s="45" t="s">
        <v>2153</v>
      </c>
      <c r="D49" s="56" t="s">
        <v>3056</v>
      </c>
      <c r="E49" s="56" t="s">
        <v>3061</v>
      </c>
      <c r="F49" s="56" t="str">
        <f t="shared" si="4"/>
        <v/>
      </c>
      <c r="G49" s="56" t="str">
        <f t="shared" si="5"/>
        <v>NEventual</v>
      </c>
      <c r="H49" s="6" t="str">
        <f>IF(ISERROR(VLOOKUP(C49,'Ress. Eventuais'!$G:$G,1,0)),"Excluir!","")</f>
        <v/>
      </c>
    </row>
    <row r="50" spans="1:9" x14ac:dyDescent="0.2">
      <c r="A50" s="6" t="str">
        <f>VLOOKUP(C50,'Ress. Eventuais'!$G:$G,1,0)</f>
        <v>55760</v>
      </c>
      <c r="B50" s="7" t="s">
        <v>2156</v>
      </c>
      <c r="C50" s="45" t="s">
        <v>2157</v>
      </c>
      <c r="D50" s="56" t="s">
        <v>3056</v>
      </c>
      <c r="E50" s="56" t="s">
        <v>3061</v>
      </c>
      <c r="F50" s="56" t="str">
        <f t="shared" si="4"/>
        <v/>
      </c>
      <c r="G50" s="56" t="str">
        <f t="shared" si="5"/>
        <v>NEventual</v>
      </c>
      <c r="H50" s="6" t="str">
        <f>IF(ISERROR(VLOOKUP(C50,'Ress. Eventuais'!$G:$G,1,0)),"Excluir!","")</f>
        <v/>
      </c>
    </row>
    <row r="51" spans="1:9" x14ac:dyDescent="0.2">
      <c r="A51" s="6" t="str">
        <f>VLOOKUP(C51,'Ress. Eventuais'!$G:$G,1,0)</f>
        <v>51551</v>
      </c>
      <c r="B51" s="7" t="s">
        <v>2161</v>
      </c>
      <c r="C51" s="52" t="s">
        <v>2162</v>
      </c>
      <c r="D51" s="73" t="s">
        <v>3056</v>
      </c>
      <c r="E51" s="73" t="s">
        <v>3061</v>
      </c>
      <c r="F51" s="56" t="str">
        <f t="shared" si="4"/>
        <v/>
      </c>
      <c r="G51" s="73" t="str">
        <f t="shared" si="5"/>
        <v>NEventual</v>
      </c>
      <c r="H51" s="6" t="str">
        <f>IF(ISERROR(VLOOKUP(C51,'Ress. Eventuais'!$G:$G,1,0)),"Excluir!","")</f>
        <v/>
      </c>
    </row>
    <row r="52" spans="1:9" x14ac:dyDescent="0.2">
      <c r="A52" s="6" t="str">
        <f>VLOOKUP(C52,'Ress. Eventuais'!$G:$G,1,0)</f>
        <v>56502</v>
      </c>
      <c r="B52" s="7" t="s">
        <v>2165</v>
      </c>
      <c r="C52" s="45" t="s">
        <v>2166</v>
      </c>
      <c r="D52" s="56" t="s">
        <v>3056</v>
      </c>
      <c r="E52" s="56" t="s">
        <v>3061</v>
      </c>
      <c r="F52" s="56" t="str">
        <f t="shared" si="4"/>
        <v/>
      </c>
      <c r="G52" s="56" t="str">
        <f t="shared" si="5"/>
        <v>NEventual</v>
      </c>
      <c r="H52" s="6" t="str">
        <f>IF(ISERROR(VLOOKUP(C52,'Ress. Eventuais'!$G:$G,1,0)),"Excluir!","")</f>
        <v/>
      </c>
    </row>
    <row r="53" spans="1:9" x14ac:dyDescent="0.2">
      <c r="A53" s="6" t="str">
        <f>VLOOKUP(C53,'Ress. Eventuais'!$G:$G,1,0)</f>
        <v>51616</v>
      </c>
      <c r="B53" s="7" t="s">
        <v>2168</v>
      </c>
      <c r="C53" s="45" t="s">
        <v>2169</v>
      </c>
      <c r="D53" s="56" t="s">
        <v>3056</v>
      </c>
      <c r="E53" s="56" t="s">
        <v>3061</v>
      </c>
      <c r="F53" s="56" t="str">
        <f t="shared" si="4"/>
        <v/>
      </c>
      <c r="G53" s="56" t="str">
        <f t="shared" si="5"/>
        <v>NEventual</v>
      </c>
      <c r="H53" s="6" t="str">
        <f>IF(ISERROR(VLOOKUP(C53,'Ress. Eventuais'!$G:$G,1,0)),"Excluir!","")</f>
        <v/>
      </c>
    </row>
    <row r="54" spans="1:9" x14ac:dyDescent="0.2">
      <c r="A54" s="6" t="str">
        <f>VLOOKUP(C54,'Ress. Eventuais'!$G:$G,1,0)</f>
        <v>53414</v>
      </c>
      <c r="B54" s="7" t="s">
        <v>2171</v>
      </c>
      <c r="C54" s="45" t="s">
        <v>2172</v>
      </c>
      <c r="D54" s="56" t="s">
        <v>3056</v>
      </c>
      <c r="E54" s="56" t="s">
        <v>3061</v>
      </c>
      <c r="F54" s="56" t="str">
        <f t="shared" si="4"/>
        <v/>
      </c>
      <c r="G54" s="56" t="str">
        <f t="shared" si="5"/>
        <v>NEventual</v>
      </c>
      <c r="H54" s="6" t="str">
        <f>IF(ISERROR(VLOOKUP(C54,'Ress. Eventuais'!$G:$G,1,0)),"Excluir!","")</f>
        <v/>
      </c>
    </row>
    <row r="55" spans="1:9" x14ac:dyDescent="0.2">
      <c r="A55" s="6" t="str">
        <f>VLOOKUP(C55,'Ress. Eventuais'!$G:$G,1,0)</f>
        <v>57703</v>
      </c>
      <c r="B55" s="7" t="s">
        <v>2176</v>
      </c>
      <c r="C55" s="45" t="s">
        <v>2177</v>
      </c>
      <c r="D55" s="56" t="s">
        <v>3055</v>
      </c>
      <c r="E55" s="56" t="s">
        <v>3061</v>
      </c>
      <c r="F55" s="56" t="str">
        <f t="shared" si="4"/>
        <v/>
      </c>
      <c r="G55" s="56" t="str">
        <f t="shared" si="5"/>
        <v>SEventual</v>
      </c>
      <c r="H55" s="6" t="str">
        <f>IF(ISERROR(VLOOKUP(C55,'Ress. Eventuais'!$G:$G,1,0)),"Excluir!","")</f>
        <v/>
      </c>
    </row>
    <row r="56" spans="1:9" x14ac:dyDescent="0.2">
      <c r="A56" s="6" t="str">
        <f>VLOOKUP(C56,'Ress. Eventuais'!$G:$G,1,0)</f>
        <v>50768</v>
      </c>
      <c r="B56" s="7" t="s">
        <v>2179</v>
      </c>
      <c r="C56" s="52" t="s">
        <v>2180</v>
      </c>
      <c r="D56" s="73" t="s">
        <v>3055</v>
      </c>
      <c r="E56" s="56" t="s">
        <v>3061</v>
      </c>
      <c r="F56" s="56" t="str">
        <f t="shared" si="4"/>
        <v/>
      </c>
      <c r="G56" s="56" t="str">
        <f t="shared" si="5"/>
        <v>SEventual</v>
      </c>
      <c r="H56" s="6" t="str">
        <f>IF(ISERROR(VLOOKUP(C56,'Ress. Eventuais'!$G:$G,1,0)),"Excluir!","")</f>
        <v/>
      </c>
    </row>
    <row r="57" spans="1:9" x14ac:dyDescent="0.2">
      <c r="A57" s="6" t="str">
        <f>VLOOKUP(C57,'Ress. Eventuais'!$G:$G,1,0)</f>
        <v>51438</v>
      </c>
      <c r="B57" s="7" t="s">
        <v>2182</v>
      </c>
      <c r="C57" s="45" t="s">
        <v>2183</v>
      </c>
      <c r="D57" s="56" t="s">
        <v>3056</v>
      </c>
      <c r="E57" s="56" t="s">
        <v>3061</v>
      </c>
      <c r="F57" s="56" t="str">
        <f t="shared" si="4"/>
        <v/>
      </c>
      <c r="G57" s="56" t="str">
        <f t="shared" si="5"/>
        <v>NEventual</v>
      </c>
      <c r="H57" s="6" t="str">
        <f>IF(ISERROR(VLOOKUP(C57,'Ress. Eventuais'!$G:$G,1,0)),"Excluir!","")</f>
        <v/>
      </c>
    </row>
    <row r="58" spans="1:9" s="75" customFormat="1" x14ac:dyDescent="0.2">
      <c r="A58" s="6" t="str">
        <f>VLOOKUP(C58,'Ress. Eventuais'!$G:$G,1,0)</f>
        <v>55573</v>
      </c>
      <c r="B58" s="7" t="s">
        <v>2186</v>
      </c>
      <c r="C58" s="45" t="s">
        <v>2187</v>
      </c>
      <c r="D58" s="56" t="s">
        <v>3056</v>
      </c>
      <c r="E58" s="56" t="s">
        <v>3061</v>
      </c>
      <c r="F58" s="56" t="str">
        <f t="shared" si="4"/>
        <v/>
      </c>
      <c r="G58" s="56" t="str">
        <f t="shared" si="5"/>
        <v>NEventual</v>
      </c>
      <c r="H58" s="6" t="str">
        <f>IF(ISERROR(VLOOKUP(C58,'Ress. Eventuais'!$G:$G,1,0)),"Excluir!","")</f>
        <v/>
      </c>
      <c r="I58" s="74"/>
    </row>
    <row r="59" spans="1:9" s="75" customFormat="1" x14ac:dyDescent="0.2">
      <c r="A59" s="6" t="str">
        <f>VLOOKUP(C59,'Ress. Eventuais'!$G:$G,1,0)</f>
        <v>55000</v>
      </c>
      <c r="B59" s="7" t="s">
        <v>2190</v>
      </c>
      <c r="C59" s="45" t="s">
        <v>2191</v>
      </c>
      <c r="D59" s="56" t="s">
        <v>3056</v>
      </c>
      <c r="E59" s="56" t="s">
        <v>3061</v>
      </c>
      <c r="F59" s="56" t="str">
        <f t="shared" si="4"/>
        <v/>
      </c>
      <c r="G59" s="56" t="str">
        <f t="shared" si="5"/>
        <v>NEventual</v>
      </c>
      <c r="H59" s="6" t="str">
        <f>IF(ISERROR(VLOOKUP(C59,'Ress. Eventuais'!$G:$G,1,0)),"Excluir!","")</f>
        <v/>
      </c>
      <c r="I59" s="74"/>
    </row>
    <row r="60" spans="1:9" s="75" customFormat="1" x14ac:dyDescent="0.2">
      <c r="A60" s="6" t="str">
        <f>VLOOKUP(C60,'Ress. Eventuais'!$G:$G,1,0)</f>
        <v>51578</v>
      </c>
      <c r="B60" s="7" t="s">
        <v>2193</v>
      </c>
      <c r="C60" s="45" t="s">
        <v>2194</v>
      </c>
      <c r="D60" s="56" t="s">
        <v>3056</v>
      </c>
      <c r="E60" s="56" t="s">
        <v>3061</v>
      </c>
      <c r="F60" s="56" t="str">
        <f t="shared" si="4"/>
        <v/>
      </c>
      <c r="G60" s="56" t="str">
        <f t="shared" si="5"/>
        <v>NEventual</v>
      </c>
      <c r="H60" s="6" t="str">
        <f>IF(ISERROR(VLOOKUP(C60,'Ress. Eventuais'!$G:$G,1,0)),"Excluir!","")</f>
        <v/>
      </c>
      <c r="I60" s="74"/>
    </row>
    <row r="61" spans="1:9" s="75" customFormat="1" x14ac:dyDescent="0.2">
      <c r="A61" s="6" t="str">
        <f>VLOOKUP(C61,'Ress. Eventuais'!$G:$G,1,0)</f>
        <v>55433</v>
      </c>
      <c r="B61" s="7" t="s">
        <v>2198</v>
      </c>
      <c r="C61" s="45" t="s">
        <v>2199</v>
      </c>
      <c r="D61" s="56" t="s">
        <v>3056</v>
      </c>
      <c r="E61" s="56" t="s">
        <v>3061</v>
      </c>
      <c r="F61" s="56" t="str">
        <f t="shared" ref="F61:F92" si="6">IF(ISERROR(FIND("INATIVA",B61,1)),"","Inativa")</f>
        <v/>
      </c>
      <c r="G61" s="56" t="str">
        <f t="shared" ref="G61:G92" si="7">D61&amp;E61&amp;F61</f>
        <v>NEventual</v>
      </c>
      <c r="H61" s="6" t="str">
        <f>IF(ISERROR(VLOOKUP(C61,'Ress. Eventuais'!$G:$G,1,0)),"Excluir!","")</f>
        <v/>
      </c>
      <c r="I61" s="74"/>
    </row>
    <row r="62" spans="1:9" x14ac:dyDescent="0.2">
      <c r="A62" s="6" t="str">
        <f>VLOOKUP(C62,'Ress. Eventuais'!$G:$G,1,0)</f>
        <v>52809</v>
      </c>
      <c r="B62" s="7" t="s">
        <v>2201</v>
      </c>
      <c r="C62" s="45" t="s">
        <v>2202</v>
      </c>
      <c r="D62" s="56" t="s">
        <v>3056</v>
      </c>
      <c r="E62" s="56" t="s">
        <v>3061</v>
      </c>
      <c r="F62" s="56" t="str">
        <f t="shared" si="6"/>
        <v/>
      </c>
      <c r="G62" s="56" t="str">
        <f t="shared" si="7"/>
        <v>NEventual</v>
      </c>
      <c r="H62" s="6" t="str">
        <f>IF(ISERROR(VLOOKUP(C62,'Ress. Eventuais'!$G:$G,1,0)),"Excluir!","")</f>
        <v/>
      </c>
    </row>
    <row r="63" spans="1:9" x14ac:dyDescent="0.2">
      <c r="A63" s="6" t="str">
        <f>VLOOKUP(C63,'Ress. Eventuais'!$G:$G,1,0)</f>
        <v>52736</v>
      </c>
      <c r="B63" s="7" t="s">
        <v>2204</v>
      </c>
      <c r="C63" s="45" t="s">
        <v>2205</v>
      </c>
      <c r="D63" s="56" t="s">
        <v>3056</v>
      </c>
      <c r="E63" s="56" t="s">
        <v>3061</v>
      </c>
      <c r="F63" s="56" t="str">
        <f t="shared" si="6"/>
        <v/>
      </c>
      <c r="G63" s="56" t="str">
        <f t="shared" si="7"/>
        <v>NEventual</v>
      </c>
      <c r="H63" s="6" t="str">
        <f>IF(ISERROR(VLOOKUP(C63,'Ress. Eventuais'!$G:$G,1,0)),"Excluir!","")</f>
        <v/>
      </c>
    </row>
    <row r="64" spans="1:9" x14ac:dyDescent="0.2">
      <c r="A64" s="6" t="str">
        <f>VLOOKUP(C64,'Ress. Eventuais'!$G:$G,1,0)</f>
        <v>58173</v>
      </c>
      <c r="B64" s="7" t="s">
        <v>2210</v>
      </c>
      <c r="C64" s="52" t="s">
        <v>2211</v>
      </c>
      <c r="D64" s="73" t="s">
        <v>3056</v>
      </c>
      <c r="E64" s="56" t="s">
        <v>3061</v>
      </c>
      <c r="F64" s="56" t="str">
        <f t="shared" si="6"/>
        <v/>
      </c>
      <c r="G64" s="56" t="str">
        <f t="shared" si="7"/>
        <v>NEventual</v>
      </c>
      <c r="H64" s="6" t="str">
        <f>IF(ISERROR(VLOOKUP(C64,'Ress. Eventuais'!$G:$G,1,0)),"Excluir!","")</f>
        <v/>
      </c>
    </row>
    <row r="65" spans="1:8" x14ac:dyDescent="0.2">
      <c r="A65" s="6" t="str">
        <f>VLOOKUP(C65,'Ress. Eventuais'!$G:$G,1,0)</f>
        <v>50679</v>
      </c>
      <c r="B65" s="7" t="s">
        <v>2216</v>
      </c>
      <c r="C65" s="52" t="s">
        <v>2217</v>
      </c>
      <c r="D65" s="73" t="s">
        <v>3055</v>
      </c>
      <c r="E65" s="56" t="s">
        <v>3061</v>
      </c>
      <c r="F65" s="56" t="str">
        <f t="shared" si="6"/>
        <v/>
      </c>
      <c r="G65" s="56" t="str">
        <f t="shared" si="7"/>
        <v>SEventual</v>
      </c>
      <c r="H65" s="6" t="str">
        <f>IF(ISERROR(VLOOKUP(C65,'Ress. Eventuais'!$G:$G,1,0)),"Excluir!","")</f>
        <v/>
      </c>
    </row>
    <row r="66" spans="1:8" x14ac:dyDescent="0.2">
      <c r="A66" s="6" t="str">
        <f>VLOOKUP(C66,'Ress. Eventuais'!$G:$G,1,0)</f>
        <v>52060</v>
      </c>
      <c r="B66" s="7" t="s">
        <v>2218</v>
      </c>
      <c r="C66" s="45" t="s">
        <v>2219</v>
      </c>
      <c r="D66" s="56" t="s">
        <v>3055</v>
      </c>
      <c r="E66" s="56" t="s">
        <v>3061</v>
      </c>
      <c r="F66" s="56" t="str">
        <f t="shared" si="6"/>
        <v/>
      </c>
      <c r="G66" s="56" t="str">
        <f t="shared" si="7"/>
        <v>SEventual</v>
      </c>
      <c r="H66" s="6" t="str">
        <f>IF(ISERROR(VLOOKUP(C66,'Ress. Eventuais'!$G:$G,1,0)),"Excluir!","")</f>
        <v/>
      </c>
    </row>
    <row r="67" spans="1:8" x14ac:dyDescent="0.2">
      <c r="A67" s="6" t="str">
        <f>VLOOKUP(C67,'Ress. Eventuais'!$G:$G,1,0)</f>
        <v>50211</v>
      </c>
      <c r="B67" s="7" t="s">
        <v>2222</v>
      </c>
      <c r="C67" s="45" t="s">
        <v>2223</v>
      </c>
      <c r="D67" s="56" t="s">
        <v>3056</v>
      </c>
      <c r="E67" s="56" t="s">
        <v>3061</v>
      </c>
      <c r="F67" s="56" t="str">
        <f t="shared" si="6"/>
        <v/>
      </c>
      <c r="G67" s="56" t="str">
        <f t="shared" si="7"/>
        <v>NEventual</v>
      </c>
      <c r="H67" s="6" t="str">
        <f>IF(ISERROR(VLOOKUP(C67,'Ress. Eventuais'!$G:$G,1,0)),"Excluir!","")</f>
        <v/>
      </c>
    </row>
    <row r="68" spans="1:8" x14ac:dyDescent="0.2">
      <c r="A68" s="6" t="str">
        <f>VLOOKUP(C68,'Ress. Eventuais'!$G:$G,1,0)</f>
        <v>59552</v>
      </c>
      <c r="B68" s="7" t="s">
        <v>2227</v>
      </c>
      <c r="C68" s="45" t="s">
        <v>2228</v>
      </c>
      <c r="D68" s="56" t="s">
        <v>3056</v>
      </c>
      <c r="E68" s="56" t="s">
        <v>3061</v>
      </c>
      <c r="F68" s="56" t="str">
        <f t="shared" si="6"/>
        <v/>
      </c>
      <c r="G68" s="56" t="str">
        <f t="shared" si="7"/>
        <v>NEventual</v>
      </c>
      <c r="H68" s="6" t="str">
        <f>IF(ISERROR(VLOOKUP(C68,'Ress. Eventuais'!$G:$G,1,0)),"Excluir!","")</f>
        <v/>
      </c>
    </row>
    <row r="69" spans="1:8" x14ac:dyDescent="0.2">
      <c r="A69" s="6" t="str">
        <f>VLOOKUP(C69,'Ress. Eventuais'!$G:$G,1,0)</f>
        <v>55093</v>
      </c>
      <c r="B69" s="7" t="s">
        <v>2230</v>
      </c>
      <c r="C69" s="45" t="s">
        <v>2231</v>
      </c>
      <c r="D69" s="56" t="s">
        <v>3056</v>
      </c>
      <c r="E69" s="56" t="s">
        <v>3061</v>
      </c>
      <c r="F69" s="56" t="str">
        <f t="shared" si="6"/>
        <v/>
      </c>
      <c r="G69" s="56" t="str">
        <f t="shared" si="7"/>
        <v>NEventual</v>
      </c>
      <c r="H69" s="6" t="str">
        <f>IF(ISERROR(VLOOKUP(C69,'Ress. Eventuais'!$G:$G,1,0)),"Excluir!","")</f>
        <v/>
      </c>
    </row>
    <row r="70" spans="1:8" x14ac:dyDescent="0.2">
      <c r="A70" s="6" t="str">
        <f>VLOOKUP(C70,'Ress. Eventuais'!$G:$G,1,0)</f>
        <v>57398</v>
      </c>
      <c r="B70" s="7" t="s">
        <v>2235</v>
      </c>
      <c r="C70" s="45" t="s">
        <v>2236</v>
      </c>
      <c r="D70" s="56" t="s">
        <v>3055</v>
      </c>
      <c r="E70" s="56" t="s">
        <v>3061</v>
      </c>
      <c r="F70" s="56" t="str">
        <f t="shared" si="6"/>
        <v/>
      </c>
      <c r="G70" s="56" t="str">
        <f t="shared" si="7"/>
        <v>SEventual</v>
      </c>
      <c r="H70" s="6" t="str">
        <f>IF(ISERROR(VLOOKUP(C70,'Ress. Eventuais'!$G:$G,1,0)),"Excluir!","")</f>
        <v/>
      </c>
    </row>
    <row r="71" spans="1:8" x14ac:dyDescent="0.2">
      <c r="A71" s="6" t="str">
        <f>VLOOKUP(C71,'Ress. Eventuais'!$G:$G,1,0)</f>
        <v>52957</v>
      </c>
      <c r="B71" s="7" t="s">
        <v>2240</v>
      </c>
      <c r="C71" s="45" t="s">
        <v>2241</v>
      </c>
      <c r="D71" s="56" t="s">
        <v>3056</v>
      </c>
      <c r="E71" s="56" t="s">
        <v>3061</v>
      </c>
      <c r="F71" s="56" t="str">
        <f t="shared" si="6"/>
        <v/>
      </c>
      <c r="G71" s="56" t="str">
        <f t="shared" si="7"/>
        <v>NEventual</v>
      </c>
      <c r="H71" s="6" t="str">
        <f>IF(ISERROR(VLOOKUP(C71,'Ress. Eventuais'!$G:$G,1,0)),"Excluir!","")</f>
        <v/>
      </c>
    </row>
    <row r="72" spans="1:8" x14ac:dyDescent="0.2">
      <c r="A72" s="6" t="str">
        <f>VLOOKUP(C72,'Ress. Eventuais'!$G:$G,1,0)</f>
        <v>54810</v>
      </c>
      <c r="B72" s="7" t="s">
        <v>2243</v>
      </c>
      <c r="C72" s="45" t="s">
        <v>2245</v>
      </c>
      <c r="D72" s="56" t="s">
        <v>3055</v>
      </c>
      <c r="E72" s="56" t="s">
        <v>3061</v>
      </c>
      <c r="F72" s="56" t="str">
        <f t="shared" si="6"/>
        <v/>
      </c>
      <c r="G72" s="56" t="str">
        <f t="shared" si="7"/>
        <v>SEventual</v>
      </c>
      <c r="H72" s="6" t="str">
        <f>IF(ISERROR(VLOOKUP(C72,'Ress. Eventuais'!$G:$G,1,0)),"Excluir!","")</f>
        <v/>
      </c>
    </row>
    <row r="73" spans="1:8" x14ac:dyDescent="0.2">
      <c r="A73" s="6" t="str">
        <f>VLOOKUP(C73,'Ress. Eventuais'!$G:$G,1,0)</f>
        <v>51977</v>
      </c>
      <c r="B73" s="7" t="s">
        <v>2248</v>
      </c>
      <c r="C73" s="45" t="s">
        <v>2249</v>
      </c>
      <c r="D73" s="56" t="s">
        <v>3055</v>
      </c>
      <c r="E73" s="56" t="s">
        <v>3061</v>
      </c>
      <c r="F73" s="56" t="str">
        <f t="shared" si="6"/>
        <v/>
      </c>
      <c r="G73" s="56" t="str">
        <f t="shared" si="7"/>
        <v>SEventual</v>
      </c>
      <c r="H73" s="6" t="str">
        <f>IF(ISERROR(VLOOKUP(C73,'Ress. Eventuais'!$G:$G,1,0)),"Excluir!","")</f>
        <v/>
      </c>
    </row>
    <row r="74" spans="1:8" x14ac:dyDescent="0.2">
      <c r="A74" s="6" t="str">
        <f>VLOOKUP(C74,'Ress. Eventuais'!$G:$G,1,0)</f>
        <v>52795</v>
      </c>
      <c r="B74" s="7" t="s">
        <v>2251</v>
      </c>
      <c r="C74" s="45" t="s">
        <v>2252</v>
      </c>
      <c r="D74" s="56" t="s">
        <v>3055</v>
      </c>
      <c r="E74" s="56" t="s">
        <v>3061</v>
      </c>
      <c r="F74" s="56" t="str">
        <f t="shared" si="6"/>
        <v/>
      </c>
      <c r="G74" s="56" t="str">
        <f t="shared" si="7"/>
        <v>SEventual</v>
      </c>
      <c r="H74" s="6" t="str">
        <f>IF(ISERROR(VLOOKUP(C74,'Ress. Eventuais'!$G:$G,1,0)),"Excluir!","")</f>
        <v/>
      </c>
    </row>
    <row r="75" spans="1:8" x14ac:dyDescent="0.2">
      <c r="A75" s="6" t="str">
        <f>VLOOKUP(C75,'Ress. Eventuais'!$G:$G,1,0)</f>
        <v>51411</v>
      </c>
      <c r="B75" s="7" t="s">
        <v>2253</v>
      </c>
      <c r="C75" s="45" t="s">
        <v>2254</v>
      </c>
      <c r="D75" s="56" t="s">
        <v>3055</v>
      </c>
      <c r="E75" s="56" t="s">
        <v>3061</v>
      </c>
      <c r="F75" s="56" t="str">
        <f t="shared" si="6"/>
        <v/>
      </c>
      <c r="G75" s="56" t="str">
        <f t="shared" si="7"/>
        <v>SEventual</v>
      </c>
      <c r="H75" s="6" t="str">
        <f>IF(ISERROR(VLOOKUP(C75,'Ress. Eventuais'!$G:$G,1,0)),"Excluir!","")</f>
        <v/>
      </c>
    </row>
    <row r="76" spans="1:8" x14ac:dyDescent="0.2">
      <c r="A76" s="6" t="str">
        <f>VLOOKUP(C76,'Ress. Eventuais'!$G:$G,1,0)</f>
        <v>55891</v>
      </c>
      <c r="B76" s="7" t="s">
        <v>2255</v>
      </c>
      <c r="C76" s="45" t="s">
        <v>2256</v>
      </c>
      <c r="D76" s="56" t="s">
        <v>3056</v>
      </c>
      <c r="E76" s="56" t="s">
        <v>3061</v>
      </c>
      <c r="F76" s="56" t="str">
        <f t="shared" si="6"/>
        <v/>
      </c>
      <c r="G76" s="56" t="str">
        <f t="shared" si="7"/>
        <v>NEventual</v>
      </c>
      <c r="H76" s="6" t="str">
        <f>IF(ISERROR(VLOOKUP(C76,'Ress. Eventuais'!$G:$G,1,0)),"Excluir!","")</f>
        <v/>
      </c>
    </row>
    <row r="77" spans="1:8" x14ac:dyDescent="0.2">
      <c r="A77" s="6" t="str">
        <f>VLOOKUP(C77,'Ress. Eventuais'!$G:$G,1,0)</f>
        <v>53295</v>
      </c>
      <c r="B77" s="7" t="s">
        <v>2259</v>
      </c>
      <c r="C77" s="45" t="s">
        <v>2260</v>
      </c>
      <c r="D77" s="56" t="s">
        <v>3055</v>
      </c>
      <c r="E77" s="56" t="s">
        <v>3061</v>
      </c>
      <c r="F77" s="56" t="str">
        <f t="shared" si="6"/>
        <v/>
      </c>
      <c r="G77" s="56" t="str">
        <f t="shared" si="7"/>
        <v>SEventual</v>
      </c>
      <c r="H77" s="6" t="str">
        <f>IF(ISERROR(VLOOKUP(C77,'Ress. Eventuais'!$G:$G,1,0)),"Excluir!","")</f>
        <v/>
      </c>
    </row>
    <row r="78" spans="1:8" x14ac:dyDescent="0.2">
      <c r="A78" s="6" t="str">
        <f>VLOOKUP(C78,'Ress. Eventuais'!$G:$G,1,0)</f>
        <v>52680</v>
      </c>
      <c r="B78" s="7" t="s">
        <v>2261</v>
      </c>
      <c r="C78" s="45" t="s">
        <v>2262</v>
      </c>
      <c r="D78" s="56" t="s">
        <v>3056</v>
      </c>
      <c r="E78" s="56" t="s">
        <v>3061</v>
      </c>
      <c r="F78" s="56" t="str">
        <f t="shared" si="6"/>
        <v/>
      </c>
      <c r="G78" s="56" t="str">
        <f t="shared" si="7"/>
        <v>NEventual</v>
      </c>
      <c r="H78" s="6" t="str">
        <f>IF(ISERROR(VLOOKUP(C78,'Ress. Eventuais'!$G:$G,1,0)),"Excluir!","")</f>
        <v/>
      </c>
    </row>
    <row r="79" spans="1:8" x14ac:dyDescent="0.2">
      <c r="A79" s="6" t="str">
        <f>VLOOKUP(C79,'Ress. Eventuais'!$G:$G,1,0)</f>
        <v>51748</v>
      </c>
      <c r="B79" s="7" t="s">
        <v>2266</v>
      </c>
      <c r="C79" s="45" t="s">
        <v>2267</v>
      </c>
      <c r="D79" s="56" t="s">
        <v>3055</v>
      </c>
      <c r="E79" s="56" t="s">
        <v>3061</v>
      </c>
      <c r="F79" s="56" t="str">
        <f t="shared" si="6"/>
        <v/>
      </c>
      <c r="G79" s="56" t="str">
        <f t="shared" si="7"/>
        <v>SEventual</v>
      </c>
      <c r="H79" s="6" t="str">
        <f>IF(ISERROR(VLOOKUP(C79,'Ress. Eventuais'!$G:$G,1,0)),"Excluir!","")</f>
        <v/>
      </c>
    </row>
    <row r="80" spans="1:8" x14ac:dyDescent="0.2">
      <c r="A80" s="6" t="str">
        <f>VLOOKUP(C80,'Ress. Eventuais'!$G:$G,1,0)</f>
        <v>56448</v>
      </c>
      <c r="B80" s="7" t="s">
        <v>2268</v>
      </c>
      <c r="C80" s="45" t="s">
        <v>2269</v>
      </c>
      <c r="D80" s="56" t="s">
        <v>3055</v>
      </c>
      <c r="E80" s="56" t="s">
        <v>3061</v>
      </c>
      <c r="F80" s="56" t="str">
        <f t="shared" si="6"/>
        <v/>
      </c>
      <c r="G80" s="56" t="str">
        <f t="shared" si="7"/>
        <v>SEventual</v>
      </c>
      <c r="H80" s="6" t="str">
        <f>IF(ISERROR(VLOOKUP(C80,'Ress. Eventuais'!$G:$G,1,0)),"Excluir!","")</f>
        <v/>
      </c>
    </row>
    <row r="81" spans="1:9" x14ac:dyDescent="0.2">
      <c r="A81" s="6" t="str">
        <f>VLOOKUP(C81,'Ress. Eventuais'!$G:$G,1,0)</f>
        <v>50202</v>
      </c>
      <c r="B81" s="7" t="s">
        <v>2270</v>
      </c>
      <c r="C81" s="45" t="s">
        <v>2271</v>
      </c>
      <c r="D81" s="56" t="s">
        <v>3055</v>
      </c>
      <c r="E81" s="56" t="s">
        <v>3061</v>
      </c>
      <c r="F81" s="56" t="str">
        <f t="shared" si="6"/>
        <v/>
      </c>
      <c r="G81" s="56" t="str">
        <f t="shared" si="7"/>
        <v>SEventual</v>
      </c>
      <c r="H81" s="6" t="str">
        <f>IF(ISERROR(VLOOKUP(C81,'Ress. Eventuais'!$G:$G,1,0)),"Excluir!","")</f>
        <v/>
      </c>
    </row>
    <row r="82" spans="1:9" x14ac:dyDescent="0.2">
      <c r="A82" s="6" t="str">
        <f>VLOOKUP(C82,'Ress. Eventuais'!$G:$G,1,0)</f>
        <v>57461</v>
      </c>
      <c r="B82" s="7" t="s">
        <v>2274</v>
      </c>
      <c r="C82" s="45" t="s">
        <v>2275</v>
      </c>
      <c r="D82" s="73" t="s">
        <v>3056</v>
      </c>
      <c r="E82" s="73" t="s">
        <v>3061</v>
      </c>
      <c r="F82" s="56" t="str">
        <f t="shared" si="6"/>
        <v/>
      </c>
      <c r="G82" s="73" t="str">
        <f t="shared" si="7"/>
        <v>NEventual</v>
      </c>
      <c r="H82" s="6" t="str">
        <f>IF(ISERROR(VLOOKUP(C82,'Ress. Eventuais'!$G:$G,1,0)),"Excluir!","")</f>
        <v/>
      </c>
    </row>
    <row r="83" spans="1:9" x14ac:dyDescent="0.2">
      <c r="A83" s="6" t="str">
        <f>VLOOKUP(C83,'Ress. Eventuais'!$G:$G,1,0)</f>
        <v>54984</v>
      </c>
      <c r="B83" s="7" t="s">
        <v>2277</v>
      </c>
      <c r="C83" s="45" t="s">
        <v>2278</v>
      </c>
      <c r="D83" s="56" t="s">
        <v>3056</v>
      </c>
      <c r="E83" s="56" t="s">
        <v>3061</v>
      </c>
      <c r="F83" s="56" t="str">
        <f t="shared" si="6"/>
        <v/>
      </c>
      <c r="G83" s="56" t="str">
        <f t="shared" si="7"/>
        <v>NEventual</v>
      </c>
      <c r="H83" s="6" t="str">
        <f>IF(ISERROR(VLOOKUP(C83,'Ress. Eventuais'!$G:$G,1,0)),"Excluir!","")</f>
        <v/>
      </c>
    </row>
    <row r="84" spans="1:9" x14ac:dyDescent="0.2">
      <c r="A84" s="6" t="str">
        <f>VLOOKUP(C84,'Ress. Eventuais'!$G:$G,1,0)</f>
        <v>59609</v>
      </c>
      <c r="B84" s="7" t="s">
        <v>2282</v>
      </c>
      <c r="C84" s="45" t="s">
        <v>2283</v>
      </c>
      <c r="D84" s="56" t="s">
        <v>3055</v>
      </c>
      <c r="E84" s="56" t="s">
        <v>3061</v>
      </c>
      <c r="F84" s="56" t="str">
        <f t="shared" si="6"/>
        <v/>
      </c>
      <c r="G84" s="56" t="str">
        <f t="shared" si="7"/>
        <v>SEventual</v>
      </c>
      <c r="H84" s="6" t="str">
        <f>IF(ISERROR(VLOOKUP(C84,'Ress. Eventuais'!$G:$G,1,0)),"Excluir!","")</f>
        <v/>
      </c>
    </row>
    <row r="85" spans="1:9" x14ac:dyDescent="0.2">
      <c r="A85" s="6" t="str">
        <f>VLOOKUP(C85,'Ress. Eventuais'!$G:$G,1,0)</f>
        <v>51063</v>
      </c>
      <c r="B85" s="7" t="s">
        <v>2286</v>
      </c>
      <c r="C85" s="45" t="s">
        <v>2287</v>
      </c>
      <c r="D85" s="56" t="s">
        <v>3056</v>
      </c>
      <c r="E85" s="56" t="s">
        <v>3061</v>
      </c>
      <c r="F85" s="56" t="str">
        <f t="shared" si="6"/>
        <v/>
      </c>
      <c r="G85" s="56" t="str">
        <f t="shared" si="7"/>
        <v>NEventual</v>
      </c>
      <c r="H85" s="6" t="str">
        <f>IF(ISERROR(VLOOKUP(C85,'Ress. Eventuais'!$G:$G,1,0)),"Excluir!","")</f>
        <v/>
      </c>
    </row>
    <row r="86" spans="1:9" x14ac:dyDescent="0.2">
      <c r="A86" s="6" t="str">
        <f>VLOOKUP(C86,'Ress. Eventuais'!$G:$G,1,0)</f>
        <v>57053</v>
      </c>
      <c r="B86" s="7" t="s">
        <v>2288</v>
      </c>
      <c r="C86" s="45" t="s">
        <v>2289</v>
      </c>
      <c r="D86" s="56" t="s">
        <v>3056</v>
      </c>
      <c r="E86" s="56" t="s">
        <v>3061</v>
      </c>
      <c r="F86" s="56" t="str">
        <f t="shared" si="6"/>
        <v/>
      </c>
      <c r="G86" s="56" t="str">
        <f t="shared" si="7"/>
        <v>NEventual</v>
      </c>
      <c r="H86" s="6" t="str">
        <f>IF(ISERROR(VLOOKUP(C86,'Ress. Eventuais'!$G:$G,1,0)),"Excluir!","")</f>
        <v/>
      </c>
    </row>
    <row r="87" spans="1:9" x14ac:dyDescent="0.2">
      <c r="A87" s="6" t="str">
        <f>VLOOKUP(C87,'Ress. Eventuais'!$G:$G,1,0)</f>
        <v>50075</v>
      </c>
      <c r="B87" s="7" t="s">
        <v>2290</v>
      </c>
      <c r="C87" s="45" t="s">
        <v>2291</v>
      </c>
      <c r="D87" s="56" t="s">
        <v>3055</v>
      </c>
      <c r="E87" s="56" t="s">
        <v>3061</v>
      </c>
      <c r="F87" s="56" t="str">
        <f t="shared" si="6"/>
        <v/>
      </c>
      <c r="G87" s="56" t="str">
        <f t="shared" si="7"/>
        <v>SEventual</v>
      </c>
      <c r="H87" s="6" t="str">
        <f>IF(ISERROR(VLOOKUP(C87,'Ress. Eventuais'!$G:$G,1,0)),"Excluir!","")</f>
        <v/>
      </c>
      <c r="I87" s="6"/>
    </row>
    <row r="88" spans="1:9" x14ac:dyDescent="0.2">
      <c r="A88" s="6" t="str">
        <f>VLOOKUP(C88,'Ress. Eventuais'!$G:$G,1,0)</f>
        <v>58645</v>
      </c>
      <c r="B88" s="7" t="s">
        <v>2294</v>
      </c>
      <c r="C88" s="45" t="s">
        <v>2295</v>
      </c>
      <c r="D88" s="56" t="s">
        <v>3055</v>
      </c>
      <c r="E88" s="56" t="s">
        <v>3061</v>
      </c>
      <c r="F88" s="56" t="str">
        <f t="shared" si="6"/>
        <v/>
      </c>
      <c r="G88" s="56" t="str">
        <f t="shared" si="7"/>
        <v>SEventual</v>
      </c>
      <c r="H88" s="6" t="str">
        <f>IF(ISERROR(VLOOKUP(C88,'Ress. Eventuais'!$G:$G,1,0)),"Excluir!","")</f>
        <v/>
      </c>
      <c r="I88" s="6"/>
    </row>
    <row r="89" spans="1:9" x14ac:dyDescent="0.2">
      <c r="A89" s="6" t="str">
        <f>VLOOKUP(C89,'Ress. Eventuais'!$G:$G,1,0)</f>
        <v>55921</v>
      </c>
      <c r="B89" s="7" t="s">
        <v>2298</v>
      </c>
      <c r="C89" s="45" t="s">
        <v>2299</v>
      </c>
      <c r="D89" s="56" t="s">
        <v>3056</v>
      </c>
      <c r="E89" s="56" t="s">
        <v>3061</v>
      </c>
      <c r="F89" s="56" t="str">
        <f t="shared" si="6"/>
        <v/>
      </c>
      <c r="G89" s="56" t="str">
        <f t="shared" si="7"/>
        <v>NEventual</v>
      </c>
      <c r="H89" s="6" t="str">
        <f>IF(ISERROR(VLOOKUP(C89,'Ress. Eventuais'!$G:$G,1,0)),"Excluir!","")</f>
        <v/>
      </c>
      <c r="I89" s="6"/>
    </row>
    <row r="90" spans="1:9" x14ac:dyDescent="0.2">
      <c r="A90" s="6" t="str">
        <f>VLOOKUP(C90,'Ress. Eventuais'!$G:$G,1,0)</f>
        <v>57959</v>
      </c>
      <c r="B90" s="7" t="s">
        <v>3606</v>
      </c>
      <c r="C90" s="45" t="s">
        <v>3657</v>
      </c>
      <c r="D90" s="73" t="s">
        <v>3055</v>
      </c>
      <c r="E90" s="73" t="s">
        <v>3061</v>
      </c>
      <c r="F90" s="56" t="str">
        <f t="shared" si="6"/>
        <v/>
      </c>
      <c r="G90" s="73" t="str">
        <f t="shared" si="7"/>
        <v>SEventual</v>
      </c>
      <c r="H90" s="6" t="str">
        <f>IF(ISERROR(VLOOKUP(C90,'Ress. Eventuais'!$G:$G,1,0)),"Excluir!","")</f>
        <v/>
      </c>
      <c r="I90" s="6"/>
    </row>
    <row r="91" spans="1:9" x14ac:dyDescent="0.2">
      <c r="A91" s="6" t="str">
        <f>VLOOKUP(C91,'Ress. Eventuais'!$G:$G,1,0)</f>
        <v>57495</v>
      </c>
      <c r="B91" s="7" t="s">
        <v>2303</v>
      </c>
      <c r="C91" s="45" t="s">
        <v>2304</v>
      </c>
      <c r="D91" s="56" t="s">
        <v>3055</v>
      </c>
      <c r="E91" s="56" t="s">
        <v>3061</v>
      </c>
      <c r="F91" s="56" t="str">
        <f t="shared" si="6"/>
        <v/>
      </c>
      <c r="G91" s="56" t="str">
        <f t="shared" si="7"/>
        <v>SEventual</v>
      </c>
      <c r="H91" s="6" t="str">
        <f>IF(ISERROR(VLOOKUP(C91,'Ress. Eventuais'!$G:$G,1,0)),"Excluir!","")</f>
        <v/>
      </c>
      <c r="I91" s="6"/>
    </row>
    <row r="92" spans="1:9" x14ac:dyDescent="0.2">
      <c r="A92" s="6" t="str">
        <f>VLOOKUP(C92,'Ress. Eventuais'!$G:$G,1,0)</f>
        <v>54933</v>
      </c>
      <c r="B92" s="7" t="s">
        <v>2306</v>
      </c>
      <c r="C92" s="52" t="s">
        <v>2307</v>
      </c>
      <c r="D92" s="73" t="s">
        <v>3056</v>
      </c>
      <c r="E92" s="73" t="s">
        <v>3061</v>
      </c>
      <c r="F92" s="56" t="str">
        <f t="shared" si="6"/>
        <v/>
      </c>
      <c r="G92" s="73" t="str">
        <f t="shared" si="7"/>
        <v>NEventual</v>
      </c>
      <c r="H92" s="6" t="str">
        <f>IF(ISERROR(VLOOKUP(C92,'Ress. Eventuais'!$G:$G,1,0)),"Excluir!","")</f>
        <v/>
      </c>
      <c r="I92" s="6"/>
    </row>
    <row r="93" spans="1:9" x14ac:dyDescent="0.2">
      <c r="A93" s="6" t="str">
        <f>VLOOKUP(C93,'Ress. Eventuais'!$G:$G,1,0)</f>
        <v>58271</v>
      </c>
      <c r="B93" s="7" t="s">
        <v>2310</v>
      </c>
      <c r="C93" s="45" t="s">
        <v>2311</v>
      </c>
      <c r="D93" s="56" t="s">
        <v>3056</v>
      </c>
      <c r="E93" s="56" t="s">
        <v>3061</v>
      </c>
      <c r="F93" s="56" t="str">
        <f t="shared" ref="F93:F98" si="8">IF(ISERROR(FIND("INATIVA",B93,1)),"","Inativa")</f>
        <v/>
      </c>
      <c r="G93" s="56" t="str">
        <f t="shared" ref="G93:G98" si="9">D93&amp;E93&amp;F93</f>
        <v>NEventual</v>
      </c>
      <c r="H93" s="6" t="str">
        <f>IF(ISERROR(VLOOKUP(C93,'Ress. Eventuais'!$G:$G,1,0)),"Excluir!","")</f>
        <v/>
      </c>
      <c r="I93" s="6"/>
    </row>
    <row r="94" spans="1:9" x14ac:dyDescent="0.2">
      <c r="A94" s="6" t="str">
        <f>VLOOKUP(C94,'Ress. Eventuais'!$G:$G,1,0)</f>
        <v>57843</v>
      </c>
      <c r="B94" s="7" t="s">
        <v>2312</v>
      </c>
      <c r="C94" s="45" t="s">
        <v>2313</v>
      </c>
      <c r="D94" s="56" t="s">
        <v>3056</v>
      </c>
      <c r="E94" s="56" t="s">
        <v>3061</v>
      </c>
      <c r="F94" s="56" t="str">
        <f t="shared" si="8"/>
        <v/>
      </c>
      <c r="G94" s="56" t="str">
        <f t="shared" si="9"/>
        <v>NEventual</v>
      </c>
      <c r="H94" s="6" t="str">
        <f>IF(ISERROR(VLOOKUP(C94,'Ress. Eventuais'!$G:$G,1,0)),"Excluir!","")</f>
        <v/>
      </c>
      <c r="I94" s="6"/>
    </row>
    <row r="95" spans="1:9" x14ac:dyDescent="0.2">
      <c r="A95" s="6" t="str">
        <f>VLOOKUP(C95,'Ress. Eventuais'!$G:$G,1,0)</f>
        <v>50598</v>
      </c>
      <c r="B95" s="7" t="s">
        <v>2317</v>
      </c>
      <c r="C95" s="45" t="s">
        <v>2318</v>
      </c>
      <c r="D95" s="56" t="s">
        <v>3056</v>
      </c>
      <c r="E95" s="56" t="s">
        <v>3061</v>
      </c>
      <c r="F95" s="56" t="str">
        <f t="shared" si="8"/>
        <v/>
      </c>
      <c r="G95" s="56" t="str">
        <f t="shared" si="9"/>
        <v>NEventual</v>
      </c>
      <c r="H95" s="6" t="str">
        <f>IF(ISERROR(VLOOKUP(C95,'Ress. Eventuais'!$G:$G,1,0)),"Excluir!","")</f>
        <v/>
      </c>
      <c r="I95" s="6"/>
    </row>
    <row r="96" spans="1:9" x14ac:dyDescent="0.2">
      <c r="A96" s="6" t="str">
        <f>VLOOKUP(C96,'Ress. Eventuais'!$G:$G,1,0)</f>
        <v>56847</v>
      </c>
      <c r="B96" s="7" t="s">
        <v>2321</v>
      </c>
      <c r="C96" s="45" t="s">
        <v>2322</v>
      </c>
      <c r="D96" s="56" t="s">
        <v>3056</v>
      </c>
      <c r="E96" s="56" t="s">
        <v>3061</v>
      </c>
      <c r="F96" s="56" t="str">
        <f t="shared" si="8"/>
        <v/>
      </c>
      <c r="G96" s="56" t="str">
        <f t="shared" si="9"/>
        <v>NEventual</v>
      </c>
      <c r="H96" s="6" t="str">
        <f>IF(ISERROR(VLOOKUP(C96,'Ress. Eventuais'!$G:$G,1,0)),"Excluir!","")</f>
        <v/>
      </c>
      <c r="I96" s="6"/>
    </row>
    <row r="97" spans="1:9" x14ac:dyDescent="0.2">
      <c r="A97" s="6" t="str">
        <f>VLOOKUP(C97,'Ress. Eventuais'!$G:$G,1,0)</f>
        <v>52469</v>
      </c>
      <c r="B97" s="7" t="s">
        <v>2325</v>
      </c>
      <c r="C97" s="45" t="s">
        <v>2326</v>
      </c>
      <c r="D97" s="56" t="s">
        <v>3055</v>
      </c>
      <c r="E97" s="56" t="s">
        <v>3061</v>
      </c>
      <c r="F97" s="56" t="str">
        <f t="shared" si="8"/>
        <v/>
      </c>
      <c r="G97" s="56" t="str">
        <f t="shared" si="9"/>
        <v>SEventual</v>
      </c>
      <c r="H97" s="6" t="str">
        <f>IF(ISERROR(VLOOKUP(C97,'Ress. Eventuais'!$G:$G,1,0)),"Excluir!","")</f>
        <v/>
      </c>
      <c r="I97" s="6"/>
    </row>
    <row r="98" spans="1:9" x14ac:dyDescent="0.2">
      <c r="A98" s="6" t="str">
        <f>VLOOKUP(C98,'Ress. Eventuais'!$G:$G,1,0)</f>
        <v>59986</v>
      </c>
      <c r="B98" s="7" t="s">
        <v>2329</v>
      </c>
      <c r="C98" s="45" t="s">
        <v>2330</v>
      </c>
      <c r="D98" s="56" t="s">
        <v>3056</v>
      </c>
      <c r="E98" s="56" t="s">
        <v>3061</v>
      </c>
      <c r="F98" s="56" t="str">
        <f t="shared" si="8"/>
        <v/>
      </c>
      <c r="G98" s="56" t="str">
        <f t="shared" si="9"/>
        <v>NEventual</v>
      </c>
      <c r="H98" s="6" t="str">
        <f>IF(ISERROR(VLOOKUP(C98,'Ress. Eventuais'!$G:$G,1,0)),"Excluir!","")</f>
        <v/>
      </c>
      <c r="I98" s="6"/>
    </row>
    <row r="99" spans="1:9" x14ac:dyDescent="0.2">
      <c r="B99" s="7"/>
      <c r="C99" s="45"/>
      <c r="I99" s="6"/>
    </row>
    <row r="100" spans="1:9" x14ac:dyDescent="0.2">
      <c r="A100" s="6" t="str">
        <f>VLOOKUP(C100,'Ress. Admitidas'!$G:$G,1,0)</f>
        <v>40851</v>
      </c>
      <c r="B100" s="7" t="s">
        <v>1747</v>
      </c>
      <c r="C100" s="45" t="s">
        <v>1749</v>
      </c>
      <c r="D100" s="56" t="s">
        <v>3055</v>
      </c>
      <c r="E100" s="56" t="s">
        <v>3059</v>
      </c>
      <c r="F100" s="56" t="str">
        <f t="shared" ref="F100:F132" si="10">IF(ISERROR(FIND("INATIVA",B100,1)),"","Inativa")</f>
        <v/>
      </c>
      <c r="G100" s="56" t="str">
        <f t="shared" ref="G100:G132" si="11">D100&amp;E100&amp;F100</f>
        <v>SAdmitida</v>
      </c>
      <c r="H100" s="6" t="str">
        <f>IF(ISERROR(VLOOKUP(C100,'Ress. Admitidas'!$G:$G,1,0)),"Excluir!","")</f>
        <v/>
      </c>
      <c r="I100" s="6"/>
    </row>
    <row r="101" spans="1:9" x14ac:dyDescent="0.2">
      <c r="A101" s="6" t="str">
        <f>VLOOKUP(C101,'Ress. Admitidas'!$G:$G,1,0)</f>
        <v>40207</v>
      </c>
      <c r="B101" s="7" t="s">
        <v>1752</v>
      </c>
      <c r="C101" s="45" t="s">
        <v>1754</v>
      </c>
      <c r="D101" s="56" t="s">
        <v>3056</v>
      </c>
      <c r="E101" s="56" t="s">
        <v>3059</v>
      </c>
      <c r="F101" s="56" t="str">
        <f t="shared" si="10"/>
        <v/>
      </c>
      <c r="G101" s="56" t="str">
        <f t="shared" si="11"/>
        <v>NAdmitida</v>
      </c>
      <c r="H101" s="6" t="str">
        <f>IF(ISERROR(VLOOKUP(C101,'Ress. Admitidas'!$G:$G,1,0)),"Excluir!","")</f>
        <v/>
      </c>
      <c r="I101" s="6"/>
    </row>
    <row r="102" spans="1:9" x14ac:dyDescent="0.2">
      <c r="A102" s="6" t="str">
        <f>VLOOKUP(C102,'Ress. Admitidas'!$G:$G,1,0)</f>
        <v>42684</v>
      </c>
      <c r="B102" s="7" t="s">
        <v>3752</v>
      </c>
      <c r="C102" s="45" t="s">
        <v>3759</v>
      </c>
      <c r="D102" s="56" t="s">
        <v>3056</v>
      </c>
      <c r="E102" s="56" t="s">
        <v>3059</v>
      </c>
      <c r="F102" s="56" t="str">
        <f>IF(ISERROR(FIND("INATIVA",B102,1)),"","Inativa")</f>
        <v/>
      </c>
      <c r="G102" s="56" t="str">
        <f>D102&amp;E102&amp;F102</f>
        <v>NAdmitida</v>
      </c>
      <c r="H102" s="6" t="str">
        <f>IF(ISERROR(VLOOKUP(C102,'Ress. Admitidas'!$G:$G,1,0)),"Excluir!","")</f>
        <v/>
      </c>
      <c r="I102" s="6"/>
    </row>
    <row r="103" spans="1:9" x14ac:dyDescent="0.2">
      <c r="A103" s="6" t="str">
        <f>VLOOKUP(C103,'Ress. Admitidas'!$G:$G,1,0)</f>
        <v>49760</v>
      </c>
      <c r="B103" s="7" t="s">
        <v>1757</v>
      </c>
      <c r="C103" s="45" t="s">
        <v>1759</v>
      </c>
      <c r="D103" s="56" t="s">
        <v>3056</v>
      </c>
      <c r="E103" s="56" t="s">
        <v>3059</v>
      </c>
      <c r="F103" s="56" t="str">
        <f t="shared" si="10"/>
        <v/>
      </c>
      <c r="G103" s="56" t="str">
        <f t="shared" si="11"/>
        <v>NAdmitida</v>
      </c>
      <c r="H103" s="6" t="str">
        <f>IF(ISERROR(VLOOKUP(C103,'Ress. Admitidas'!$G:$G,1,0)),"Excluir!","")</f>
        <v/>
      </c>
      <c r="I103" s="6"/>
    </row>
    <row r="104" spans="1:9" x14ac:dyDescent="0.2">
      <c r="A104" s="6" t="str">
        <f>VLOOKUP(C104,'Ress. Admitidas'!$G:$G,1,0)</f>
        <v>49131</v>
      </c>
      <c r="B104" s="7" t="s">
        <v>1763</v>
      </c>
      <c r="C104" s="52" t="s">
        <v>1765</v>
      </c>
      <c r="D104" s="73" t="s">
        <v>3056</v>
      </c>
      <c r="E104" s="73" t="s">
        <v>3059</v>
      </c>
      <c r="F104" s="73" t="str">
        <f t="shared" si="10"/>
        <v/>
      </c>
      <c r="G104" s="73" t="str">
        <f t="shared" si="11"/>
        <v>NAdmitida</v>
      </c>
      <c r="H104" s="6" t="str">
        <f>IF(ISERROR(VLOOKUP(C104,'Ress. Admitidas'!$G:$G,1,0)),"Excluir!","")</f>
        <v/>
      </c>
      <c r="I104" s="6"/>
    </row>
    <row r="105" spans="1:9" x14ac:dyDescent="0.2">
      <c r="A105" s="6" t="str">
        <f>VLOOKUP(C105,'Ress. Admitidas'!$G:$G,1,0)</f>
        <v>45926</v>
      </c>
      <c r="B105" s="7" t="s">
        <v>1770</v>
      </c>
      <c r="C105" s="45" t="s">
        <v>1772</v>
      </c>
      <c r="D105" s="56" t="s">
        <v>3056</v>
      </c>
      <c r="E105" s="56" t="s">
        <v>3059</v>
      </c>
      <c r="F105" s="56" t="str">
        <f t="shared" si="10"/>
        <v/>
      </c>
      <c r="G105" s="56" t="str">
        <f t="shared" si="11"/>
        <v>NAdmitida</v>
      </c>
      <c r="H105" s="6" t="str">
        <f>IF(ISERROR(VLOOKUP(C105,'Ress. Admitidas'!$G:$G,1,0)),"Excluir!","")</f>
        <v/>
      </c>
      <c r="I105" s="6"/>
    </row>
    <row r="106" spans="1:9" x14ac:dyDescent="0.2">
      <c r="A106" s="6" t="str">
        <f>VLOOKUP(C106,'Ress. Admitidas'!$G:$G,1,0)</f>
        <v>46507</v>
      </c>
      <c r="B106" s="7" t="s">
        <v>1775</v>
      </c>
      <c r="C106" s="45" t="s">
        <v>1777</v>
      </c>
      <c r="D106" s="56" t="s">
        <v>3055</v>
      </c>
      <c r="E106" s="56" t="s">
        <v>3059</v>
      </c>
      <c r="F106" s="56" t="str">
        <f t="shared" si="10"/>
        <v/>
      </c>
      <c r="G106" s="56" t="str">
        <f t="shared" si="11"/>
        <v>SAdmitida</v>
      </c>
      <c r="H106" s="6" t="str">
        <f>IF(ISERROR(VLOOKUP(C106,'Ress. Admitidas'!$G:$G,1,0)),"Excluir!","")</f>
        <v/>
      </c>
      <c r="I106" s="6"/>
    </row>
    <row r="107" spans="1:9" x14ac:dyDescent="0.2">
      <c r="A107" s="6" t="str">
        <f>VLOOKUP(C107,'Ress. Admitidas'!$G:$G,1,0)</f>
        <v>47848</v>
      </c>
      <c r="B107" s="7" t="s">
        <v>1781</v>
      </c>
      <c r="C107" s="45" t="s">
        <v>1783</v>
      </c>
      <c r="D107" s="73" t="s">
        <v>3055</v>
      </c>
      <c r="E107" s="56" t="s">
        <v>3059</v>
      </c>
      <c r="F107" s="56" t="str">
        <f t="shared" si="10"/>
        <v/>
      </c>
      <c r="G107" s="56" t="str">
        <f t="shared" si="11"/>
        <v>SAdmitida</v>
      </c>
      <c r="H107" s="6" t="str">
        <f>IF(ISERROR(VLOOKUP(C107,'Ress. Admitidas'!$G:$G,1,0)),"Excluir!","")</f>
        <v/>
      </c>
      <c r="I107" s="6"/>
    </row>
    <row r="108" spans="1:9" x14ac:dyDescent="0.2">
      <c r="A108" s="6" t="str">
        <f>VLOOKUP(C108,'Ress. Admitidas'!$G:$G,1,0)</f>
        <v>47708</v>
      </c>
      <c r="B108" s="7" t="s">
        <v>1788</v>
      </c>
      <c r="C108" s="45" t="s">
        <v>1790</v>
      </c>
      <c r="D108" s="56" t="s">
        <v>3056</v>
      </c>
      <c r="E108" s="56" t="s">
        <v>3059</v>
      </c>
      <c r="F108" s="56" t="str">
        <f t="shared" si="10"/>
        <v/>
      </c>
      <c r="G108" s="56" t="str">
        <f t="shared" si="11"/>
        <v>NAdmitida</v>
      </c>
      <c r="H108" s="6" t="str">
        <f>IF(ISERROR(VLOOKUP(C108,'Ress. Admitidas'!$G:$G,1,0)),"Excluir!","")</f>
        <v/>
      </c>
      <c r="I108" s="6"/>
    </row>
    <row r="109" spans="1:9" x14ac:dyDescent="0.2">
      <c r="A109" s="6" t="str">
        <f>VLOOKUP(C109,'Ress. Admitidas'!$G:$G,1,0)</f>
        <v>44920</v>
      </c>
      <c r="B109" s="7" t="s">
        <v>1794</v>
      </c>
      <c r="C109" s="45" t="s">
        <v>1796</v>
      </c>
      <c r="D109" s="56" t="s">
        <v>3056</v>
      </c>
      <c r="E109" s="56" t="s">
        <v>3059</v>
      </c>
      <c r="F109" s="56" t="str">
        <f t="shared" si="10"/>
        <v/>
      </c>
      <c r="G109" s="56" t="str">
        <f t="shared" si="11"/>
        <v>NAdmitida</v>
      </c>
      <c r="H109" s="6" t="str">
        <f>IF(ISERROR(VLOOKUP(C109,'Ress. Admitidas'!$G:$G,1,0)),"Excluir!","")</f>
        <v/>
      </c>
      <c r="I109" s="6"/>
    </row>
    <row r="110" spans="1:9" x14ac:dyDescent="0.2">
      <c r="A110" s="6" t="str">
        <f>VLOOKUP(C110,'Ress. Admitidas'!$G:$G,1,0)</f>
        <v>41416</v>
      </c>
      <c r="B110" s="7" t="s">
        <v>1799</v>
      </c>
      <c r="C110" s="45" t="s">
        <v>1801</v>
      </c>
      <c r="D110" s="56" t="s">
        <v>3056</v>
      </c>
      <c r="E110" s="56" t="s">
        <v>3059</v>
      </c>
      <c r="F110" s="56" t="str">
        <f t="shared" si="10"/>
        <v/>
      </c>
      <c r="G110" s="56" t="str">
        <f t="shared" si="11"/>
        <v>NAdmitida</v>
      </c>
      <c r="H110" s="6" t="str">
        <f>IF(ISERROR(VLOOKUP(C110,'Ress. Admitidas'!$G:$G,1,0)),"Excluir!","")</f>
        <v/>
      </c>
      <c r="I110" s="6"/>
    </row>
    <row r="111" spans="1:9" x14ac:dyDescent="0.2">
      <c r="A111" s="6" t="str">
        <f>VLOOKUP(C111,'Ress. Admitidas'!$G:$G,1,0)</f>
        <v>46761</v>
      </c>
      <c r="B111" s="7" t="s">
        <v>1805</v>
      </c>
      <c r="C111" s="45" t="s">
        <v>1807</v>
      </c>
      <c r="D111" s="56" t="s">
        <v>3056</v>
      </c>
      <c r="E111" s="56" t="s">
        <v>3059</v>
      </c>
      <c r="F111" s="56" t="str">
        <f t="shared" si="10"/>
        <v/>
      </c>
      <c r="G111" s="56" t="str">
        <f t="shared" si="11"/>
        <v>NAdmitida</v>
      </c>
      <c r="H111" s="6" t="str">
        <f>IF(ISERROR(VLOOKUP(C111,'Ress. Admitidas'!$G:$G,1,0)),"Excluir!","")</f>
        <v/>
      </c>
      <c r="I111" s="6"/>
    </row>
    <row r="112" spans="1:9" x14ac:dyDescent="0.2">
      <c r="A112" s="6" t="str">
        <f>VLOOKUP(C112,'Ress. Admitidas'!$G:$G,1,0)</f>
        <v>45896</v>
      </c>
      <c r="B112" s="7" t="s">
        <v>3451</v>
      </c>
      <c r="C112" s="45" t="s">
        <v>3481</v>
      </c>
      <c r="D112" s="56" t="s">
        <v>3056</v>
      </c>
      <c r="E112" s="56" t="s">
        <v>3059</v>
      </c>
      <c r="F112" s="56" t="str">
        <f t="shared" si="10"/>
        <v/>
      </c>
      <c r="G112" s="56" t="str">
        <f t="shared" si="11"/>
        <v>NAdmitida</v>
      </c>
      <c r="H112" s="6" t="str">
        <f>IF(ISERROR(VLOOKUP(C112,'Ress. Admitidas'!$G:$G,1,0)),"Excluir!","")</f>
        <v/>
      </c>
      <c r="I112" s="6"/>
    </row>
    <row r="113" spans="1:9" x14ac:dyDescent="0.2">
      <c r="A113" s="6" t="str">
        <f>VLOOKUP(C113,'Ress. Admitidas'!$G:$G,1,0)</f>
        <v>48879</v>
      </c>
      <c r="B113" s="7" t="s">
        <v>1812</v>
      </c>
      <c r="C113" s="45" t="s">
        <v>1814</v>
      </c>
      <c r="D113" s="56" t="s">
        <v>3056</v>
      </c>
      <c r="E113" s="56" t="s">
        <v>3059</v>
      </c>
      <c r="F113" s="56" t="str">
        <f t="shared" si="10"/>
        <v/>
      </c>
      <c r="G113" s="56" t="str">
        <f t="shared" si="11"/>
        <v>NAdmitida</v>
      </c>
      <c r="H113" s="6" t="str">
        <f>IF(ISERROR(VLOOKUP(C113,'Ress. Admitidas'!$G:$G,1,0)),"Excluir!","")</f>
        <v/>
      </c>
      <c r="I113" s="6"/>
    </row>
    <row r="114" spans="1:9" x14ac:dyDescent="0.2">
      <c r="A114" s="6" t="str">
        <f>VLOOKUP(C114,'Ress. Admitidas'!$G:$G,1,0)</f>
        <v>41491</v>
      </c>
      <c r="B114" s="7" t="s">
        <v>1819</v>
      </c>
      <c r="C114" s="45" t="s">
        <v>1821</v>
      </c>
      <c r="D114" s="56" t="s">
        <v>3055</v>
      </c>
      <c r="E114" s="56" t="s">
        <v>3059</v>
      </c>
      <c r="F114" s="56" t="str">
        <f t="shared" si="10"/>
        <v/>
      </c>
      <c r="G114" s="56" t="str">
        <f t="shared" si="11"/>
        <v>SAdmitida</v>
      </c>
      <c r="H114" s="6" t="str">
        <f>IF(ISERROR(VLOOKUP(C114,'Ress. Admitidas'!$G:$G,1,0)),"Excluir!","")</f>
        <v/>
      </c>
      <c r="I114" s="6"/>
    </row>
    <row r="115" spans="1:9" x14ac:dyDescent="0.2">
      <c r="A115" s="6" t="str">
        <f>VLOOKUP(C115,'Ress. Admitidas'!$G:$G,1,0)</f>
        <v>47082</v>
      </c>
      <c r="B115" s="7" t="s">
        <v>1825</v>
      </c>
      <c r="C115" s="45" t="s">
        <v>1827</v>
      </c>
      <c r="D115" s="56" t="s">
        <v>3056</v>
      </c>
      <c r="E115" s="56" t="s">
        <v>3059</v>
      </c>
      <c r="F115" s="56" t="str">
        <f t="shared" si="10"/>
        <v/>
      </c>
      <c r="G115" s="56" t="str">
        <f t="shared" si="11"/>
        <v>NAdmitida</v>
      </c>
      <c r="H115" s="6" t="str">
        <f>IF(ISERROR(VLOOKUP(C115,'Ress. Admitidas'!$G:$G,1,0)),"Excluir!","")</f>
        <v/>
      </c>
      <c r="I115" s="6"/>
    </row>
    <row r="116" spans="1:9" x14ac:dyDescent="0.2">
      <c r="A116" s="6" t="str">
        <f>VLOOKUP(C116,'Ress. Admitidas'!$G:$G,1,0)</f>
        <v>42871</v>
      </c>
      <c r="B116" s="7" t="s">
        <v>1832</v>
      </c>
      <c r="C116" s="45" t="s">
        <v>1834</v>
      </c>
      <c r="D116" s="56" t="s">
        <v>3056</v>
      </c>
      <c r="E116" s="56" t="s">
        <v>3059</v>
      </c>
      <c r="F116" s="56" t="str">
        <f t="shared" si="10"/>
        <v/>
      </c>
      <c r="G116" s="56" t="str">
        <f t="shared" si="11"/>
        <v>NAdmitida</v>
      </c>
      <c r="H116" s="6" t="str">
        <f>IF(ISERROR(VLOOKUP(C116,'Ress. Admitidas'!$G:$G,1,0)),"Excluir!","")</f>
        <v/>
      </c>
      <c r="I116" s="6"/>
    </row>
    <row r="117" spans="1:9" x14ac:dyDescent="0.2">
      <c r="A117" s="6" t="str">
        <f>VLOOKUP(C117,'Ress. Admitidas'!$G:$G,1,0)</f>
        <v>42463</v>
      </c>
      <c r="B117" s="7" t="s">
        <v>1837</v>
      </c>
      <c r="C117" s="45" t="s">
        <v>1839</v>
      </c>
      <c r="D117" s="56" t="s">
        <v>3055</v>
      </c>
      <c r="E117" s="56" t="s">
        <v>3059</v>
      </c>
      <c r="F117" s="56" t="str">
        <f t="shared" si="10"/>
        <v/>
      </c>
      <c r="G117" s="56" t="str">
        <f t="shared" si="11"/>
        <v>SAdmitida</v>
      </c>
      <c r="H117" s="6" t="str">
        <f>IF(ISERROR(VLOOKUP(C117,'Ress. Admitidas'!$G:$G,1,0)),"Excluir!","")</f>
        <v/>
      </c>
      <c r="I117" s="6"/>
    </row>
    <row r="118" spans="1:9" x14ac:dyDescent="0.2">
      <c r="A118" s="6" t="str">
        <f>VLOOKUP(C118,'Ress. Admitidas'!$G:$G,1,0)</f>
        <v>40215</v>
      </c>
      <c r="B118" s="7" t="s">
        <v>1844</v>
      </c>
      <c r="C118" s="45" t="s">
        <v>1846</v>
      </c>
      <c r="D118" s="56" t="s">
        <v>3055</v>
      </c>
      <c r="E118" s="56" t="s">
        <v>3059</v>
      </c>
      <c r="F118" s="56" t="str">
        <f t="shared" si="10"/>
        <v/>
      </c>
      <c r="G118" s="56" t="str">
        <f t="shared" si="11"/>
        <v>SAdmitida</v>
      </c>
      <c r="H118" s="6" t="str">
        <f>IF(ISERROR(VLOOKUP(C118,'Ress. Admitidas'!$G:$G,1,0)),"Excluir!","")</f>
        <v/>
      </c>
      <c r="I118" s="6"/>
    </row>
    <row r="119" spans="1:9" x14ac:dyDescent="0.2">
      <c r="A119" s="6" t="str">
        <f>VLOOKUP(C119,'Ress. Admitidas'!$G:$G,1,0)</f>
        <v>47724</v>
      </c>
      <c r="B119" s="7" t="s">
        <v>1849</v>
      </c>
      <c r="C119" s="45" t="s">
        <v>1851</v>
      </c>
      <c r="D119" s="56" t="s">
        <v>3056</v>
      </c>
      <c r="E119" s="56" t="s">
        <v>3059</v>
      </c>
      <c r="F119" s="56" t="str">
        <f t="shared" si="10"/>
        <v/>
      </c>
      <c r="G119" s="56" t="str">
        <f t="shared" si="11"/>
        <v>NAdmitida</v>
      </c>
      <c r="H119" s="6" t="str">
        <f>IF(ISERROR(VLOOKUP(C119,'Ress. Admitidas'!$G:$G,1,0)),"Excluir!","")</f>
        <v/>
      </c>
      <c r="I119" s="6"/>
    </row>
    <row r="120" spans="1:9" x14ac:dyDescent="0.2">
      <c r="A120" s="6" t="str">
        <f>VLOOKUP(C120,'Ress. Admitidas'!$G:$G,1,0)</f>
        <v>41432</v>
      </c>
      <c r="B120" s="7" t="s">
        <v>1854</v>
      </c>
      <c r="C120" s="45" t="s">
        <v>1856</v>
      </c>
      <c r="D120" s="56" t="s">
        <v>3055</v>
      </c>
      <c r="E120" s="56" t="s">
        <v>3059</v>
      </c>
      <c r="F120" s="56" t="str">
        <f t="shared" si="10"/>
        <v/>
      </c>
      <c r="G120" s="56" t="str">
        <f t="shared" si="11"/>
        <v>SAdmitida</v>
      </c>
      <c r="H120" s="6" t="str">
        <f>IF(ISERROR(VLOOKUP(C120,'Ress. Admitidas'!$G:$G,1,0)),"Excluir!","")</f>
        <v/>
      </c>
      <c r="I120" s="6"/>
    </row>
    <row r="121" spans="1:9" x14ac:dyDescent="0.2">
      <c r="A121" s="6" t="str">
        <f>VLOOKUP(C121,'Ress. Admitidas'!$G:$G,1,0)</f>
        <v>44814</v>
      </c>
      <c r="B121" s="7" t="s">
        <v>1860</v>
      </c>
      <c r="C121" s="45" t="s">
        <v>1862</v>
      </c>
      <c r="D121" s="56" t="s">
        <v>3055</v>
      </c>
      <c r="E121" s="56" t="s">
        <v>3059</v>
      </c>
      <c r="F121" s="56" t="str">
        <f t="shared" si="10"/>
        <v/>
      </c>
      <c r="G121" s="56" t="str">
        <f t="shared" si="11"/>
        <v>SAdmitida</v>
      </c>
      <c r="H121" s="6" t="str">
        <f>IF(ISERROR(VLOOKUP(C121,'Ress. Admitidas'!$G:$G,1,0)),"Excluir!","")</f>
        <v/>
      </c>
      <c r="I121" s="6"/>
    </row>
    <row r="122" spans="1:9" x14ac:dyDescent="0.2">
      <c r="A122" s="6" t="str">
        <f>VLOOKUP(C122,'Ress. Admitidas'!$G:$G,1,0)</f>
        <v>45004</v>
      </c>
      <c r="B122" s="7" t="s">
        <v>1867</v>
      </c>
      <c r="C122" s="45" t="s">
        <v>1869</v>
      </c>
      <c r="D122" s="56" t="s">
        <v>3056</v>
      </c>
      <c r="E122" s="56" t="s">
        <v>3059</v>
      </c>
      <c r="F122" s="56" t="str">
        <f t="shared" si="10"/>
        <v/>
      </c>
      <c r="G122" s="56" t="str">
        <f t="shared" si="11"/>
        <v>NAdmitida</v>
      </c>
      <c r="H122" s="6" t="str">
        <f>IF(ISERROR(VLOOKUP(C122,'Ress. Admitidas'!$G:$G,1,0)),"Excluir!","")</f>
        <v/>
      </c>
      <c r="I122" s="6"/>
    </row>
    <row r="123" spans="1:9" x14ac:dyDescent="0.2">
      <c r="A123" s="6" t="str">
        <f>VLOOKUP(C123,'Ress. Admitidas'!$G:$G,1,0)</f>
        <v>44661</v>
      </c>
      <c r="B123" s="7" t="s">
        <v>1873</v>
      </c>
      <c r="C123" s="45" t="s">
        <v>1875</v>
      </c>
      <c r="D123" s="56" t="s">
        <v>3055</v>
      </c>
      <c r="E123" s="56" t="s">
        <v>3059</v>
      </c>
      <c r="F123" s="56" t="str">
        <f t="shared" si="10"/>
        <v/>
      </c>
      <c r="G123" s="56" t="str">
        <f t="shared" si="11"/>
        <v>SAdmitida</v>
      </c>
      <c r="H123" s="6" t="str">
        <f>IF(ISERROR(VLOOKUP(C123,'Ress. Admitidas'!$G:$G,1,0)),"Excluir!","")</f>
        <v/>
      </c>
      <c r="I123" s="6"/>
    </row>
    <row r="124" spans="1:9" x14ac:dyDescent="0.2">
      <c r="A124" s="6" t="str">
        <f>VLOOKUP(C124,'Ress. Admitidas'!$G:$G,1,0)</f>
        <v>41629</v>
      </c>
      <c r="B124" s="7" t="s">
        <v>1878</v>
      </c>
      <c r="C124" s="45" t="s">
        <v>1880</v>
      </c>
      <c r="D124" s="56" t="s">
        <v>3056</v>
      </c>
      <c r="E124" s="56" t="s">
        <v>3059</v>
      </c>
      <c r="F124" s="56" t="str">
        <f t="shared" si="10"/>
        <v/>
      </c>
      <c r="G124" s="56" t="str">
        <f t="shared" si="11"/>
        <v>NAdmitida</v>
      </c>
      <c r="H124" s="6" t="str">
        <f>IF(ISERROR(VLOOKUP(C124,'Ress. Admitidas'!$G:$G,1,0)),"Excluir!","")</f>
        <v/>
      </c>
      <c r="I124" s="6"/>
    </row>
    <row r="125" spans="1:9" x14ac:dyDescent="0.2">
      <c r="A125" s="6" t="str">
        <f>VLOOKUP(C125,'Ress. Admitidas'!$G:$G,1,0)</f>
        <v>48747</v>
      </c>
      <c r="B125" s="7" t="s">
        <v>1884</v>
      </c>
      <c r="C125" s="45" t="s">
        <v>1886</v>
      </c>
      <c r="D125" s="56" t="s">
        <v>3055</v>
      </c>
      <c r="E125" s="56" t="s">
        <v>3059</v>
      </c>
      <c r="F125" s="56" t="str">
        <f t="shared" si="10"/>
        <v/>
      </c>
      <c r="G125" s="56" t="str">
        <f t="shared" si="11"/>
        <v>SAdmitida</v>
      </c>
      <c r="H125" s="6" t="str">
        <f>IF(ISERROR(VLOOKUP(C125,'Ress. Admitidas'!$G:$G,1,0)),"Excluir!","")</f>
        <v/>
      </c>
      <c r="I125" s="6"/>
    </row>
    <row r="126" spans="1:9" x14ac:dyDescent="0.2">
      <c r="A126" s="6" t="str">
        <f>VLOOKUP(C126,'Ress. Admitidas'!$G:$G,1,0)</f>
        <v>42790</v>
      </c>
      <c r="B126" s="7" t="s">
        <v>1890</v>
      </c>
      <c r="C126" s="45" t="s">
        <v>1892</v>
      </c>
      <c r="D126" s="56" t="s">
        <v>3055</v>
      </c>
      <c r="E126" s="56" t="s">
        <v>3059</v>
      </c>
      <c r="F126" s="56" t="str">
        <f t="shared" si="10"/>
        <v/>
      </c>
      <c r="G126" s="56" t="str">
        <f t="shared" si="11"/>
        <v>SAdmitida</v>
      </c>
      <c r="H126" s="6" t="str">
        <f>IF(ISERROR(VLOOKUP(C126,'Ress. Admitidas'!$G:$G,1,0)),"Excluir!","")</f>
        <v/>
      </c>
      <c r="I126" s="6"/>
    </row>
    <row r="127" spans="1:9" x14ac:dyDescent="0.2">
      <c r="A127" s="6" t="str">
        <f>VLOOKUP(C127,'Ress. Admitidas'!$G:$G,1,0)</f>
        <v>47741</v>
      </c>
      <c r="B127" s="7" t="s">
        <v>1895</v>
      </c>
      <c r="C127" s="45" t="s">
        <v>1897</v>
      </c>
      <c r="D127" s="56" t="s">
        <v>3056</v>
      </c>
      <c r="E127" s="56" t="s">
        <v>3059</v>
      </c>
      <c r="F127" s="56" t="str">
        <f t="shared" si="10"/>
        <v/>
      </c>
      <c r="G127" s="56" t="str">
        <f t="shared" si="11"/>
        <v>NAdmitida</v>
      </c>
      <c r="H127" s="6" t="str">
        <f>IF(ISERROR(VLOOKUP(C127,'Ress. Admitidas'!$G:$G,1,0)),"Excluir!","")</f>
        <v/>
      </c>
      <c r="I127" s="6"/>
    </row>
    <row r="128" spans="1:9" x14ac:dyDescent="0.2">
      <c r="A128" s="6" t="str">
        <f>VLOOKUP(C128,'Ress. Admitidas'!$G:$G,1,0)</f>
        <v>40096</v>
      </c>
      <c r="B128" s="7" t="s">
        <v>1900</v>
      </c>
      <c r="C128" s="45" t="s">
        <v>1902</v>
      </c>
      <c r="D128" s="56" t="s">
        <v>3056</v>
      </c>
      <c r="E128" s="56" t="s">
        <v>3059</v>
      </c>
      <c r="F128" s="56" t="str">
        <f t="shared" si="10"/>
        <v/>
      </c>
      <c r="G128" s="56" t="str">
        <f t="shared" si="11"/>
        <v>NAdmitida</v>
      </c>
      <c r="H128" s="6" t="str">
        <f>IF(ISERROR(VLOOKUP(C128,'Ress. Admitidas'!$G:$G,1,0)),"Excluir!","")</f>
        <v/>
      </c>
      <c r="I128" s="6"/>
    </row>
    <row r="129" spans="1:9" x14ac:dyDescent="0.2">
      <c r="A129" s="6" t="str">
        <f>VLOOKUP(C129,'Ress. Admitidas'!$G:$G,1,0)</f>
        <v>42951</v>
      </c>
      <c r="B129" s="7" t="s">
        <v>1905</v>
      </c>
      <c r="C129" s="45" t="s">
        <v>1907</v>
      </c>
      <c r="D129" s="56" t="s">
        <v>3055</v>
      </c>
      <c r="E129" s="56" t="s">
        <v>3059</v>
      </c>
      <c r="F129" s="56" t="str">
        <f t="shared" si="10"/>
        <v/>
      </c>
      <c r="G129" s="56" t="str">
        <f t="shared" si="11"/>
        <v>SAdmitida</v>
      </c>
      <c r="H129" s="6" t="str">
        <f>IF(ISERROR(VLOOKUP(C129,'Ress. Admitidas'!$G:$G,1,0)),"Excluir!","")</f>
        <v/>
      </c>
      <c r="I129" s="6"/>
    </row>
    <row r="130" spans="1:9" x14ac:dyDescent="0.2">
      <c r="A130" s="6" t="str">
        <f>VLOOKUP(C130,'Ress. Admitidas'!$G:$G,1,0)</f>
        <v>48259</v>
      </c>
      <c r="B130" s="7" t="s">
        <v>1909</v>
      </c>
      <c r="C130" s="45" t="s">
        <v>1911</v>
      </c>
      <c r="D130" s="56" t="s">
        <v>3056</v>
      </c>
      <c r="E130" s="56" t="s">
        <v>3059</v>
      </c>
      <c r="F130" s="56" t="str">
        <f t="shared" si="10"/>
        <v/>
      </c>
      <c r="G130" s="56" t="str">
        <f t="shared" si="11"/>
        <v>NAdmitida</v>
      </c>
      <c r="H130" s="6" t="str">
        <f>IF(ISERROR(VLOOKUP(C130,'Ress. Admitidas'!$G:$G,1,0)),"Excluir!","")</f>
        <v/>
      </c>
      <c r="I130" s="6"/>
    </row>
    <row r="131" spans="1:9" x14ac:dyDescent="0.2">
      <c r="A131" s="6" t="str">
        <f>VLOOKUP(C131,'Ress. Admitidas'!$G:$G,1,0)</f>
        <v>43290</v>
      </c>
      <c r="B131" s="7" t="s">
        <v>1916</v>
      </c>
      <c r="C131" s="45" t="s">
        <v>1918</v>
      </c>
      <c r="D131" s="56" t="s">
        <v>3055</v>
      </c>
      <c r="E131" s="56" t="s">
        <v>3059</v>
      </c>
      <c r="F131" s="56" t="str">
        <f t="shared" si="10"/>
        <v/>
      </c>
      <c r="G131" s="56" t="str">
        <f t="shared" si="11"/>
        <v>SAdmitida</v>
      </c>
      <c r="H131" s="6" t="str">
        <f>IF(ISERROR(VLOOKUP(C131,'Ress. Admitidas'!$G:$G,1,0)),"Excluir!","")</f>
        <v/>
      </c>
      <c r="I131" s="6"/>
    </row>
    <row r="132" spans="1:9" x14ac:dyDescent="0.2">
      <c r="A132" s="6" t="str">
        <f>VLOOKUP(C132,'Ress. Admitidas'!$G:$G,1,0)</f>
        <v>48275</v>
      </c>
      <c r="B132" s="7" t="s">
        <v>1923</v>
      </c>
      <c r="C132" s="45" t="s">
        <v>1925</v>
      </c>
      <c r="D132" s="56" t="s">
        <v>3056</v>
      </c>
      <c r="E132" s="56" t="s">
        <v>3059</v>
      </c>
      <c r="F132" s="56" t="str">
        <f t="shared" si="10"/>
        <v/>
      </c>
      <c r="G132" s="56" t="str">
        <f t="shared" si="11"/>
        <v>NAdmitida</v>
      </c>
      <c r="H132" s="6" t="str">
        <f>IF(ISERROR(VLOOKUP(C132,'Ress. Admitidas'!$G:$G,1,0)),"Excluir!","")</f>
        <v/>
      </c>
    </row>
  </sheetData>
  <sortState ref="B29:H98">
    <sortCondition ref="B29:B98"/>
  </sortState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Cedentes</vt:lpstr>
      <vt:lpstr>Ramos</vt:lpstr>
      <vt:lpstr>Origem dos Índices</vt:lpstr>
      <vt:lpstr>Seguradoras</vt:lpstr>
      <vt:lpstr>Ress. Locais</vt:lpstr>
      <vt:lpstr>Ress. Admitidas</vt:lpstr>
      <vt:lpstr>Ress. Eventuais</vt:lpstr>
      <vt:lpstr>Corretoras de Resseguros</vt:lpstr>
      <vt:lpstr>Previdência</vt:lpstr>
      <vt:lpstr>Capitalização</vt:lpstr>
      <vt:lpstr>Resseguradoras no Vida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2015-03-03T11:26:48Z</dcterms:modified>
</cp:coreProperties>
</file>